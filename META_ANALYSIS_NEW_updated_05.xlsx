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21.xml" ContentType="application/vnd.openxmlformats-officedocument.spreadsheetml.worksheet+xml"/>
  <Override PartName="/xl/worksheets/sheet120.xml" ContentType="application/vnd.openxmlformats-officedocument.spreadsheetml.worksheet+xml"/>
  <Override PartName="/xl/worksheets/sheet111.xml" ContentType="application/vnd.openxmlformats-officedocument.spreadsheetml.worksheet+xml"/>
  <Override PartName="/xl/worksheets/sheet110.xml" ContentType="application/vnd.openxmlformats-officedocument.spreadsheetml.worksheet+xml"/>
  <Override PartName="/xl/worksheets/sheet101.xml" ContentType="application/vnd.openxmlformats-officedocument.spreadsheetml.worksheet+xml"/>
  <Override PartName="/xl/worksheets/sheet100.xml" ContentType="application/vnd.openxmlformats-officedocument.spreadsheetml.worksheet+xml"/>
  <Override PartName="/xl/worksheets/sheet99.xml" ContentType="application/vnd.openxmlformats-officedocument.spreadsheetml.worksheet+xml"/>
  <Override PartName="/xl/worksheets/sheet98.xml" ContentType="application/vnd.openxmlformats-officedocument.spreadsheetml.worksheet+xml"/>
  <Override PartName="/xl/worksheets/sheet97.xml" ContentType="application/vnd.openxmlformats-officedocument.spreadsheetml.worksheet+xml"/>
  <Override PartName="/xl/worksheets/sheet29.xml" ContentType="application/vnd.openxmlformats-officedocument.spreadsheetml.worksheet+xml"/>
  <Override PartName="/xl/worksheets/sheet96.xml" ContentType="application/vnd.openxmlformats-officedocument.spreadsheetml.worksheet+xml"/>
  <Override PartName="/xl/worksheets/sheet28.xml" ContentType="application/vnd.openxmlformats-officedocument.spreadsheetml.worksheet+xml"/>
  <Override PartName="/xl/worksheets/sheet95.xml" ContentType="application/vnd.openxmlformats-officedocument.spreadsheetml.worksheet+xml"/>
  <Override PartName="/xl/worksheets/sheet27.xml" ContentType="application/vnd.openxmlformats-officedocument.spreadsheetml.worksheet+xml"/>
  <Override PartName="/xl/worksheets/sheet89.xml" ContentType="application/vnd.openxmlformats-officedocument.spreadsheetml.worksheet+xml"/>
  <Override PartName="/xl/worksheets/sheet88.xml" ContentType="application/vnd.openxmlformats-officedocument.spreadsheetml.worksheet+xml"/>
  <Override PartName="/xl/worksheets/sheet87.xml" ContentType="application/vnd.openxmlformats-officedocument.spreadsheetml.worksheet+xml"/>
  <Override PartName="/xl/worksheets/sheet19.xml" ContentType="application/vnd.openxmlformats-officedocument.spreadsheetml.worksheet+xml"/>
  <Override PartName="/xl/worksheets/sheet86.xml" ContentType="application/vnd.openxmlformats-officedocument.spreadsheetml.worksheet+xml"/>
  <Override PartName="/xl/worksheets/sheet18.xml" ContentType="application/vnd.openxmlformats-officedocument.spreadsheetml.worksheet+xml"/>
  <Override PartName="/xl/worksheets/sheet85.xml" ContentType="application/vnd.openxmlformats-officedocument.spreadsheetml.worksheet+xml"/>
  <Override PartName="/xl/worksheets/sheet17.xml" ContentType="application/vnd.openxmlformats-officedocument.spreadsheetml.worksheet+xml"/>
  <Override PartName="/xl/worksheets/sheet79.xml" ContentType="application/vnd.openxmlformats-officedocument.spreadsheetml.worksheet+xml"/>
  <Override PartName="/xl/worksheets/sheet5.xml" ContentType="application/vnd.openxmlformats-officedocument.spreadsheetml.worksheet+xml"/>
  <Override PartName="/xl/worksheets/sheet107.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108.xml" ContentType="application/vnd.openxmlformats-officedocument.spreadsheetml.worksheet+xml"/>
  <Override PartName="/xl/worksheets/sheet37.xml" ContentType="application/vnd.openxmlformats-officedocument.spreadsheetml.worksheet+xml"/>
  <Override PartName="/xl/worksheets/sheet109.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113.xml" ContentType="application/vnd.openxmlformats-officedocument.spreadsheetml.worksheet+xml"/>
  <Override PartName="/xl/worksheets/sheet41.xml" ContentType="application/vnd.openxmlformats-officedocument.spreadsheetml.worksheet+xml"/>
  <Override PartName="/xl/worksheets/sheet40.xml" ContentType="application/vnd.openxmlformats-officedocument.spreadsheetml.worksheet+xml"/>
  <Override PartName="/xl/worksheets/sheet112.xml" ContentType="application/vnd.openxmlformats-officedocument.spreadsheetml.worksheet+xml"/>
  <Override PartName="/xl/worksheets/sheet114.xml" ContentType="application/vnd.openxmlformats-officedocument.spreadsheetml.worksheet+xml"/>
  <Override PartName="/xl/worksheets/sheet42.xml" ContentType="application/vnd.openxmlformats-officedocument.spreadsheetml.worksheet+xml"/>
  <Override PartName="/xl/worksheets/sheet115.xml" ContentType="application/vnd.openxmlformats-officedocument.spreadsheetml.worksheet+xml"/>
  <Override PartName="/xl/worksheets/sheet43.xml" ContentType="application/vnd.openxmlformats-officedocument.spreadsheetml.worksheet+xml"/>
  <Override PartName="/xl/worksheets/sheet116.xml" ContentType="application/vnd.openxmlformats-officedocument.spreadsheetml.worksheet+xml"/>
  <Override PartName="/xl/worksheets/sheet44.xml" ContentType="application/vnd.openxmlformats-officedocument.spreadsheetml.worksheet+xml"/>
  <Override PartName="/xl/worksheets/sheet117.xml" ContentType="application/vnd.openxmlformats-officedocument.spreadsheetml.worksheet+xml"/>
  <Override PartName="/xl/worksheets/sheet45.xml" ContentType="application/vnd.openxmlformats-officedocument.spreadsheetml.worksheet+xml"/>
  <Override PartName="/xl/worksheets/sheet118.xml" ContentType="application/vnd.openxmlformats-officedocument.spreadsheetml.worksheet+xml"/>
  <Override PartName="/xl/worksheets/sheet46.xml" ContentType="application/vnd.openxmlformats-officedocument.spreadsheetml.worksheet+xml"/>
  <Override PartName="/xl/worksheets/sheet122.xml" ContentType="application/vnd.openxmlformats-officedocument.spreadsheetml.worksheet+xml"/>
  <Override PartName="/xl/worksheets/sheet50.xml" ContentType="application/vnd.openxmlformats-officedocument.spreadsheetml.worksheet+xml"/>
  <Override PartName="/xl/worksheets/sheet123.xml" ContentType="application/vnd.openxmlformats-officedocument.spreadsheetml.worksheet+xml"/>
  <Override PartName="/xl/worksheets/sheet51.xml" ContentType="application/vnd.openxmlformats-officedocument.spreadsheetml.worksheet+xml"/>
  <Override PartName="/xl/worksheets/sheet124.xml" ContentType="application/vnd.openxmlformats-officedocument.spreadsheetml.worksheet+xml"/>
  <Override PartName="/xl/worksheets/sheet52.xml" ContentType="application/vnd.openxmlformats-officedocument.spreadsheetml.worksheet+xml"/>
  <Override PartName="/xl/worksheets/sheet125.xml" ContentType="application/vnd.openxmlformats-officedocument.spreadsheetml.worksheet+xml"/>
  <Override PartName="/xl/worksheets/sheet53.xml" ContentType="application/vnd.openxmlformats-officedocument.spreadsheetml.worksheet+xml"/>
  <Override PartName="/xl/worksheets/sheet140.xml" ContentType="application/vnd.openxmlformats-officedocument.spreadsheetml.worksheet+xml"/>
  <Override PartName="/xl/worksheets/sheet138.xml" ContentType="application/vnd.openxmlformats-officedocument.spreadsheetml.worksheet+xml"/>
  <Override PartName="/xl/worksheets/sheet66.xml" ContentType="application/vnd.openxmlformats-officedocument.spreadsheetml.worksheet+xml"/>
  <Override PartName="/xl/worksheets/sheet141.xml" ContentType="application/vnd.openxmlformats-officedocument.spreadsheetml.worksheet+xml"/>
  <Override PartName="/xl/worksheets/sheet139.xml" ContentType="application/vnd.openxmlformats-officedocument.spreadsheetml.worksheet+xml"/>
  <Override PartName="/xl/worksheets/sheet67.xml" ContentType="application/vnd.openxmlformats-officedocument.spreadsheetml.worksheet+xml"/>
  <Override PartName="/xl/worksheets/sheet142.xml" ContentType="application/vnd.openxmlformats-officedocument.spreadsheetml.worksheet+xml"/>
  <Override PartName="/xl/worksheets/sheet70.xml" ContentType="application/vnd.openxmlformats-officedocument.spreadsheetml.worksheet+xml"/>
  <Override PartName="/xl/worksheets/sheet143.xml" ContentType="application/vnd.openxmlformats-officedocument.spreadsheetml.worksheet+xml"/>
  <Override PartName="/xl/worksheets/sheet71.xml" ContentType="application/vnd.openxmlformats-officedocument.spreadsheetml.worksheet+xml"/>
  <Override PartName="/xl/worksheets/sheet144.xml" ContentType="application/vnd.openxmlformats-officedocument.spreadsheetml.worksheet+xml"/>
  <Override PartName="/xl/worksheets/sheet72.xml" ContentType="application/vnd.openxmlformats-officedocument.spreadsheetml.worksheet+xml"/>
  <Override PartName="/xl/worksheets/sheet145.xml" ContentType="application/vnd.openxmlformats-officedocument.spreadsheetml.worksheet+xml"/>
  <Override PartName="/xl/worksheets/sheet73.xml" ContentType="application/vnd.openxmlformats-officedocument.spreadsheetml.worksheet+xml"/>
  <Override PartName="/xl/worksheets/sheet146.xml" ContentType="application/vnd.openxmlformats-officedocument.spreadsheetml.worksheet+xml"/>
  <Override PartName="/xl/worksheets/sheet74.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50.xml" ContentType="application/vnd.openxmlformats-officedocument.spreadsheetml.worksheet+xml"/>
  <Override PartName="/xl/worksheets/sheet149.xml" ContentType="application/vnd.openxmlformats-officedocument.spreadsheetml.worksheet+xml"/>
  <Override PartName="/xl/worksheets/sheet151.xml" ContentType="application/vnd.openxmlformats-officedocument.spreadsheetml.worksheet+xml"/>
  <Override PartName="/xl/worksheets/sheet137.xml" ContentType="application/vnd.openxmlformats-officedocument.spreadsheetml.worksheet+xml"/>
  <Override PartName="/xl/worksheets/sheet65.xml" ContentType="application/vnd.openxmlformats-officedocument.spreadsheetml.worksheet+xml"/>
  <Override PartName="/xl/worksheets/sheet136.xml" ContentType="application/vnd.openxmlformats-officedocument.spreadsheetml.worksheet+xml"/>
  <Override PartName="/xl/worksheets/sheet64.xml" ContentType="application/vnd.openxmlformats-officedocument.spreadsheetml.worksheet+xml"/>
  <Override PartName="/xl/worksheets/sheet135.xml" ContentType="application/vnd.openxmlformats-officedocument.spreadsheetml.worksheet+xml"/>
  <Override PartName="/xl/worksheets/sheet63.xml" ContentType="application/vnd.openxmlformats-officedocument.spreadsheetml.worksheet+xml"/>
  <Override PartName="/xl/worksheets/sheet134.xml" ContentType="application/vnd.openxmlformats-officedocument.spreadsheetml.worksheet+xml"/>
  <Override PartName="/xl/worksheets/sheet62.xml" ContentType="application/vnd.openxmlformats-officedocument.spreadsheetml.worksheet+xml"/>
  <Override PartName="/xl/worksheets/sheet133.xml" ContentType="application/vnd.openxmlformats-officedocument.spreadsheetml.worksheet+xml"/>
  <Override PartName="/xl/worksheets/sheet61.xml" ContentType="application/vnd.openxmlformats-officedocument.spreadsheetml.worksheet+xml"/>
  <Override PartName="/xl/worksheets/sheet132.xml" ContentType="application/vnd.openxmlformats-officedocument.spreadsheetml.worksheet+xml"/>
  <Override PartName="/xl/worksheets/sheet60.xml" ContentType="application/vnd.openxmlformats-officedocument.spreadsheetml.worksheet+xml"/>
  <Override PartName="/xl/worksheets/sheet131.xml" ContentType="application/vnd.openxmlformats-officedocument.spreadsheetml.worksheet+xml"/>
  <Override PartName="/xl/worksheets/sheet130.xml" ContentType="application/vnd.openxmlformats-officedocument.spreadsheetml.worksheet+xml"/>
  <Override PartName="/xl/worksheets/sheet56.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57.xml" ContentType="application/vnd.openxmlformats-officedocument.spreadsheetml.worksheet+xml"/>
  <Override PartName="/xl/worksheets/sheet55.xml" ContentType="application/vnd.openxmlformats-officedocument.spreadsheetml.worksheet+xml"/>
  <Override PartName="/xl/worksheets/sheet127.xml" ContentType="application/vnd.openxmlformats-officedocument.spreadsheetml.worksheet+xml"/>
  <Override PartName="/xl/worksheets/sheet54.xml" ContentType="application/vnd.openxmlformats-officedocument.spreadsheetml.worksheet+xml"/>
  <Override PartName="/xl/worksheets/sheet126.xml" ContentType="application/vnd.openxmlformats-officedocument.spreadsheetml.worksheet+xml"/>
  <Override PartName="/xl/worksheets/sheet34.xml" ContentType="application/vnd.openxmlformats-officedocument.spreadsheetml.worksheet+xml"/>
  <Override PartName="/xl/worksheets/sheet106.xml" ContentType="application/vnd.openxmlformats-officedocument.spreadsheetml.worksheet+xml"/>
  <Override PartName="/xl/worksheets/sheet33.xml" ContentType="application/vnd.openxmlformats-officedocument.spreadsheetml.worksheet+xml"/>
  <Override PartName="/xl/worksheets/sheet105.xml" ContentType="application/vnd.openxmlformats-officedocument.spreadsheetml.worksheet+xml"/>
  <Override PartName="/xl/worksheets/sheet32.xml" ContentType="application/vnd.openxmlformats-officedocument.spreadsheetml.worksheet+xml"/>
  <Override PartName="/xl/worksheets/sheet104.xml" ContentType="application/vnd.openxmlformats-officedocument.spreadsheetml.worksheet+xml"/>
  <Override PartName="/xl/worksheets/sheet48.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21.xml" ContentType="application/vnd.openxmlformats-officedocument.spreadsheetml.worksheet+xml"/>
  <Override PartName="/xl/worksheets/sheet47.xml" ContentType="application/vnd.openxmlformats-officedocument.spreadsheetml.worksheet+xml"/>
  <Override PartName="/xl/worksheets/sheet119.xml" ContentType="application/vnd.openxmlformats-officedocument.spreadsheetml.worksheet+xml"/>
  <Override PartName="/xl/worksheets/sheet10.xml" ContentType="application/vnd.openxmlformats-officedocument.spreadsheetml.worksheet+xml"/>
  <Override PartName="/xl/worksheets/sheet20.xml" ContentType="application/vnd.openxmlformats-officedocument.spreadsheetml.worksheet+xml"/>
  <Override PartName="/xl/worksheets/sheet31.xml" ContentType="application/vnd.openxmlformats-officedocument.spreadsheetml.worksheet+xml"/>
  <Override PartName="/xl/worksheets/sheet103.xml" ContentType="application/vnd.openxmlformats-officedocument.spreadsheetml.worksheet+xml"/>
  <Override PartName="/xl/worksheets/sheet9.xml" ContentType="application/vnd.openxmlformats-officedocument.spreadsheetml.worksheet+xml"/>
  <Override PartName="/xl/worksheets/sheet30.xml" ContentType="application/vnd.openxmlformats-officedocument.spreadsheetml.worksheet+xml"/>
  <Override PartName="/xl/worksheets/sheet102.xml" ContentType="application/vnd.openxmlformats-officedocument.spreadsheetml.worksheet+xml"/>
  <Override PartName="/xl/worksheets/sheet8.xml" ContentType="application/vnd.openxmlformats-officedocument.spreadsheetml.worksheet+xml"/>
  <Override PartName="/xl/worksheets/_rels/sheet86.xml.rels" ContentType="application/vnd.openxmlformats-package.relationships+xml"/>
  <Override PartName="/xl/worksheets/_rels/sheet18.xml.rels" ContentType="application/vnd.openxmlformats-package.relationships+xml"/>
  <Override PartName="/xl/worksheets/_rels/sheet144.xml.rels" ContentType="application/vnd.openxmlformats-package.relationships+xml"/>
  <Override PartName="/xl/worksheets/_rels/sheet85.xml.rels" ContentType="application/vnd.openxmlformats-package.relationships+xml"/>
  <Override PartName="/xl/worksheets/_rels/sheet17.xml.rels" ContentType="application/vnd.openxmlformats-package.relationships+xml"/>
  <Override PartName="/xl/worksheets/_rels/sheet143.xml.rels" ContentType="application/vnd.openxmlformats-package.relationships+xml"/>
  <Override PartName="/xl/worksheets/_rels/sheet78.xml.rels" ContentType="application/vnd.openxmlformats-package.relationships+xml"/>
  <Override PartName="/xl/worksheets/_rels/sheet136.xml.rels" ContentType="application/vnd.openxmlformats-package.relationships+xml"/>
  <Override PartName="/xl/worksheets/_rels/sheet77.xml.rels" ContentType="application/vnd.openxmlformats-package.relationships+xml"/>
  <Override PartName="/xl/worksheets/_rels/sheet135.xml.rels" ContentType="application/vnd.openxmlformats-package.relationships+xml"/>
  <Override PartName="/xl/worksheets/_rels/sheet76.xml.rels" ContentType="application/vnd.openxmlformats-package.relationships+xml"/>
  <Override PartName="/xl/worksheets/_rels/sheet134.xml.rels" ContentType="application/vnd.openxmlformats-package.relationships+xml"/>
  <Override PartName="/xl/worksheets/_rels/sheet75.xml.rels" ContentType="application/vnd.openxmlformats-package.relationships+xml"/>
  <Override PartName="/xl/worksheets/_rels/sheet133.xml.rels" ContentType="application/vnd.openxmlformats-package.relationships+xml"/>
  <Override PartName="/xl/worksheets/_rels/sheet74.xml.rels" ContentType="application/vnd.openxmlformats-package.relationships+xml"/>
  <Override PartName="/xl/worksheets/_rels/sheet132.xml.rels" ContentType="application/vnd.openxmlformats-package.relationships+xml"/>
  <Override PartName="/xl/worksheets/_rels/sheet33.xml.rels" ContentType="application/vnd.openxmlformats-package.relationships+xml"/>
  <Override PartName="/xl/worksheets/_rels/sheet32.xml.rels" ContentType="application/vnd.openxmlformats-package.relationships+xml"/>
  <Override PartName="/xl/worksheets/_rels/sheet127.xml.rels" ContentType="application/vnd.openxmlformats-package.relationships+xml"/>
  <Override PartName="/xl/worksheets/_rels/sheet69.xml.rels" ContentType="application/vnd.openxmlformats-package.relationships+xml"/>
  <Override PartName="/xl/worksheets/_rels/sheet128.xml.rels" ContentType="application/vnd.openxmlformats-package.relationships+xml"/>
  <Override PartName="/xl/worksheets/_rels/sheet35.xml.rels" ContentType="application/vnd.openxmlformats-package.relationships+xml"/>
  <Override PartName="/xl/worksheets/_rels/sheet36.xml.rels" ContentType="application/vnd.openxmlformats-package.relationships+xml"/>
  <Override PartName="/xl/worksheets/_rels/sheet37.xml.rels" ContentType="application/vnd.openxmlformats-package.relationships+xml"/>
  <Override PartName="/xl/worksheets/_rels/sheet38.xml.rels" ContentType="application/vnd.openxmlformats-package.relationships+xml"/>
  <Override PartName="/xl/worksheets/_rels/sheet39.xml.rels" ContentType="application/vnd.openxmlformats-package.relationships+xml"/>
  <Override PartName="/xl/worksheets/_rels/sheet112.xml.rels" ContentType="application/vnd.openxmlformats-package.relationships+xml"/>
  <Override PartName="/xl/worksheets/_rels/sheet54.xml.rels" ContentType="application/vnd.openxmlformats-package.relationships+xml"/>
  <Override PartName="/xl/worksheets/_rels/sheet108.xml.rels" ContentType="application/vnd.openxmlformats-package.relationships+xml"/>
  <Override PartName="/xl/worksheets/_rels/sheet20.xml.rels" ContentType="application/vnd.openxmlformats-package.relationships+xml"/>
  <Override PartName="/xl/worksheets/_rels/sheet109.xml.rels" ContentType="application/vnd.openxmlformats-package.relationships+xml"/>
  <Override PartName="/xl/worksheets/_rels/sheet41.xml.rels" ContentType="application/vnd.openxmlformats-package.relationships+xml"/>
  <Override PartName="/xl/worksheets/_rels/sheet34.xml.rels" ContentType="application/vnd.openxmlformats-package.relationships+xml"/>
  <Override PartName="/xl/worksheets/_rels/sheet129.xml.rels" ContentType="application/vnd.openxmlformats-package.relationships+xml"/>
  <Override PartName="/xl/worksheets/_rels/sheet40.xml.rels" ContentType="application/vnd.openxmlformats-package.relationships+xml"/>
  <Override PartName="/xl/worksheets/_rels/sheet149.xml.rels" ContentType="application/vnd.openxmlformats-package.relationships+xml"/>
  <Override PartName="/xl/worksheets/_rels/sheet60.xml.rels" ContentType="application/vnd.openxmlformats-package.relationships+xml"/>
  <Override PartName="/xl/worksheets/_rels/sheet55.xml.rels" ContentType="application/vnd.openxmlformats-package.relationships+xml"/>
  <Override PartName="/xl/worksheets/_rels/sheet113.xml.rels" ContentType="application/vnd.openxmlformats-package.relationships+xml"/>
  <Override PartName="/xl/worksheets/_rels/sheet5.xml.rels" ContentType="application/vnd.openxmlformats-package.relationships+xml"/>
  <Override PartName="/xl/worksheets/_rels/sheet29.xml.rels" ContentType="application/vnd.openxmlformats-package.relationships+xml"/>
  <Override PartName="/xl/worksheets/_rels/sheet97.xml.rels" ContentType="application/vnd.openxmlformats-package.relationships+xml"/>
  <Override PartName="/xl/worksheets/_rels/sheet99.xml.rels" ContentType="application/vnd.openxmlformats-package.relationships+xml"/>
  <Override PartName="/xl/worksheets/_rels/sheet56.xml.rels" ContentType="application/vnd.openxmlformats-package.relationships+xml"/>
  <Override PartName="/xl/worksheets/_rels/sheet114.xml.rels" ContentType="application/vnd.openxmlformats-package.relationships+xml"/>
  <Override PartName="/xl/worksheets/_rels/sheet98.xml.rels" ContentType="application/vnd.openxmlformats-package.relationships+xml"/>
  <Override PartName="/xl/worksheets/_rels/sheet96.xml.rels" ContentType="application/vnd.openxmlformats-package.relationships+xml"/>
  <Override PartName="/xl/worksheets/_rels/sheet28.xml.rels" ContentType="application/vnd.openxmlformats-package.relationships+xml"/>
  <Override PartName="/xl/worksheets/_rels/sheet137.xml.rels" ContentType="application/vnd.openxmlformats-package.relationships+xml"/>
  <Override PartName="/xl/worksheets/_rels/sheet79.xml.rels" ContentType="application/vnd.openxmlformats-package.relationships+xml"/>
  <Override PartName="/xl/worksheets/_rels/sheet100.xml.rels" ContentType="application/vnd.openxmlformats-package.relationships+xml"/>
  <Override PartName="/xl/worksheets/_rels/sheet42.xml.rels" ContentType="application/vnd.openxmlformats-package.relationships+xml"/>
  <Override PartName="/xl/worksheets/_rels/sheet118.xml.rels" ContentType="application/vnd.openxmlformats-package.relationships+xml"/>
  <Override PartName="/xl/worksheets/_rels/sheet8.xml.rels" ContentType="application/vnd.openxmlformats-package.relationships+xml"/>
  <Override PartName="/xl/worksheets/_rels/sheet50.xml.rels" ContentType="application/vnd.openxmlformats-package.relationships+xml"/>
  <Override PartName="/xl/worksheets/_rels/sheet139.xml.rels" ContentType="application/vnd.openxmlformats-package.relationships+xml"/>
  <Override PartName="/xl/worksheets/_rels/sheet147.xml.rels" ContentType="application/vnd.openxmlformats-package.relationships+xml"/>
  <Override PartName="/xl/worksheets/_rels/sheet89.xml.rels" ContentType="application/vnd.openxmlformats-package.relationships+xml"/>
  <Override PartName="/xl/worksheets/_rels/sheet110.xml.rels" ContentType="application/vnd.openxmlformats-package.relationships+xml"/>
  <Override PartName="/xl/worksheets/_rels/sheet52.xml.rels" ContentType="application/vnd.openxmlformats-package.relationships+xml"/>
  <Override PartName="/xl/worksheets/_rels/sheet43.xml.rels" ContentType="application/vnd.openxmlformats-package.relationships+xml"/>
  <Override PartName="/xl/worksheets/_rels/sheet101.xml.rels" ContentType="application/vnd.openxmlformats-package.relationships+xml"/>
  <Override PartName="/xl/worksheets/_rels/sheet116.xml.rels" ContentType="application/vnd.openxmlformats-package.relationships+xml"/>
  <Override PartName="/xl/worksheets/_rels/sheet58.xml.rels" ContentType="application/vnd.openxmlformats-package.relationships+xml"/>
  <Override PartName="/xl/worksheets/_rels/sheet138.xml.rels" ContentType="application/vnd.openxmlformats-package.relationships+xml"/>
  <Override PartName="/xl/worksheets/_rels/sheet148.xml.rels" ContentType="application/vnd.openxmlformats-package.relationships+xml"/>
  <Override PartName="/xl/worksheets/_rels/sheet27.xml.rels" ContentType="application/vnd.openxmlformats-package.relationships+xml"/>
  <Override PartName="/xl/worksheets/_rels/sheet95.xml.rels" ContentType="application/vnd.openxmlformats-package.relationships+xml"/>
  <Override PartName="/xl/worksheets/_rels/sheet48.xml.rels" ContentType="application/vnd.openxmlformats-package.relationships+xml"/>
  <Override PartName="/xl/worksheets/_rels/sheet106.xml.rels" ContentType="application/vnd.openxmlformats-package.relationships+xml"/>
  <Override PartName="/xl/worksheets/_rels/sheet111.xml.rels" ContentType="application/vnd.openxmlformats-package.relationships+xml"/>
  <Override PartName="/xl/worksheets/_rels/sheet53.xml.rels" ContentType="application/vnd.openxmlformats-package.relationships+xml"/>
  <Override PartName="/xl/worksheets/_rels/sheet46.xml.rels" ContentType="application/vnd.openxmlformats-package.relationships+xml"/>
  <Override PartName="/xl/worksheets/_rels/sheet104.xml.rels" ContentType="application/vnd.openxmlformats-package.relationships+xml"/>
  <Override PartName="/xl/worksheets/_rels/sheet51.xml.rels" ContentType="application/vnd.openxmlformats-package.relationships+xml"/>
  <Override PartName="/xl/worksheets/_rels/sheet146.xml.rels" ContentType="application/vnd.openxmlformats-package.relationships+xml"/>
  <Override PartName="/xl/worksheets/_rels/sheet88.xml.rels" ContentType="application/vnd.openxmlformats-package.relationships+xml"/>
  <Override PartName="/xl/worksheets/_rels/sheet73.xml.rels" ContentType="application/vnd.openxmlformats-package.relationships+xml"/>
  <Override PartName="/xl/worksheets/_rels/sheet131.xml.rels" ContentType="application/vnd.openxmlformats-package.relationships+xml"/>
  <Override PartName="/xl/worksheets/_rels/sheet11.xml.rels" ContentType="application/vnd.openxmlformats-package.relationships+xml"/>
  <Override PartName="/xl/worksheets/_rels/sheet21.xml.rels" ContentType="application/vnd.openxmlformats-package.relationships+xml"/>
  <Override PartName="/xl/worksheets/_rels/sheet105.xml.rels" ContentType="application/vnd.openxmlformats-package.relationships+xml"/>
  <Override PartName="/xl/worksheets/_rels/sheet47.xml.rels" ContentType="application/vnd.openxmlformats-package.relationships+xml"/>
  <Override PartName="/xl/worksheets/_rels/sheet119.xml.rels" ContentType="application/vnd.openxmlformats-package.relationships+xml"/>
  <Override PartName="/xl/worksheets/_rels/sheet30.xml.rels" ContentType="application/vnd.openxmlformats-package.relationships+xml"/>
  <Override PartName="/xl/worksheets/_rels/sheet9.xml.rels" ContentType="application/vnd.openxmlformats-package.relationships+xml"/>
  <Override PartName="/xl/worksheets/_rels/sheet10.xml.rels" ContentType="application/vnd.openxmlformats-package.relationships+xml"/>
  <Override PartName="/xl/worksheets/_rels/sheet31.xml.rels" ContentType="application/vnd.openxmlformats-package.relationships+xml"/>
  <Override PartName="/xl/worksheets/_rels/sheet45.xml.rels" ContentType="application/vnd.openxmlformats-package.relationships+xml"/>
  <Override PartName="/xl/worksheets/_rels/sheet103.xml.rels" ContentType="application/vnd.openxmlformats-package.relationships+xml"/>
  <Override PartName="/xl/worksheets/_rels/sheet44.xml.rels" ContentType="application/vnd.openxmlformats-package.relationships+xml"/>
  <Override PartName="/xl/worksheets/_rels/sheet102.xml.rels" ContentType="application/vnd.openxmlformats-package.relationships+xml"/>
  <Override PartName="/xl/worksheets/_rels/sheet117.xml.rels" ContentType="application/vnd.openxmlformats-package.relationships+xml"/>
  <Override PartName="/xl/worksheets/_rels/sheet59.xml.rels" ContentType="application/vnd.openxmlformats-package.relationships+xml"/>
  <Override PartName="/xl/worksheets/_rels/sheet107.xml.rels" ContentType="application/vnd.openxmlformats-package.relationships+xml"/>
  <Override PartName="/xl/worksheets/_rels/sheet49.xml.rels" ContentType="application/vnd.openxmlformats-package.relationships+xml"/>
  <Override PartName="/xl/worksheets/_rels/sheet12.xml.rels" ContentType="application/vnd.openxmlformats-package.relationships+xml"/>
  <Override PartName="/xl/worksheets/_rels/sheet80.xml.rels" ContentType="application/vnd.openxmlformats-package.relationships+xml"/>
  <Override PartName="/xl/worksheets/_rels/sheet13.xml.rels" ContentType="application/vnd.openxmlformats-package.relationships+xml"/>
  <Override PartName="/xl/worksheets/_rels/sheet81.xml.rels" ContentType="application/vnd.openxmlformats-package.relationships+xml"/>
  <Override PartName="/xl/worksheets/_rels/sheet140.xml.rels" ContentType="application/vnd.openxmlformats-package.relationships+xml"/>
  <Override PartName="/xl/worksheets/_rels/sheet14.xml.rels" ContentType="application/vnd.openxmlformats-package.relationships+xml"/>
  <Override PartName="/xl/worksheets/_rels/sheet82.xml.rels" ContentType="application/vnd.openxmlformats-package.relationships+xml"/>
  <Override PartName="/xl/worksheets/_rels/sheet141.xml.rels" ContentType="application/vnd.openxmlformats-package.relationships+xml"/>
  <Override PartName="/xl/worksheets/_rels/sheet15.xml.rels" ContentType="application/vnd.openxmlformats-package.relationships+xml"/>
  <Override PartName="/xl/worksheets/_rels/sheet83.xml.rels" ContentType="application/vnd.openxmlformats-package.relationships+xml"/>
  <Override PartName="/xl/worksheets/_rels/sheet57.xml.rels" ContentType="application/vnd.openxmlformats-package.relationships+xml"/>
  <Override PartName="/xl/worksheets/_rels/sheet115.xml.rels" ContentType="application/vnd.openxmlformats-package.relationships+xml"/>
  <Override PartName="/xl/worksheets/_rels/sheet142.xml.rels" ContentType="application/vnd.openxmlformats-package.relationships+xml"/>
  <Override PartName="/xl/worksheets/_rels/sheet16.xml.rels" ContentType="application/vnd.openxmlformats-package.relationships+xml"/>
  <Override PartName="/xl/worksheets/_rels/sheet84.xml.rels" ContentType="application/vnd.openxmlformats-package.relationships+xml"/>
  <Override PartName="/xl/worksheets/_rels/sheet19.xml.rels" ContentType="application/vnd.openxmlformats-package.relationships+xml"/>
  <Override PartName="/xl/worksheets/_rels/sheet87.xml.rels" ContentType="application/vnd.openxmlformats-package.relationships+xml"/>
  <Override PartName="/xl/worksheets/_rels/sheet145.xml.rels" ContentType="application/vnd.openxmlformats-package.relationships+xml"/>
  <Override PartName="/xl/worksheets/_rels/sheet22.xml.rels" ContentType="application/vnd.openxmlformats-package.relationships+xml"/>
  <Override PartName="/xl/worksheets/_rels/sheet90.xml.rels" ContentType="application/vnd.openxmlformats-package.relationships+xml"/>
  <Override PartName="/xl/worksheets/_rels/sheet93.xml.rels" ContentType="application/vnd.openxmlformats-package.relationships+xml"/>
  <Override PartName="/xl/worksheets/_rels/sheet25.xml.rels" ContentType="application/vnd.openxmlformats-package.relationships+xml"/>
  <Override PartName="/xl/worksheets/_rels/sheet23.xml.rels" ContentType="application/vnd.openxmlformats-package.relationships+xml"/>
  <Override PartName="/xl/worksheets/_rels/sheet91.xml.rels" ContentType="application/vnd.openxmlformats-package.relationships+xml"/>
  <Override PartName="/xl/worksheets/_rels/sheet94.xml.rels" ContentType="application/vnd.openxmlformats-package.relationships+xml"/>
  <Override PartName="/xl/worksheets/_rels/sheet26.xml.rels" ContentType="application/vnd.openxmlformats-package.relationships+xml"/>
  <Override PartName="/xl/worksheets/_rels/sheet92.xml.rels" ContentType="application/vnd.openxmlformats-package.relationships+xml"/>
  <Override PartName="/xl/worksheets/_rels/sheet150.xml.rels" ContentType="application/vnd.openxmlformats-package.relationships+xml"/>
  <Override PartName="/xl/worksheets/_rels/sheet24.xml.rels" ContentType="application/vnd.openxmlformats-package.relationships+xml"/>
  <Override PartName="/xl/worksheets/_rels/sheet61.xml.rels" ContentType="application/vnd.openxmlformats-package.relationships+xml"/>
  <Override PartName="/xl/worksheets/_rels/sheet120.xml.rels" ContentType="application/vnd.openxmlformats-package.relationships+xml"/>
  <Override PartName="/xl/worksheets/_rels/sheet62.xml.rels" ContentType="application/vnd.openxmlformats-package.relationships+xml"/>
  <Override PartName="/xl/worksheets/_rels/sheet121.xml.rels" ContentType="application/vnd.openxmlformats-package.relationships+xml"/>
  <Override PartName="/xl/worksheets/_rels/sheet63.xml.rels" ContentType="application/vnd.openxmlformats-package.relationships+xml"/>
  <Override PartName="/xl/worksheets/_rels/sheet122.xml.rels" ContentType="application/vnd.openxmlformats-package.relationships+xml"/>
  <Override PartName="/xl/worksheets/_rels/sheet64.xml.rels" ContentType="application/vnd.openxmlformats-package.relationships+xml"/>
  <Override PartName="/xl/worksheets/_rels/sheet123.xml.rels" ContentType="application/vnd.openxmlformats-package.relationships+xml"/>
  <Override PartName="/xl/worksheets/_rels/sheet65.xml.rels" ContentType="application/vnd.openxmlformats-package.relationships+xml"/>
  <Override PartName="/xl/worksheets/_rels/sheet124.xml.rels" ContentType="application/vnd.openxmlformats-package.relationships+xml"/>
  <Override PartName="/xl/worksheets/_rels/sheet66.xml.rels" ContentType="application/vnd.openxmlformats-package.relationships+xml"/>
  <Override PartName="/xl/worksheets/_rels/sheet67.xml.rels" ContentType="application/vnd.openxmlformats-package.relationships+xml"/>
  <Override PartName="/xl/worksheets/_rels/sheet125.xml.rels" ContentType="application/vnd.openxmlformats-package.relationships+xml"/>
  <Override PartName="/xl/worksheets/_rels/sheet68.xml.rels" ContentType="application/vnd.openxmlformats-package.relationships+xml"/>
  <Override PartName="/xl/worksheets/_rels/sheet126.xml.rels" ContentType="application/vnd.openxmlformats-package.relationships+xml"/>
  <Override PartName="/xl/worksheets/_rels/sheet70.xml.rels" ContentType="application/vnd.openxmlformats-package.relationships+xml"/>
  <Override PartName="/xl/worksheets/_rels/sheet71.xml.rels" ContentType="application/vnd.openxmlformats-package.relationships+xml"/>
  <Override PartName="/xl/worksheets/_rels/sheet130.xml.rels" ContentType="application/vnd.openxmlformats-package.relationships+xml"/>
  <Override PartName="/xl/worksheets/_rels/sheet72.xml.rels" ContentType="application/vnd.openxmlformats-package.relationships+xml"/>
  <Override PartName="/xl/worksheets/sheet7.xml" ContentType="application/vnd.openxmlformats-officedocument.spreadsheetml.worksheet+xml"/>
  <Override PartName="/xl/worksheets/sheet49.xml" ContentType="application/vnd.openxmlformats-officedocument.spreadsheetml.worksheet+xml"/>
  <Override PartName="/xl/worksheets/sheet12.xml" ContentType="application/vnd.openxmlformats-officedocument.spreadsheetml.worksheet+xml"/>
  <Override PartName="/xl/worksheets/sheet80.xml" ContentType="application/vnd.openxmlformats-officedocument.spreadsheetml.worksheet+xml"/>
  <Override PartName="/xl/worksheets/sheet13.xml" ContentType="application/vnd.openxmlformats-officedocument.spreadsheetml.worksheet+xml"/>
  <Override PartName="/xl/worksheets/sheet81.xml" ContentType="application/vnd.openxmlformats-officedocument.spreadsheetml.worksheet+xml"/>
  <Override PartName="/xl/worksheets/sheet14.xml" ContentType="application/vnd.openxmlformats-officedocument.spreadsheetml.worksheet+xml"/>
  <Override PartName="/xl/worksheets/sheet82.xml" ContentType="application/vnd.openxmlformats-officedocument.spreadsheetml.worksheet+xml"/>
  <Override PartName="/xl/worksheets/sheet15.xml" ContentType="application/vnd.openxmlformats-officedocument.spreadsheetml.worksheet+xml"/>
  <Override PartName="/xl/worksheets/sheet83.xml" ContentType="application/vnd.openxmlformats-officedocument.spreadsheetml.worksheet+xml"/>
  <Override PartName="/xl/worksheets/sheet16.xml" ContentType="application/vnd.openxmlformats-officedocument.spreadsheetml.worksheet+xml"/>
  <Override PartName="/xl/worksheets/sheet84.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22.xml" ContentType="application/vnd.openxmlformats-officedocument.spreadsheetml.worksheet+xml"/>
  <Override PartName="/xl/worksheets/sheet90.xml" ContentType="application/vnd.openxmlformats-officedocument.spreadsheetml.worksheet+xml"/>
  <Override PartName="/xl/worksheets/sheet23.xml" ContentType="application/vnd.openxmlformats-officedocument.spreadsheetml.worksheet+xml"/>
  <Override PartName="/xl/worksheets/sheet91.xml" ContentType="application/vnd.openxmlformats-officedocument.spreadsheetml.worksheet+xml"/>
  <Override PartName="/xl/worksheets/sheet24.xml" ContentType="application/vnd.openxmlformats-officedocument.spreadsheetml.worksheet+xml"/>
  <Override PartName="/xl/worksheets/sheet92.xml" ContentType="application/vnd.openxmlformats-officedocument.spreadsheetml.worksheet+xml"/>
  <Override PartName="/xl/worksheets/sheet25.xml" ContentType="application/vnd.openxmlformats-officedocument.spreadsheetml.worksheet+xml"/>
  <Override PartName="/xl/worksheets/sheet93.xml" ContentType="application/vnd.openxmlformats-officedocument.spreadsheetml.worksheet+xml"/>
  <Override PartName="/xl/worksheets/sheet26.xml" ContentType="application/vnd.openxmlformats-officedocument.spreadsheetml.worksheet+xml"/>
  <Override PartName="/xl/worksheets/sheet94.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5.xml" ContentType="application/vnd.openxmlformats-officedocument.spreadsheetml.worksheet+xml"/>
  <Override PartName="/xl/worksheets/sheet1.xml" ContentType="application/vnd.openxmlformats-officedocument.spreadsheetml.worksheet+xml"/>
  <Override PartName="/xl/worksheets/sheet76.xml" ContentType="application/vnd.openxmlformats-officedocument.spreadsheetml.worksheet+xml"/>
  <Override PartName="/xl/worksheets/sheet2.xml" ContentType="application/vnd.openxmlformats-officedocument.spreadsheetml.worksheet+xml"/>
  <Override PartName="/xl/worksheets/sheet7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78.xml" ContentType="application/vnd.openxmlformats-officedocument.spreadsheetml.worksheet+xml"/>
  <Override PartName="/xl/sharedStrings.xml" ContentType="application/vnd.openxmlformats-officedocument.spreadsheetml.sharedStrings+xml"/>
  <Override PartName="/xl/drawings/drawing104.xml" ContentType="application/vnd.openxmlformats-officedocument.drawing+xml"/>
  <Override PartName="/xl/drawings/drawing103.xml" ContentType="application/vnd.openxmlformats-officedocument.drawing+xml"/>
  <Override PartName="/xl/drawings/drawing59.xml" ContentType="application/vnd.openxmlformats-officedocument.drawing+xml"/>
  <Override PartName="/xl/drawings/drawing102.xml" ContentType="application/vnd.openxmlformats-officedocument.drawing+xml"/>
  <Override PartName="/xl/drawings/drawing58.xml" ContentType="application/vnd.openxmlformats-officedocument.drawing+xml"/>
  <Override PartName="/xl/drawings/drawing101.xml" ContentType="application/vnd.openxmlformats-officedocument.drawing+xml"/>
  <Override PartName="/xl/drawings/drawing57.xml" ContentType="application/vnd.openxmlformats-officedocument.drawing+xml"/>
  <Override PartName="/xl/drawings/drawing100.xml" ContentType="application/vnd.openxmlformats-officedocument.drawing+xml"/>
  <Override PartName="/xl/drawings/drawing56.xml" ContentType="application/vnd.openxmlformats-officedocument.drawing+xml"/>
  <Override PartName="/xl/drawings/drawing99.xml" ContentType="application/vnd.openxmlformats-officedocument.drawing+xml"/>
  <Override PartName="/xl/drawings/drawing143.xml" ContentType="application/vnd.openxmlformats-officedocument.drawing+xml"/>
  <Override PartName="/xl/drawings/drawing98.xml" ContentType="application/vnd.openxmlformats-officedocument.drawing+xml"/>
  <Override PartName="/xl/drawings/drawing142.xml" ContentType="application/vnd.openxmlformats-officedocument.drawing+xml"/>
  <Override PartName="/xl/drawings/drawing96.xml" ContentType="application/vnd.openxmlformats-officedocument.drawing+xml"/>
  <Override PartName="/xl/drawings/drawing28.xml" ContentType="application/vnd.openxmlformats-officedocument.drawing+xml"/>
  <Override PartName="/xl/drawings/drawing140.xml" ContentType="application/vnd.openxmlformats-officedocument.drawing+xml"/>
  <Override PartName="/xl/drawings/drawing95.xml" ContentType="application/vnd.openxmlformats-officedocument.drawing+xml"/>
  <Override PartName="/xl/drawings/drawing27.xml" ContentType="application/vnd.openxmlformats-officedocument.drawing+xml"/>
  <Override PartName="/xl/drawings/drawing115.xml" ContentType="application/vnd.openxmlformats-officedocument.drawing+xml"/>
  <Override PartName="/xl/drawings/drawing15.xml" ContentType="application/vnd.openxmlformats-officedocument.drawing+xml"/>
  <Override PartName="/xl/drawings/drawing83.xml" ContentType="application/vnd.openxmlformats-officedocument.drawing+xml"/>
  <Override PartName="/xl/drawings/drawing118.xml" ContentType="application/vnd.openxmlformats-officedocument.drawing+xml"/>
  <Override PartName="/xl/drawings/drawing10.xml" ContentType="application/vnd.openxmlformats-officedocument.drawing+xml"/>
  <Override PartName="/xl/drawings/drawing47.xml" ContentType="application/vnd.openxmlformats-officedocument.drawing+xml"/>
  <Override PartName="/xl/drawings/drawing116.xml" ContentType="application/vnd.openxmlformats-officedocument.drawing+xml"/>
  <Override PartName="/xl/drawings/drawing81.xml" ContentType="application/vnd.openxmlformats-officedocument.drawing+xml"/>
  <Override PartName="/xl/drawings/drawing13.xml" ContentType="application/vnd.openxmlformats-officedocument.drawing+xml"/>
  <Override PartName="/xl/drawings/vmlDrawing1.vml" ContentType="application/vnd.openxmlformats-officedocument.vmlDrawing"/>
  <Override PartName="/xl/drawings/drawing20.xml" ContentType="application/vnd.openxmlformats-officedocument.drawing+xml"/>
  <Override PartName="/xl/drawings/drawing2.xml" ContentType="application/vnd.openxmlformats-officedocument.drawing+xml"/>
  <Override PartName="/xl/drawings/drawing11.xml" ContentType="application/vnd.openxmlformats-officedocument.drawing+xml"/>
  <Override PartName="/xl/drawings/drawing48.xml" ContentType="application/vnd.openxmlformats-officedocument.drawing+xml"/>
  <Override PartName="/xl/drawings/drawing6.xml" ContentType="application/vnd.openxmlformats-officedocument.drawing+xml"/>
  <Override PartName="/xl/drawings/drawing53.xml" ContentType="application/vnd.openxmlformats-officedocument.drawing+xml"/>
  <Override PartName="/xl/drawings/drawing117.xml" ContentType="application/vnd.openxmlformats-officedocument.drawing+xml"/>
  <Override PartName="/xl/drawings/drawing8.xml" ContentType="application/vnd.openxmlformats-officedocument.drawing+xml"/>
  <Override PartName="/xl/drawings/drawing55.xml" ContentType="application/vnd.openxmlformats-officedocument.drawing+xml"/>
  <Override PartName="/xl/drawings/drawing3.xml" ContentType="application/vnd.openxmlformats-officedocument.drawing+xml"/>
  <Override PartName="/xl/drawings/drawing50.xml" ContentType="application/vnd.openxmlformats-officedocument.drawing+xml"/>
  <Override PartName="/xl/drawings/drawing80.xml" ContentType="application/vnd.openxmlformats-officedocument.drawing+xml"/>
  <Override PartName="/xl/drawings/drawing12.xml" ContentType="application/vnd.openxmlformats-officedocument.drawing+xml"/>
  <Override PartName="/xl/drawings/drawing49.xml" ContentType="application/vnd.openxmlformats-officedocument.drawing+xml"/>
  <Override PartName="/xl/drawings/drawing7.xml" ContentType="application/vnd.openxmlformats-officedocument.drawing+xml"/>
  <Override PartName="/xl/drawings/drawing54.xml" ContentType="application/vnd.openxmlformats-officedocument.drawing+xml"/>
  <Override PartName="/xl/drawings/drawing9.xml" ContentType="application/vnd.openxmlformats-officedocument.drawing+xml"/>
  <Override PartName="/xl/drawings/drawing1.xml" ContentType="application/vnd.openxmlformats-officedocument.drawing+xml"/>
  <Override PartName="/xl/drawings/drawing44.xml" ContentType="application/vnd.openxmlformats-officedocument.drawing+xml"/>
  <Override PartName="/xl/drawings/drawing144.xml" ContentType="application/vnd.openxmlformats-officedocument.drawing+xml"/>
  <Override PartName="/xl/drawings/drawing45.xml" ContentType="application/vnd.openxmlformats-officedocument.drawing+xml"/>
  <Override PartName="/xl/drawings/drawing127.xml" ContentType="application/vnd.openxmlformats-officedocument.drawing+xml"/>
  <Override PartName="/xl/drawings/drawing128.xml" ContentType="application/vnd.openxmlformats-officedocument.drawing+xml"/>
  <Override PartName="/xl/drawings/drawing46.xml" ContentType="application/vnd.openxmlformats-officedocument.drawing+xml"/>
  <Override PartName="/xl/drawings/drawing129.xml" ContentType="application/vnd.openxmlformats-officedocument.drawing+xml"/>
  <Override PartName="/xl/drawings/drawing134.xml" ContentType="application/vnd.openxmlformats-officedocument.drawing+xml"/>
  <Override PartName="/xl/drawings/drawing34.xml" ContentType="application/vnd.openxmlformats-officedocument.drawing+xml"/>
  <Override PartName="/xl/drawings/drawing135.xml" ContentType="application/vnd.openxmlformats-officedocument.drawing+xml"/>
  <Override PartName="/xl/drawings/drawing35.xml" ContentType="application/vnd.openxmlformats-officedocument.drawing+xml"/>
  <Override PartName="/xl/drawings/drawing136.xml" ContentType="application/vnd.openxmlformats-officedocument.drawing+xml"/>
  <Override PartName="/xl/drawings/drawing36.xml" ContentType="application/vnd.openxmlformats-officedocument.drawing+xml"/>
  <Override PartName="/xl/drawings/drawing137.xml" ContentType="application/vnd.openxmlformats-officedocument.drawing+xml"/>
  <Override PartName="/xl/drawings/drawing37.xml" ContentType="application/vnd.openxmlformats-officedocument.drawing+xml"/>
  <Override PartName="/xl/drawings/drawing138.xml" ContentType="application/vnd.openxmlformats-officedocument.drawing+xml"/>
  <Override PartName="/xl/drawings/drawing38.xml" ContentType="application/vnd.openxmlformats-officedocument.drawing+xml"/>
  <Override PartName="/xl/drawings/drawing139.xml" ContentType="application/vnd.openxmlformats-officedocument.drawing+xml"/>
  <Override PartName="/xl/drawings/drawing39.xml" ContentType="application/vnd.openxmlformats-officedocument.drawing+xml"/>
  <Override PartName="/xl/drawings/drawing43.xml" ContentType="application/vnd.openxmlformats-officedocument.drawing+xml"/>
  <Override PartName="/xl/drawings/drawing42.xml" ContentType="application/vnd.openxmlformats-officedocument.drawing+xml"/>
  <Override PartName="/xl/drawings/drawing41.xml" ContentType="application/vnd.openxmlformats-officedocument.drawing+xml"/>
  <Override PartName="/xl/drawings/drawing97.xml" ContentType="application/vnd.openxmlformats-officedocument.drawing+xml"/>
  <Override PartName="/xl/drawings/drawing29.xml" ContentType="application/vnd.openxmlformats-officedocument.drawing+xml"/>
  <Override PartName="/xl/drawings/drawing141.xml" ContentType="application/vnd.openxmlformats-officedocument.drawing+xml"/>
  <Override PartName="/xl/drawings/drawing40.xml" ContentType="application/vnd.openxmlformats-officedocument.drawing+xml"/>
  <Override PartName="/xl/drawings/drawing33.xml" ContentType="application/vnd.openxmlformats-officedocument.drawing+xml"/>
  <Override PartName="/xl/drawings/drawing32.xml" ContentType="application/vnd.openxmlformats-officedocument.drawing+xml"/>
  <Override PartName="/xl/drawings/drawing31.xml" ContentType="application/vnd.openxmlformats-officedocument.drawing+xml"/>
  <Override PartName="/xl/drawings/drawing30.xml" ContentType="application/vnd.openxmlformats-officedocument.drawing+xml"/>
  <Override PartName="/xl/drawings/drawing51.xml" ContentType="application/vnd.openxmlformats-officedocument.drawing+xml"/>
  <Override PartName="/xl/drawings/drawing4.xml" ContentType="application/vnd.openxmlformats-officedocument.drawing+xml"/>
  <Override PartName="/xl/drawings/drawing52.xml" ContentType="application/vnd.openxmlformats-officedocument.drawing+xml"/>
  <Override PartName="/xl/drawings/drawing5.xml" ContentType="application/vnd.openxmlformats-officedocument.drawing+xml"/>
  <Override PartName="/xl/drawings/drawing82.xml" ContentType="application/vnd.openxmlformats-officedocument.drawing+xml"/>
  <Override PartName="/xl/drawings/drawing14.xml" ContentType="application/vnd.openxmlformats-officedocument.drawing+xml"/>
  <Override PartName="/xl/drawings/drawing114.xml" ContentType="application/vnd.openxmlformats-officedocument.drawing+xml"/>
  <Override PartName="/xl/drawings/drawing16.xml" ContentType="application/vnd.openxmlformats-officedocument.drawing+xml"/>
  <Override PartName="/xl/drawings/drawing84.xml" ContentType="application/vnd.openxmlformats-officedocument.drawing+xml"/>
  <Override PartName="/xl/drawings/drawing119.xml" ContentType="application/vnd.openxmlformats-officedocument.drawing+xml"/>
  <Override PartName="/xl/drawings/drawing21.xml" ContentType="application/vnd.openxmlformats-officedocument.drawing+xml"/>
  <Override PartName="/xl/drawings/drawing124.xml" ContentType="application/vnd.openxmlformats-officedocument.drawing+xml"/>
  <Override PartName="/xl/drawings/drawing92.xml" ContentType="application/vnd.openxmlformats-officedocument.drawing+xml"/>
  <Override PartName="/xl/drawings/drawing24.xml" ContentType="application/vnd.openxmlformats-officedocument.drawing+xml"/>
  <Override PartName="/xl/drawings/drawing22.xml" ContentType="application/vnd.openxmlformats-officedocument.drawing+xml"/>
  <Override PartName="/xl/drawings/drawing90.xml" ContentType="application/vnd.openxmlformats-officedocument.drawing+xml"/>
  <Override PartName="/xl/drawings/drawing125.xml" ContentType="application/vnd.openxmlformats-officedocument.drawing+xml"/>
  <Override PartName="/xl/drawings/drawing93.xml" ContentType="application/vnd.openxmlformats-officedocument.drawing+xml"/>
  <Override PartName="/xl/drawings/drawing25.xml" ContentType="application/vnd.openxmlformats-officedocument.drawing+xml"/>
  <Override PartName="/xl/drawings/drawing94.xml" ContentType="application/vnd.openxmlformats-officedocument.drawing+xml"/>
  <Override PartName="/xl/drawings/drawing26.xml" ContentType="application/vnd.openxmlformats-officedocument.drawing+xml"/>
  <Override PartName="/xl/drawings/drawing126.xml" ContentType="application/vnd.openxmlformats-officedocument.drawing+xml"/>
  <Override PartName="/xl/drawings/drawing91.xml" ContentType="application/vnd.openxmlformats-officedocument.drawing+xml"/>
  <Override PartName="/xl/drawings/drawing23.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110.xml" ContentType="application/vnd.openxmlformats-officedocument.drawing+xml"/>
  <Override PartName="/xl/drawings/drawing66.xml" ContentType="application/vnd.openxmlformats-officedocument.drawing+xml"/>
  <Override PartName="/xl/drawings/drawing111.xml" ContentType="application/vnd.openxmlformats-officedocument.drawing+xml"/>
  <Override PartName="/xl/drawings/drawing67.xml" ContentType="application/vnd.openxmlformats-officedocument.drawing+xml"/>
  <Override PartName="/xl/drawings/drawing112.xml" ContentType="application/vnd.openxmlformats-officedocument.drawing+xml"/>
  <Override PartName="/xl/drawings/drawing68.xml" ContentType="application/vnd.openxmlformats-officedocument.drawing+xml"/>
  <Override PartName="/xl/drawings/drawing113.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105.xml" ContentType="application/vnd.openxmlformats-officedocument.drawing+xml"/>
  <Override PartName="/xl/drawings/drawing71.xml" ContentType="application/vnd.openxmlformats-officedocument.drawing+xml"/>
  <Override PartName="/xl/drawings/drawing106.xml" ContentType="application/vnd.openxmlformats-officedocument.drawing+xml"/>
  <Override PartName="/xl/drawings/drawing72.xml" ContentType="application/vnd.openxmlformats-officedocument.drawing+xml"/>
  <Override PartName="/xl/drawings/drawing107.xml" ContentType="application/vnd.openxmlformats-officedocument.drawing+xml"/>
  <Override PartName="/xl/drawings/drawing73.xml" ContentType="application/vnd.openxmlformats-officedocument.drawing+xml"/>
  <Override PartName="/xl/drawings/drawing108.xml" ContentType="application/vnd.openxmlformats-officedocument.drawing+xml"/>
  <Override PartName="/xl/drawings/drawing74.xml" ContentType="application/vnd.openxmlformats-officedocument.drawing+xml"/>
  <Override PartName="/xl/drawings/drawing109.xml" ContentType="application/vnd.openxmlformats-officedocument.drawing+xml"/>
  <Override PartName="/xl/drawings/drawing75.xml" ContentType="application/vnd.openxmlformats-officedocument.drawing+xml"/>
  <Override PartName="/xl/drawings/drawing120.xml" ContentType="application/vnd.openxmlformats-officedocument.drawing+xml"/>
  <Override PartName="/xl/drawings/drawing76.xml" ContentType="application/vnd.openxmlformats-officedocument.drawing+xml"/>
  <Override PartName="/xl/drawings/drawing121.xml" ContentType="application/vnd.openxmlformats-officedocument.drawing+xml"/>
  <Override PartName="/xl/drawings/drawing77.xml" ContentType="application/vnd.openxmlformats-officedocument.drawing+xml"/>
  <Override PartName="/xl/drawings/drawing122.xml" ContentType="application/vnd.openxmlformats-officedocument.drawing+xml"/>
  <Override PartName="/xl/drawings/drawing78.xml" ContentType="application/vnd.openxmlformats-officedocument.drawing+xml"/>
  <Override PartName="/xl/drawings/drawing123.xml" ContentType="application/vnd.openxmlformats-officedocument.drawing+xml"/>
  <Override PartName="/xl/drawings/drawing79.xml" ContentType="application/vnd.openxmlformats-officedocument.drawing+xml"/>
  <Override PartName="/xl/drawings/drawing17.xml" ContentType="application/vnd.openxmlformats-officedocument.drawing+xml"/>
  <Override PartName="/xl/drawings/drawing85.xml" ContentType="application/vnd.openxmlformats-officedocument.drawing+xml"/>
  <Override PartName="/xl/drawings/drawing18.xml" ContentType="application/vnd.openxmlformats-officedocument.drawing+xml"/>
  <Override PartName="/xl/drawings/drawing130.xml" ContentType="application/vnd.openxmlformats-officedocument.drawing+xml"/>
  <Override PartName="/xl/drawings/drawing86.xml" ContentType="application/vnd.openxmlformats-officedocument.drawing+xml"/>
  <Override PartName="/xl/drawings/drawing131.xml" ContentType="application/vnd.openxmlformats-officedocument.drawing+xml"/>
  <Override PartName="/xl/drawings/drawing19.xml" ContentType="application/vnd.openxmlformats-officedocument.drawing+xml"/>
  <Override PartName="/xl/drawings/drawing87.xml" ContentType="application/vnd.openxmlformats-officedocument.drawing+xml"/>
  <Override PartName="/xl/drawings/drawing132.xml" ContentType="application/vnd.openxmlformats-officedocument.drawing+xml"/>
  <Override PartName="/xl/drawings/drawing88.xml" ContentType="application/vnd.openxmlformats-officedocument.drawing+xml"/>
  <Override PartName="/xl/drawings/drawing133.xml" ContentType="application/vnd.openxmlformats-officedocument.drawing+xml"/>
  <Override PartName="/xl/drawings/drawing89.xml" ContentType="application/vnd.openxmlformats-officedocument.drawing+xml"/>
  <Override PartName="/xl/comments2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8"/>
  </bookViews>
  <sheets>
    <sheet name="README" sheetId="1" state="visible" r:id="rId3"/>
    <sheet name="RULES" sheetId="2" state="visible" r:id="rId4"/>
    <sheet name="Codes" sheetId="3" state="visible" r:id="rId5"/>
    <sheet name="FORMULAS" sheetId="4" state="visible" r:id="rId6"/>
    <sheet name="Study_Info" sheetId="5" state="visible" r:id="rId7"/>
    <sheet name="PARAMETERS_BY_STUDY" sheetId="6" state="visible" r:id="rId8"/>
    <sheet name="STUDIES_BY_PARAMETER" sheetId="7" state="visible" r:id="rId9"/>
    <sheet name="Treatment_Mapping" sheetId="8" state="visible" r:id="rId10"/>
    <sheet name="LAT_LONG" sheetId="9" state="visible" r:id="rId11"/>
    <sheet name="BD" sheetId="10" state="visible" r:id="rId12"/>
    <sheet name="PD" sheetId="11" state="visible" r:id="rId13"/>
    <sheet name="POROSITY" sheetId="12" state="visible" r:id="rId14"/>
    <sheet name="macro pore" sheetId="13" state="visible" r:id="rId15"/>
    <sheet name="meso pore" sheetId="14" state="visible" r:id="rId16"/>
    <sheet name="micro pore" sheetId="15" state="visible" r:id="rId17"/>
    <sheet name="MWD 1" sheetId="16" state="visible" r:id="rId18"/>
    <sheet name="MWDA" sheetId="17" state="visible" r:id="rId19"/>
    <sheet name="GMD 1" sheetId="18" state="visible" r:id="rId20"/>
    <sheet name="WSA" sheetId="19" state="visible" r:id="rId21"/>
    <sheet name="MACRO" sheetId="20" state="visible" r:id="rId22"/>
    <sheet name="MICRO" sheetId="21" state="visible" r:id="rId23"/>
    <sheet name="macro c" sheetId="22" state="visible" r:id="rId24"/>
    <sheet name="micro c" sheetId="23" state="visible" r:id="rId25"/>
    <sheet name="PR" sheetId="24" state="visible" r:id="rId26"/>
    <sheet name="HC" sheetId="25" state="visible" r:id="rId27"/>
    <sheet name="IR" sheetId="26" state="visible" r:id="rId28"/>
    <sheet name="AWC (weight basis)" sheetId="27" state="visible" r:id="rId29"/>
    <sheet name="AWC (volume basis)" sheetId="28" state="visible" r:id="rId30"/>
    <sheet name="WHC" sheetId="29" state="visible" r:id="rId31"/>
    <sheet name="FC (weight basis)" sheetId="30" state="visible" r:id="rId32"/>
    <sheet name="PWP (weight basis)" sheetId="31" state="visible" r:id="rId33"/>
    <sheet name="SAT WC" sheetId="32" state="visible" r:id="rId34"/>
    <sheet name="GWC" sheetId="33" state="visible" r:id="rId35"/>
    <sheet name="Moisture storage" sheetId="34" state="visible" r:id="rId36"/>
    <sheet name="TEXTURE" sheetId="35" state="visible" r:id="rId37"/>
    <sheet name="SOC(active C pool)" sheetId="36" state="visible" r:id="rId38"/>
    <sheet name="TOC" sheetId="37" state="visible" r:id="rId39"/>
    <sheet name="TC(total c)" sheetId="38" state="visible" r:id="rId40"/>
    <sheet name="SIC" sheetId="39" state="visible" r:id="rId41"/>
    <sheet name="PSOC" sheetId="40" state="visible" r:id="rId42"/>
    <sheet name="MOC" sheetId="41" state="visible" r:id="rId43"/>
    <sheet name="WSC" sheetId="42" state="visible" r:id="rId44"/>
    <sheet name="DOC" sheetId="43" state="visible" r:id="rId45"/>
    <sheet name="LFC-LFOC" sheetId="44" state="visible" r:id="rId46"/>
    <sheet name="HFOC" sheetId="45" state="visible" r:id="rId47"/>
    <sheet name="LFON" sheetId="46" state="visible" r:id="rId48"/>
    <sheet name="PON" sheetId="47" state="visible" r:id="rId49"/>
    <sheet name="cPOM-C" sheetId="48" state="visible" r:id="rId50"/>
    <sheet name="fPOM-C" sheetId="49" state="visible" r:id="rId51"/>
    <sheet name="POXC(KMnO4-C)" sheetId="50" state="visible" r:id="rId52"/>
    <sheet name="VLC(Cfrac1)" sheetId="51" state="visible" r:id="rId53"/>
    <sheet name="LC(Cfrac2)" sheetId="52" state="visible" r:id="rId54"/>
    <sheet name="LLC(Cfrac3)" sheetId="53" state="visible" r:id="rId55"/>
    <sheet name="NLC(Cfrac4)" sheetId="54" state="visible" r:id="rId56"/>
    <sheet name="stock-SOC" sheetId="55" state="visible" r:id="rId57"/>
    <sheet name="c sequestration rate" sheetId="56" state="visible" r:id="rId58"/>
    <sheet name="C liability" sheetId="57" state="visible" r:id="rId59"/>
    <sheet name="LI" sheetId="58" state="visible" r:id="rId60"/>
    <sheet name="CPI" sheetId="59" state="visible" r:id="rId61"/>
    <sheet name="CMI" sheetId="60" state="visible" r:id="rId62"/>
    <sheet name="RESP" sheetId="61" state="visible" r:id="rId63"/>
    <sheet name="PH" sheetId="62" state="visible" r:id="rId64"/>
    <sheet name="EC" sheetId="63" state="visible" r:id="rId65"/>
    <sheet name="CEC" sheetId="64" state="visible" r:id="rId66"/>
    <sheet name="N" sheetId="65" state="visible" r:id="rId67"/>
    <sheet name="P" sheetId="66" state="visible" r:id="rId68"/>
    <sheet name="K" sheetId="67" state="visible" r:id="rId69"/>
    <sheet name="AV.S" sheetId="68" state="visible" r:id="rId70"/>
    <sheet name="total N" sheetId="69" state="visible" r:id="rId71"/>
    <sheet name="total P" sheetId="70" state="visible" r:id="rId72"/>
    <sheet name="total K" sheetId="71" state="visible" r:id="rId73"/>
    <sheet name="WS-K" sheetId="72" state="visible" r:id="rId74"/>
    <sheet name="EX-K" sheetId="73" state="visible" r:id="rId75"/>
    <sheet name="NEX-K" sheetId="74" state="visible" r:id="rId76"/>
    <sheet name="no3,nh4,PMN" sheetId="75" state="visible" r:id="rId77"/>
    <sheet name="NO3 leaching" sheetId="76" state="visible" r:id="rId78"/>
    <sheet name="15N RESIDUAL" sheetId="77" state="visible" r:id="rId79"/>
    <sheet name="B(ppm)" sheetId="78" state="visible" r:id="rId80"/>
    <sheet name="Fe(ppm)" sheetId="79" state="visible" r:id="rId81"/>
    <sheet name="Mn" sheetId="80" state="visible" r:id="rId82"/>
    <sheet name="Cu(ppm)" sheetId="81" state="visible" r:id="rId83"/>
    <sheet name="Zn(ppm)" sheetId="82" state="visible" r:id="rId84"/>
    <sheet name="MBC" sheetId="83" state="visible" r:id="rId85"/>
    <sheet name="MBN" sheetId="84" state="visible" r:id="rId86"/>
    <sheet name="GLOMALIN" sheetId="85" state="visible" r:id="rId87"/>
    <sheet name="MYCORRHIZAL SPORES" sheetId="86" state="visible" r:id="rId88"/>
    <sheet name="DHA" sheetId="87" state="visible" r:id="rId89"/>
    <sheet name="B-GLU" sheetId="88" state="visible" r:id="rId90"/>
    <sheet name="ACP" sheetId="89" state="visible" r:id="rId91"/>
    <sheet name="ALKP" sheetId="90" state="visible" r:id="rId92"/>
    <sheet name="GAP" sheetId="91" state="visible" r:id="rId93"/>
    <sheet name="LAP" sheetId="92" state="visible" r:id="rId94"/>
    <sheet name="NAG" sheetId="93" state="visible" r:id="rId95"/>
    <sheet name="B-galactosidase" sheetId="94" state="visible" r:id="rId96"/>
    <sheet name="CELL" sheetId="95" state="visible" r:id="rId97"/>
    <sheet name="UREASE" sheetId="96" state="visible" r:id="rId98"/>
    <sheet name="PHYTASE" sheetId="97" state="visible" r:id="rId99"/>
    <sheet name="INVERTASE" sheetId="98" state="visible" r:id="rId100"/>
    <sheet name="CATALASE" sheetId="99" state="visible" r:id="rId101"/>
    <sheet name="ASP" sheetId="100" state="visible" r:id="rId102"/>
    <sheet name="XYL" sheetId="101" state="visible" r:id="rId103"/>
    <sheet name="PHOX" sheetId="102" state="visible" r:id="rId104"/>
    <sheet name="PEROX" sheetId="103" state="visible" r:id="rId105"/>
    <sheet name="PPO" sheetId="104" state="visible" r:id="rId106"/>
    <sheet name="FDA" sheetId="105" state="visible" r:id="rId107"/>
    <sheet name="NR" sheetId="106" state="visible" r:id="rId108"/>
    <sheet name="Actinomycetes" sheetId="107" state="visible" r:id="rId109"/>
    <sheet name="Soil microbial count" sheetId="108" state="visible" r:id="rId110"/>
    <sheet name="Fungal count" sheetId="109" state="visible" r:id="rId111"/>
    <sheet name="EARTHWORM" sheetId="110" state="visible" r:id="rId112"/>
    <sheet name="Cellulolytic count" sheetId="111" state="visible" r:id="rId113"/>
    <sheet name="RLD(CM-CM3)" sheetId="112" state="visible" r:id="rId114"/>
    <sheet name="PLANT HEIGHT" sheetId="113" state="visible" r:id="rId115"/>
    <sheet name="RMD(mg-cm3)" sheetId="114" state="visible" r:id="rId116"/>
    <sheet name="RVD(cm3-cm3)" sheetId="115" state="visible" r:id="rId117"/>
    <sheet name="RSD(cm2-cm3)" sheetId="116" state="visible" r:id="rId118"/>
    <sheet name="ROOT DIA(mm)" sheetId="117" state="visible" r:id="rId119"/>
    <sheet name="YIELD" sheetId="118" state="visible" r:id="rId120"/>
    <sheet name="SYS STRAW" sheetId="119" state="visible" r:id="rId121"/>
    <sheet name="PANICLE-SPIKE DENSITY" sheetId="120" state="visible" r:id="rId122"/>
    <sheet name="GRAINS PER PANICLE" sheetId="121" state="visible" r:id="rId123"/>
    <sheet name="1000-GRAIN WEIGHT" sheetId="122" state="visible" r:id="rId124"/>
    <sheet name="HARVEST INDEX" sheetId="123" state="visible" r:id="rId125"/>
    <sheet name="DAYS TO FLOWERING" sheetId="124" state="visible" r:id="rId126"/>
    <sheet name="DAYS TO MATURITY" sheetId="125" state="visible" r:id="rId127"/>
    <sheet name="GRAIN FILLING DAYS" sheetId="126" state="visible" r:id="rId128"/>
    <sheet name="N uptake" sheetId="127" state="visible" r:id="rId129"/>
    <sheet name="P uptake" sheetId="128" state="visible" r:id="rId130"/>
    <sheet name="K uptake" sheetId="129" state="visible" r:id="rId131"/>
    <sheet name="WUE" sheetId="130" state="visible" r:id="rId132"/>
    <sheet name="NUE" sheetId="131" state="visible" r:id="rId133"/>
    <sheet name="BC ratio" sheetId="132" state="visible" r:id="rId134"/>
    <sheet name="NET RETURN" sheetId="133" state="visible" r:id="rId135"/>
    <sheet name="NET ECONOMIC BENEFIT" sheetId="134" state="visible" r:id="rId136"/>
    <sheet name="SQI" sheetId="135" state="visible" r:id="rId137"/>
    <sheet name="emission CH4" sheetId="136" state="visible" r:id="rId138"/>
    <sheet name="emission N2O" sheetId="137" state="visible" r:id="rId139"/>
    <sheet name="CO2 emission" sheetId="138" state="visible" r:id="rId140"/>
    <sheet name="NO" sheetId="139" state="visible" r:id="rId141"/>
    <sheet name="GWP" sheetId="140" state="visible" r:id="rId142"/>
    <sheet name="NGWP" sheetId="141" state="visible" r:id="rId143"/>
    <sheet name="C input" sheetId="142" state="visible" r:id="rId144"/>
    <sheet name="C output" sheetId="143" state="visible" r:id="rId145"/>
    <sheet name="CSI" sheetId="144" state="visible" r:id="rId146"/>
    <sheet name="CER" sheetId="145" state="visible" r:id="rId147"/>
    <sheet name="GHG intensity" sheetId="146" state="visible" r:id="rId148"/>
    <sheet name="AGG-TP" sheetId="147" state="visible" r:id="rId149"/>
    <sheet name="AGG-AvP" sheetId="148" state="visible" r:id="rId150"/>
    <sheet name="AGG-ALKP" sheetId="149" state="visible" r:id="rId151"/>
    <sheet name="AGG-PhytinP" sheetId="150" state="visible" r:id="rId152"/>
    <sheet name="EXCLUDED_rows" sheetId="151" state="visible" r:id="rId153"/>
  </sheets>
  <definedNames>
    <definedName function="false" hidden="true" localSheetId="121" name="_xlnm._FilterDatabase" vbProcedure="false">'1000-GRAIN WEIGHT'!$A$1:$BK$1</definedName>
    <definedName function="false" hidden="true" localSheetId="76" name="_xlnm._FilterDatabase" vbProcedure="false">'15N RESIDUAL'!$A$1:$AY$1</definedName>
    <definedName function="false" hidden="true" localSheetId="88" name="_xlnm._FilterDatabase" vbProcedure="false">ACP!$A$1:$AY$1</definedName>
    <definedName function="false" hidden="true" localSheetId="106" name="_xlnm._FilterDatabase" vbProcedure="false">Actinomycetes!$A$1:$AY$1</definedName>
    <definedName function="false" hidden="true" localSheetId="148" name="_xlnm._FilterDatabase" vbProcedure="false">'AGG-ALKP'!$A$1:$AZ$1</definedName>
    <definedName function="false" hidden="true" localSheetId="147" name="_xlnm._FilterDatabase" vbProcedure="false">'AGG-AvP'!$A$1:$AZ$1</definedName>
    <definedName function="false" hidden="true" localSheetId="149" name="_xlnm._FilterDatabase" vbProcedure="false">'AGG-PhytinP'!$A$1:$AZ$1</definedName>
    <definedName function="false" hidden="true" localSheetId="146" name="_xlnm._FilterDatabase" vbProcedure="false">'AGG-TP'!$A$1:$AZ$1</definedName>
    <definedName function="false" hidden="true" localSheetId="89" name="_xlnm._FilterDatabase" vbProcedure="false">ALKP!$A$1:$AY$1</definedName>
    <definedName function="false" hidden="true" localSheetId="99" name="_xlnm._FilterDatabase" vbProcedure="false">ASP!$A$1:$AY$1</definedName>
    <definedName function="false" hidden="true" localSheetId="67" name="_xlnm._FilterDatabase" vbProcedure="false">'AV.S'!$A$1:$AY$1</definedName>
    <definedName function="false" hidden="true" localSheetId="27" name="_xlnm._FilterDatabase" vbProcedure="false">'AWC (volume basis)'!$A$1:$AY$1</definedName>
    <definedName function="false" hidden="true" localSheetId="26" name="_xlnm._FilterDatabase" vbProcedure="false">'AWC (weight basis)'!$A$1:$AY$1</definedName>
    <definedName function="false" hidden="true" localSheetId="93" name="_xlnm._FilterDatabase" vbProcedure="false">'B-galactosidase'!$A$1:$AY$1</definedName>
    <definedName function="false" hidden="true" localSheetId="87" name="_xlnm._FilterDatabase" vbProcedure="false">'B-GLU'!$A$1:$AY$1</definedName>
    <definedName function="false" hidden="true" localSheetId="77" name="_xlnm._FilterDatabase" vbProcedure="false">'B(ppm)'!$A$1:$AY$1</definedName>
    <definedName function="false" hidden="true" localSheetId="131" name="_xlnm._FilterDatabase" vbProcedure="false">'BC ratio'!$A$1:$BU$1</definedName>
    <definedName function="false" hidden="true" localSheetId="9" name="_xlnm._FilterDatabase" vbProcedure="false">BD!$A$1:$AY$1</definedName>
    <definedName function="false" hidden="true" localSheetId="141" name="_xlnm._FilterDatabase" vbProcedure="false">'C input'!$A$1:$AX$1</definedName>
    <definedName function="false" hidden="true" localSheetId="56" name="_xlnm._FilterDatabase" vbProcedure="false">'C liability'!$A$1:$AY$1</definedName>
    <definedName function="false" hidden="true" localSheetId="142" name="_xlnm._FilterDatabase" vbProcedure="false">'C output'!$A$1:$AX$1</definedName>
    <definedName function="false" hidden="true" localSheetId="55" name="_xlnm._FilterDatabase" vbProcedure="false">'c sequestration rate'!$A$1:$AY$1</definedName>
    <definedName function="false" hidden="true" localSheetId="98" name="_xlnm._FilterDatabase" vbProcedure="false">CATALASE!$A$1:$AY$1</definedName>
    <definedName function="false" hidden="true" localSheetId="63" name="_xlnm._FilterDatabase" vbProcedure="false">CEC!$A$1:$AY$1</definedName>
    <definedName function="false" hidden="true" localSheetId="94" name="_xlnm._FilterDatabase" vbProcedure="false">CELL!$A$1:$AY$1</definedName>
    <definedName function="false" hidden="true" localSheetId="110" name="_xlnm._FilterDatabase" vbProcedure="false">'Cellulolytic count'!$A$1:$AY$1</definedName>
    <definedName function="false" hidden="true" localSheetId="144" name="_xlnm._FilterDatabase" vbProcedure="false">CER!$A$1:$AX$1</definedName>
    <definedName function="false" hidden="true" localSheetId="59" name="_xlnm._FilterDatabase" vbProcedure="false">CMI!$A$1:$AY$1</definedName>
    <definedName function="false" hidden="true" localSheetId="137" name="_xlnm._FilterDatabase" vbProcedure="false">'CO2 emission'!$A$1:$BU$1</definedName>
    <definedName function="false" hidden="true" localSheetId="58" name="_xlnm._FilterDatabase" vbProcedure="false">CPI!$A$1:$AY$1</definedName>
    <definedName function="false" hidden="true" localSheetId="47" name="_xlnm._FilterDatabase" vbProcedure="false">'cPOM-C'!$A$1:$AY$1</definedName>
    <definedName function="false" hidden="true" localSheetId="143" name="_xlnm._FilterDatabase" vbProcedure="false">CSI!$A$1:$AX$1</definedName>
    <definedName function="false" hidden="true" localSheetId="80" name="_xlnm._FilterDatabase" vbProcedure="false">'Cu(ppm)'!$A$1:$AY$1</definedName>
    <definedName function="false" hidden="true" localSheetId="123" name="_xlnm._FilterDatabase" vbProcedure="false">'DAYS TO FLOWERING'!$A$1:$BK$1</definedName>
    <definedName function="false" hidden="true" localSheetId="124" name="_xlnm._FilterDatabase" vbProcedure="false">'DAYS TO MATURITY'!$A$1:$BK$1</definedName>
    <definedName function="false" hidden="true" localSheetId="86" name="_xlnm._FilterDatabase" vbProcedure="false">DHA!$A$1:$AY$1</definedName>
    <definedName function="false" hidden="true" localSheetId="42" name="_xlnm._FilterDatabase" vbProcedure="false">DOC!$A$1:$AY$1</definedName>
    <definedName function="false" hidden="true" localSheetId="109" name="_xlnm._FilterDatabase" vbProcedure="false">EARTHWORM!$A$1:$AY$1</definedName>
    <definedName function="false" hidden="true" localSheetId="62" name="_xlnm._FilterDatabase" vbProcedure="false">EC!$A$1:$AY$1</definedName>
    <definedName function="false" hidden="true" localSheetId="135" name="_xlnm._FilterDatabase" vbProcedure="false">'emission CH4'!$A$1:$BU$1</definedName>
    <definedName function="false" hidden="true" localSheetId="136" name="_xlnm._FilterDatabase" vbProcedure="false">'emission N2O'!$A$1:$BU$1</definedName>
    <definedName function="false" hidden="true" localSheetId="72" name="_xlnm._FilterDatabase" vbProcedure="false">'EX-K'!$A$1:$AY$1</definedName>
    <definedName function="false" hidden="true" localSheetId="29" name="_xlnm._FilterDatabase" vbProcedure="false">'FC (weight basis)'!$A$1:$AY$1</definedName>
    <definedName function="false" hidden="true" localSheetId="104" name="_xlnm._FilterDatabase" vbProcedure="false">FDA!$A$1:$AY$1</definedName>
    <definedName function="false" hidden="true" localSheetId="78" name="_xlnm._FilterDatabase" vbProcedure="false">'Fe(ppm)'!$A$1:$AY$1</definedName>
    <definedName function="false" hidden="true" localSheetId="48" name="_xlnm._FilterDatabase" vbProcedure="false">'fPOM-C'!$A$1:$AY$1</definedName>
    <definedName function="false" hidden="true" localSheetId="108" name="_xlnm._FilterDatabase" vbProcedure="false">'Fungal count'!$A$1:$AY$1</definedName>
    <definedName function="false" hidden="true" localSheetId="90" name="_xlnm._FilterDatabase" vbProcedure="false">GAP!$A$1:$AY$1</definedName>
    <definedName function="false" hidden="true" localSheetId="145" name="_xlnm._FilterDatabase" vbProcedure="false">'GHG intensity'!$A$1:$AX$1</definedName>
    <definedName function="false" hidden="true" localSheetId="84" name="_xlnm._FilterDatabase" vbProcedure="false">GLOMALIN!$A$1:$AY$1</definedName>
    <definedName function="false" hidden="true" localSheetId="17" name="_xlnm._FilterDatabase" vbProcedure="false">'GMD 1'!$A$1:$AY$1</definedName>
    <definedName function="false" hidden="true" localSheetId="125" name="_xlnm._FilterDatabase" vbProcedure="false">'GRAIN FILLING DAYS'!$A$1:$BK$1</definedName>
    <definedName function="false" hidden="true" localSheetId="120" name="_xlnm._FilterDatabase" vbProcedure="false">'GRAINS PER PANICLE'!$A$1:$BK$1</definedName>
    <definedName function="false" hidden="true" localSheetId="32" name="_xlnm._FilterDatabase" vbProcedure="false">GWC!$A$1:$AY$1</definedName>
    <definedName function="false" hidden="true" localSheetId="139" name="_xlnm._FilterDatabase" vbProcedure="false">GWP!$A$1:$BU$1</definedName>
    <definedName function="false" hidden="true" localSheetId="122" name="_xlnm._FilterDatabase" vbProcedure="false">'HARVEST INDEX'!$A$1:$BK$1</definedName>
    <definedName function="false" hidden="true" localSheetId="24" name="_xlnm._FilterDatabase" vbProcedure="false">HC!$A$1:$AY$1</definedName>
    <definedName function="false" hidden="true" localSheetId="44" name="_xlnm._FilterDatabase" vbProcedure="false">HFOC!$A$1:$AY$1</definedName>
    <definedName function="false" hidden="true" localSheetId="97" name="_xlnm._FilterDatabase" vbProcedure="false">INVERTASE!$A$1:$AY$1</definedName>
    <definedName function="false" hidden="true" localSheetId="25" name="_xlnm._FilterDatabase" vbProcedure="false">IR!$A$1:$BK$1</definedName>
    <definedName function="false" hidden="true" localSheetId="66" name="_xlnm._FilterDatabase" vbProcedure="false">K!$A$1:$AY$1</definedName>
    <definedName function="false" hidden="true" localSheetId="128" name="_xlnm._FilterDatabase" vbProcedure="false">'K uptake'!$A$1:$BI$1</definedName>
    <definedName function="false" hidden="true" localSheetId="91" name="_xlnm._FilterDatabase" vbProcedure="false">LAP!$A$1:$AY$1</definedName>
    <definedName function="false" hidden="true" localSheetId="8" name="_xlnm._FilterDatabase" vbProcedure="false">LAT_LONG!$A$1:$M$1</definedName>
    <definedName function="false" hidden="true" localSheetId="51" name="_xlnm._FilterDatabase" vbProcedure="false">'LC(Cfrac2)'!$A$1:$AY$1</definedName>
    <definedName function="false" hidden="true" localSheetId="43" name="_xlnm._FilterDatabase" vbProcedure="false">'LFC-LFOC'!$A$1:$AY$1</definedName>
    <definedName function="false" hidden="true" localSheetId="45" name="_xlnm._FilterDatabase" vbProcedure="false">LFON!$A$1:$AY$1</definedName>
    <definedName function="false" hidden="true" localSheetId="57" name="_xlnm._FilterDatabase" vbProcedure="false">LI!$A$1:$AY$1</definedName>
    <definedName function="false" hidden="true" localSheetId="52" name="_xlnm._FilterDatabase" vbProcedure="false">'LLC(Cfrac3)'!$A$1:$AY$1</definedName>
    <definedName function="false" hidden="true" localSheetId="19" name="_xlnm._FilterDatabase" vbProcedure="false">MACRO!$A$1:$AY$1</definedName>
    <definedName function="false" hidden="true" localSheetId="21" name="_xlnm._FilterDatabase" vbProcedure="false">'macro c'!$A$1:$AY$1</definedName>
    <definedName function="false" hidden="true" localSheetId="12" name="_xlnm._FilterDatabase" vbProcedure="false">'macro pore'!$A$1:$AY$1</definedName>
    <definedName function="false" hidden="true" localSheetId="82" name="_xlnm._FilterDatabase" vbProcedure="false">MBC!$A$1:$AY$1</definedName>
    <definedName function="false" hidden="true" localSheetId="83" name="_xlnm._FilterDatabase" vbProcedure="false">MBN!$A$1:$AY$1</definedName>
    <definedName function="false" hidden="true" localSheetId="13" name="_xlnm._FilterDatabase" vbProcedure="false">'meso pore'!$A$1:$AY$1</definedName>
    <definedName function="false" hidden="true" localSheetId="20" name="_xlnm._FilterDatabase" vbProcedure="false">MICRO!$A$1:$AY$1</definedName>
    <definedName function="false" hidden="true" localSheetId="22" name="_xlnm._FilterDatabase" vbProcedure="false">'micro c'!$A$1:$AY$1</definedName>
    <definedName function="false" hidden="true" localSheetId="14" name="_xlnm._FilterDatabase" vbProcedure="false">'micro pore'!$A$1:$AY$1</definedName>
    <definedName function="false" hidden="true" localSheetId="79" name="_xlnm._FilterDatabase" vbProcedure="false">Mn!$A$1:$AY$1</definedName>
    <definedName function="false" hidden="true" localSheetId="40" name="_xlnm._FilterDatabase" vbProcedure="false">MOC!$A$1:$AY$1</definedName>
    <definedName function="false" hidden="true" localSheetId="33" name="_xlnm._FilterDatabase" vbProcedure="false">'Moisture storage'!$A$1:$AY$1</definedName>
    <definedName function="false" hidden="true" localSheetId="15" name="_xlnm._FilterDatabase" vbProcedure="false">'MWD 1'!$A$1:$AY$1</definedName>
    <definedName function="false" hidden="true" localSheetId="16" name="_xlnm._FilterDatabase" vbProcedure="false">MWDA!$A$1:$AY$1</definedName>
    <definedName function="false" hidden="true" localSheetId="85" name="_xlnm._FilterDatabase" vbProcedure="false">'MYCORRHIZAL SPORES'!$A$1:$AY$1</definedName>
    <definedName function="false" hidden="true" localSheetId="64" name="_xlnm._FilterDatabase" vbProcedure="false">N!$A$1:$AY$1</definedName>
    <definedName function="false" hidden="true" localSheetId="126" name="_xlnm._FilterDatabase" vbProcedure="false">'N uptake'!$A$1:$BJ$1</definedName>
    <definedName function="false" hidden="true" localSheetId="92" name="_xlnm._FilterDatabase" vbProcedure="false">NAG!$A$1:$AY$1</definedName>
    <definedName function="false" hidden="true" localSheetId="133" name="_xlnm._FilterDatabase" vbProcedure="false">'NET ECONOMIC BENEFIT'!$A$1:$BU$1</definedName>
    <definedName function="false" hidden="true" localSheetId="132" name="_xlnm._FilterDatabase" vbProcedure="false">'NET RETURN'!$A$1:$BU$1</definedName>
    <definedName function="false" hidden="true" localSheetId="73" name="_xlnm._FilterDatabase" vbProcedure="false">'NEX-K'!$A$1:$AY$1</definedName>
    <definedName function="false" hidden="true" localSheetId="140" name="_xlnm._FilterDatabase" vbProcedure="false">NGWP!$A$1:$BU$1</definedName>
    <definedName function="false" hidden="true" localSheetId="53" name="_xlnm._FilterDatabase" vbProcedure="false">'NLC(Cfrac4)'!$A$1:$AY$1</definedName>
    <definedName function="false" hidden="true" localSheetId="138" name="_xlnm._FilterDatabase" vbProcedure="false">NO!$A$1:$BU$1</definedName>
    <definedName function="false" hidden="true" localSheetId="75" name="_xlnm._FilterDatabase" vbProcedure="false">'NO3 leaching'!$A$1:$AY$1</definedName>
    <definedName function="false" hidden="true" localSheetId="74" name="_xlnm._FilterDatabase" vbProcedure="false">'no3,nh4,PMN'!$A$1:$CI$1</definedName>
    <definedName function="false" hidden="true" localSheetId="105" name="_xlnm._FilterDatabase" vbProcedure="false">NR!$A$1:$AY$1</definedName>
    <definedName function="false" hidden="true" localSheetId="130" name="_xlnm._FilterDatabase" vbProcedure="false">NUE!$A$1:$BV$1</definedName>
    <definedName function="false" hidden="true" localSheetId="65" name="_xlnm._FilterDatabase" vbProcedure="false">P!$A$1:$AY$1</definedName>
    <definedName function="false" hidden="true" localSheetId="127" name="_xlnm._FilterDatabase" vbProcedure="false">'P uptake'!$A$1:$BI$1</definedName>
    <definedName function="false" hidden="true" localSheetId="119" name="_xlnm._FilterDatabase" vbProcedure="false">'PANICLE-SPIKE DENSITY'!$A$1:$BK$1</definedName>
    <definedName function="false" hidden="true" localSheetId="10" name="_xlnm._FilterDatabase" vbProcedure="false">PD!$A$1:$AZ$1</definedName>
    <definedName function="false" hidden="true" localSheetId="102" name="_xlnm._FilterDatabase" vbProcedure="false">PEROX!$A$1:$AY$1</definedName>
    <definedName function="false" hidden="true" localSheetId="61" name="_xlnm._FilterDatabase" vbProcedure="false">PH!$A$1:$AY$1</definedName>
    <definedName function="false" hidden="true" localSheetId="101" name="_xlnm._FilterDatabase" vbProcedure="false">PHOX!$A$1:$AY$1</definedName>
    <definedName function="false" hidden="true" localSheetId="96" name="_xlnm._FilterDatabase" vbProcedure="false">PHYTASE!$A$1:$AY$1</definedName>
    <definedName function="false" hidden="true" localSheetId="112" name="_xlnm._FilterDatabase" vbProcedure="false">'PLANT HEIGHT'!$A$1:$BK$1</definedName>
    <definedName function="false" hidden="true" localSheetId="46" name="_xlnm._FilterDatabase" vbProcedure="false">PON!$A$1:$AY$1</definedName>
    <definedName function="false" hidden="true" localSheetId="11" name="_xlnm._FilterDatabase" vbProcedure="false">POROSITY!$A$1:$AY$1</definedName>
    <definedName function="false" hidden="true" localSheetId="49" name="_xlnm._FilterDatabase" vbProcedure="false">'POXC(KMnO4-C)'!$A$1:$AY$1</definedName>
    <definedName function="false" hidden="true" localSheetId="103" name="_xlnm._FilterDatabase" vbProcedure="false">PPO!$A$1:$AY$1</definedName>
    <definedName function="false" hidden="true" localSheetId="23" name="_xlnm._FilterDatabase" vbProcedure="false">PR!$A$1:$AY$1</definedName>
    <definedName function="false" hidden="true" localSheetId="39" name="_xlnm._FilterDatabase" vbProcedure="false">PSOC!$A$1:$AY$1</definedName>
    <definedName function="false" hidden="true" localSheetId="30" name="_xlnm._FilterDatabase" vbProcedure="false">'PWP (weight basis)'!$A$1:$AY$1</definedName>
    <definedName function="false" hidden="true" localSheetId="60" name="_xlnm._FilterDatabase" vbProcedure="false">RESP!$A$1:$AY$1</definedName>
    <definedName function="false" hidden="true" localSheetId="111" name="_xlnm._FilterDatabase" vbProcedure="false">'RLD(CM-CM3)'!$A$1:$BK$1</definedName>
    <definedName function="false" hidden="true" localSheetId="113" name="_xlnm._FilterDatabase" vbProcedure="false">'RMD(mg-cm3)'!$A$1:$BK$1</definedName>
    <definedName function="false" hidden="true" localSheetId="116" name="_xlnm._FilterDatabase" vbProcedure="false">'ROOT DIA(mm)'!$A$1:$BK$1</definedName>
    <definedName function="false" hidden="true" localSheetId="115" name="_xlnm._FilterDatabase" vbProcedure="false">'RSD(cm2-cm3)'!$A$1:$BK$1</definedName>
    <definedName function="false" hidden="true" localSheetId="114" name="_xlnm._FilterDatabase" vbProcedure="false">'RVD(cm3-cm3)'!$A$1:$BK$1</definedName>
    <definedName function="false" hidden="true" localSheetId="31" name="_xlnm._FilterDatabase" vbProcedure="false">'SAT WC'!$A$1:$AY$1</definedName>
    <definedName function="false" hidden="true" localSheetId="38" name="_xlnm._FilterDatabase" vbProcedure="false">SIC!$A$1:$AY$1</definedName>
    <definedName function="false" hidden="true" localSheetId="35" name="_xlnm._FilterDatabase" vbProcedure="false">'SOC(active C pool)'!$A$1:$BB$1</definedName>
    <definedName function="false" hidden="true" localSheetId="107" name="_xlnm._FilterDatabase" vbProcedure="false">'Soil microbial count'!$A$1:$AY$1</definedName>
    <definedName function="false" hidden="true" localSheetId="134" name="_xlnm._FilterDatabase" vbProcedure="false">SQI!$A$1:$AY$1</definedName>
    <definedName function="false" hidden="true" localSheetId="54" name="_xlnm._FilterDatabase" vbProcedure="false">'stock-SOC'!$A$1:$BB$1</definedName>
    <definedName function="false" hidden="true" localSheetId="4" name="_xlnm._FilterDatabase" vbProcedure="false">Study_Info!$A$1:$AR$1</definedName>
    <definedName function="false" hidden="true" localSheetId="118" name="_xlnm._FilterDatabase" vbProcedure="false">'SYS STRAW'!$A$1:$AX$1</definedName>
    <definedName function="false" hidden="true" localSheetId="37" name="_xlnm._FilterDatabase" vbProcedure="false">'TC(total c)'!$A$1:$AY$1</definedName>
    <definedName function="false" hidden="true" localSheetId="34" name="_xlnm._FilterDatabase" vbProcedure="false">TEXTURE!$A$1:$AM$1</definedName>
    <definedName function="false" hidden="true" localSheetId="36" name="_xlnm._FilterDatabase" vbProcedure="false">TOC!$A$1:$AY$1</definedName>
    <definedName function="false" hidden="true" localSheetId="70" name="_xlnm._FilterDatabase" vbProcedure="false">'total K'!$A$1:$AY$1</definedName>
    <definedName function="false" hidden="true" localSheetId="68" name="_xlnm._FilterDatabase" vbProcedure="false">'total N'!$A$1:$AY$1</definedName>
    <definedName function="false" hidden="true" localSheetId="69" name="_xlnm._FilterDatabase" vbProcedure="false">'total P'!$A$1:$AY$1</definedName>
    <definedName function="false" hidden="true" localSheetId="7" name="_xlnm._FilterDatabase" vbProcedure="false">Treatment_Mapping!$A$1:$N$1</definedName>
    <definedName function="false" hidden="true" localSheetId="95" name="_xlnm._FilterDatabase" vbProcedure="false">UREASE!$A$1:$AY$1</definedName>
    <definedName function="false" hidden="true" localSheetId="50" name="_xlnm._FilterDatabase" vbProcedure="false">'VLC(Cfrac1)'!$A$1:$AY$1</definedName>
    <definedName function="false" hidden="true" localSheetId="28" name="_xlnm._FilterDatabase" vbProcedure="false">WHC!$A$1:$AY$1</definedName>
    <definedName function="false" hidden="true" localSheetId="71" name="_xlnm._FilterDatabase" vbProcedure="false">'WS-K'!$A$1:$AY$1</definedName>
    <definedName function="false" hidden="true" localSheetId="18" name="_xlnm._FilterDatabase" vbProcedure="false">WSA!$A$1:$AY$1</definedName>
    <definedName function="false" hidden="true" localSheetId="41" name="_xlnm._FilterDatabase" vbProcedure="false">WSC!$A$1:$AY$1</definedName>
    <definedName function="false" hidden="true" localSheetId="129" name="_xlnm._FilterDatabase" vbProcedure="false">WUE!$A$1:$BU$1</definedName>
    <definedName function="false" hidden="true" localSheetId="100" name="_xlnm._FilterDatabase" vbProcedure="false">XYL!$A$1:$AY$1</definedName>
    <definedName function="false" hidden="true" localSheetId="117" name="_xlnm._FilterDatabase" vbProcedure="false">YIELD!$A$1:$CS$1</definedName>
    <definedName function="false" hidden="true" localSheetId="81" name="_xlnm._FilterDatabase" vbProcedure="false">'Zn(ppm)'!$A$1:$AY$1</definedName>
  </definedNames>
  <calcPr iterateCount="100" refMode="A1" iterate="false" iterateDelta="0.0001"/>
  <extLst>
    <ext xmlns:loext="http://schemas.libreoffice.org/" uri="{7626C862-2A13-11E5-B345-FEFF819CDC9F}">
      <loext:extCalcPr stringRefSyntax="ExcelA1"/>
    </ext>
  </extLst>
</workbook>
</file>

<file path=xl/comments26.xml><?xml version="1.0" encoding="utf-8"?>
<comments xmlns="http://schemas.openxmlformats.org/spreadsheetml/2006/main" xmlns:xdr="http://schemas.openxmlformats.org/drawingml/2006/spreadsheetDrawing">
  <authors>
    <author>Unknown Author</author>
  </authors>
  <commentList>
    <comment ref="P1" authorId="0">
      <text>
        <r>
          <rPr>
            <sz val="10"/>
            <rFont val="Arial"/>
            <family val="2"/>
          </rPr>
          <t xml:space="preserve">IR = steady-state infiltration rate (cm/hr): final / basic / quasi-steady rate.</t>
        </r>
      </text>
    </comment>
    <comment ref="Q1" authorId="0">
      <text>
        <r>
          <rPr>
            <sz val="10"/>
            <rFont val="Arial"/>
            <family val="2"/>
          </rPr>
          <t xml:space="preserve">IR = steady-state infiltration rate (cm/hr): final / basic / quasi-steady rate.</t>
        </r>
      </text>
    </comment>
    <comment ref="R1" authorId="0">
      <text>
        <r>
          <rPr>
            <sz val="10"/>
            <rFont val="Arial"/>
            <family val="2"/>
          </rPr>
          <t xml:space="preserve">IR = steady-state infiltration rate (cm/hr): final / basic / quasi-steady rate.</t>
        </r>
      </text>
    </comment>
    <comment ref="S1" authorId="0">
      <text>
        <r>
          <rPr>
            <sz val="10"/>
            <rFont val="Arial"/>
            <family val="2"/>
          </rPr>
          <t xml:space="preserve">IR = steady-state infiltration rate (cm/hr): final / basic / quasi-steady rate.</t>
        </r>
      </text>
    </comment>
    <comment ref="T1" authorId="0">
      <text>
        <r>
          <rPr>
            <sz val="10"/>
            <rFont val="Arial"/>
            <family val="2"/>
          </rPr>
          <t xml:space="preserve">IR = steady-state infiltration rate (cm/hr): final / basic / quasi-steady rate.</t>
        </r>
      </text>
    </comment>
    <comment ref="U1" authorId="0">
      <text>
        <r>
          <rPr>
            <sz val="10"/>
            <rFont val="Arial"/>
            <family val="2"/>
          </rPr>
          <t xml:space="preserve">IR = steady-state infiltration rate (cm/hr): final / basic / quasi-steady rate.</t>
        </r>
      </text>
    </comment>
    <comment ref="V1" authorId="0">
      <text>
        <r>
          <rPr>
            <sz val="10"/>
            <rFont val="Arial"/>
            <family val="2"/>
          </rPr>
          <t xml:space="preserve">IR = steady-state infiltration rate (cm/hr): final / basic / quasi-steady rate.</t>
        </r>
      </text>
    </comment>
    <comment ref="W1" authorId="0">
      <text>
        <r>
          <rPr>
            <sz val="10"/>
            <rFont val="Arial"/>
            <family val="2"/>
          </rPr>
          <t xml:space="preserve">IR = steady-state infiltration rate (cm/hr): final / basic / quasi-steady rate.</t>
        </r>
      </text>
    </comment>
    <comment ref="AB1" authorId="0">
      <text>
        <r>
          <rPr>
            <sz val="10"/>
            <rFont val="Arial"/>
            <family val="2"/>
          </rPr>
          <t xml:space="preserve">IIR = initial infiltration rate (cm/hr): rate at the first reading of the infiltration run.</t>
        </r>
      </text>
    </comment>
    <comment ref="AC1" authorId="0">
      <text>
        <r>
          <rPr>
            <sz val="10"/>
            <rFont val="Arial"/>
            <family val="2"/>
          </rPr>
          <t xml:space="preserve">IIR = initial infiltration rate (cm/hr): rate at the first reading of the infiltration run.</t>
        </r>
      </text>
    </comment>
    <comment ref="AD1" authorId="0">
      <text>
        <r>
          <rPr>
            <sz val="10"/>
            <rFont val="Arial"/>
            <family val="2"/>
          </rPr>
          <t xml:space="preserve">IIR = initial infiltration rate (cm/hr): rate at the first reading of the infiltration run.</t>
        </r>
      </text>
    </comment>
    <comment ref="AE1" authorId="0">
      <text>
        <r>
          <rPr>
            <sz val="10"/>
            <rFont val="Arial"/>
            <family val="2"/>
          </rPr>
          <t xml:space="preserve">IIR = initial infiltration rate (cm/hr): rate at the first reading of the infiltration run.</t>
        </r>
      </text>
    </comment>
    <comment ref="AF1" authorId="0">
      <text>
        <r>
          <rPr>
            <sz val="10"/>
            <rFont val="Arial"/>
            <family val="2"/>
          </rPr>
          <t xml:space="preserve">IIR = initial infiltration rate (cm/hr): rate at the first reading of the infiltration run.</t>
        </r>
      </text>
    </comment>
    <comment ref="AG1" authorId="0">
      <text>
        <r>
          <rPr>
            <sz val="10"/>
            <rFont val="Arial"/>
            <family val="2"/>
          </rPr>
          <t xml:space="preserve">IIR = initial infiltration rate (cm/hr): rate at the first reading of the infiltration run.</t>
        </r>
      </text>
    </comment>
    <comment ref="AH1" authorId="0">
      <text>
        <r>
          <rPr>
            <sz val="10"/>
            <rFont val="Arial"/>
            <family val="2"/>
          </rPr>
          <t xml:space="preserve">IIR = initial infiltration rate (cm/hr): rate at the first reading of the infiltration run.</t>
        </r>
      </text>
    </comment>
    <comment ref="AI1" authorId="0">
      <text>
        <r>
          <rPr>
            <sz val="10"/>
            <rFont val="Arial"/>
            <family val="2"/>
          </rPr>
          <t xml:space="preserve">IIR = initial infiltration rate (cm/hr): rate at the first reading of the infiltration run.</t>
        </r>
      </text>
    </comment>
  </commentList>
</comments>
</file>

<file path=xl/sharedStrings.xml><?xml version="1.0" encoding="utf-8"?>
<sst xmlns="http://schemas.openxmlformats.org/spreadsheetml/2006/main" count="19243" uniqueCount="4382">
  <si>
    <t xml:space="preserve">TITLE</t>
  </si>
  <si>
    <t xml:space="preserve">Conservation agriculture meta-analysis - NEW data extraction workbook (structure of META_ANALYSIS_MASTER updated 53, no previous data)</t>
  </si>
  <si>
    <t xml:space="preserve">NEW SERIES</t>
  </si>
  <si>
    <t xml:space="preserve">Started 2026-10-05. All data rows of the old master were removed at the author's request; serials continue from the old master, starting at 164, so the two files can be merged. The history entries further down describe the OLD master (updated 53) and are kept only as the rulebook.</t>
  </si>
  <si>
    <t xml:space="preserve">PARTIAL CA COLUMNS</t>
  </si>
  <si>
    <t xml:space="preserve">Every parameter sheet has &lt;prefix&gt;pCA, pZT, pMT, pMTR (olive-green headers) after &lt;prefix&gt;DTR: puddled / conventional rice + ZT wheat with residue (pCA) / without residue (pZT), + MT wheat without (pMT) / with residue (pMTR). See Codes and RULES.</t>
  </si>
  <si>
    <t xml:space="preserve">LAT_LONG</t>
  </si>
  <si>
    <t xml:space="preserve">One row per study x site: coordinates as reported and in decimal degrees, source (paper / Google Maps), climate class.</t>
  </si>
  <si>
    <t xml:space="preserve">HOW TO USE</t>
  </si>
  <si>
    <t xml:space="preserve">Upload ONE research paper at a time. Data are extracted and appended to the relevant parameter sheets only. Sheets for parameters absent from a paper are left untouched.</t>
  </si>
  <si>
    <t xml:space="preserve">SHEET TYPES</t>
  </si>
  <si>
    <t xml:space="preserve">Study_Info</t>
  </si>
  <si>
    <t xml:space="preserve">One row per study x site. Master record of coordinates, climate, initial soil properties, management. Fill this FIRST for every new paper.</t>
  </si>
  <si>
    <t xml:space="preserve">Treatment_Mapping</t>
  </si>
  <si>
    <t xml:space="preserve">Log of every treatment in every paper and the code it was assigned. Any treatment that is unclear is logged here with status NEEDS CONFIRMATION and left out of the data sheets.</t>
  </si>
  <si>
    <t xml:space="preserve">Codes</t>
  </si>
  <si>
    <t xml:space="preserve">Treatment codes + all reclassification rules (climate, texture, duration, depth).</t>
  </si>
  <si>
    <t xml:space="preserve">Parameter sheets</t>
  </si>
  <si>
    <t xml:space="preserve">One sheet per measured parameter (BD, SOC, MWD, PR, YIELD, ...). Unit for each sheet is written in the orange note to the right of the header row AND in the UNIT column.</t>
  </si>
  <si>
    <t xml:space="preserve">COLUMN COLOUR KEY</t>
  </si>
  <si>
    <t xml:space="preserve">  Dark blue</t>
  </si>
  <si>
    <t xml:space="preserve">Study identification</t>
  </si>
  <si>
    <t xml:space="preserve">  Teal</t>
  </si>
  <si>
    <t xml:space="preserve">Soil depth (reclassified + as reported)</t>
  </si>
  <si>
    <t xml:space="preserve">  Green</t>
  </si>
  <si>
    <t xml:space="preserve">Treatment mean values</t>
  </si>
  <si>
    <t xml:space="preserve">  Amber</t>
  </si>
  <si>
    <t xml:space="preserve">Obs / Rep / SD</t>
  </si>
  <si>
    <t xml:space="preserve">  Grey</t>
  </si>
  <si>
    <t xml:space="preserve">Site covariates (climate, initial soil)</t>
  </si>
  <si>
    <t xml:space="preserve">  Purple</t>
  </si>
  <si>
    <t xml:space="preserve">Unit, treatment mapping, management, data source, notes</t>
  </si>
  <si>
    <t xml:space="preserve">RULES APPLIED</t>
  </si>
  <si>
    <t xml:space="preserve">Rep</t>
  </si>
  <si>
    <t xml:space="preserve">Always 3 unless the paper clearly states otherwise.</t>
  </si>
  <si>
    <t xml:space="preserve">Obs</t>
  </si>
  <si>
    <t xml:space="preserve">Number of paper-level data points collapsed into that row for that depth class: years x sub-treatments x original depths falling in the class. e.g. 3 years x 1 depth = 3; 3 years x 2 original depths in the same class x 2 qualifying treatments = 12.</t>
  </si>
  <si>
    <t xml:space="preserve">SD</t>
  </si>
  <si>
    <t xml:space="preserve">SD = SQRT(2*Obs/Rep)  - the formula used in the original workbook. Written as a live formula so it updates if Obs changes. Overwritten with the real value when the paper reports SD (or SE, converted as SD = SE*sqrt(Rep)).</t>
  </si>
  <si>
    <t xml:space="preserve">Season</t>
  </si>
  <si>
    <t xml:space="preserve">Soil parameters are taken from the WHEAT season, not the rice season.</t>
  </si>
  <si>
    <t xml:space="preserve">Coordinates</t>
  </si>
  <si>
    <t xml:space="preserve">Decimal degrees. Taken from the paper; if absent, looked up from the stated location and flagged in Notes.</t>
  </si>
  <si>
    <t xml:space="preserve">Figures</t>
  </si>
  <si>
    <t xml:space="preserve">Values read off figures are digitised (WebPlotDigitizer style) and marked 'Figure' in Data source.</t>
  </si>
  <si>
    <t xml:space="preserve">Supplementary</t>
  </si>
  <si>
    <t xml:space="preserve">Supplementary files are searched for online and extracted; marked 'Supplementary' in Data source.</t>
  </si>
  <si>
    <t xml:space="preserve">Multi-year / multi-site</t>
  </si>
  <si>
    <t xml:space="preserve">Every year and every site is entered - separate rows, Site/Location and YEAR OF DATA distinguish them.</t>
  </si>
  <si>
    <t xml:space="preserve">Doubtful treatments</t>
  </si>
  <si>
    <t xml:space="preserve">Left blank in the data sheets and raised with you; logged in Treatment_Mapping.</t>
  </si>
  <si>
    <t xml:space="preserve">Porosity</t>
  </si>
  <si>
    <t xml:space="preserve">Where a paper reports total porosity it is entered as printed (studies 5 and 11). Everywhere else it is DERIVED as porosity (%) = (1 - BD / PD) x 100, using the TREATMENT bulk density from the BD sheet - as a live cross-sheet formula, so correcting a bulk density corrects the porosity - and PD = 2.65 Mg/m3, since no study with bulk-density data reports its own particle density. That default reproduces both measured porosities in this workbook to within 0.1 percentage points. Derived rows say DERIVED in Data source; replace 2.65 in the formulas to change the assumption.</t>
  </si>
  <si>
    <t xml:space="preserve">EXAMPLE ROW (BD sheet)</t>
  </si>
  <si>
    <t xml:space="preserve">Do not keep this in the data sheets - shown here only as a format guide.</t>
  </si>
  <si>
    <t xml:space="preserve">No.</t>
  </si>
  <si>
    <t xml:space="preserve">SERIAL NO</t>
  </si>
  <si>
    <t xml:space="preserve">Authors</t>
  </si>
  <si>
    <t xml:space="preserve">Year</t>
  </si>
  <si>
    <t xml:space="preserve">Journal</t>
  </si>
  <si>
    <t xml:space="preserve">Country</t>
  </si>
  <si>
    <t xml:space="preserve">Site/Location</t>
  </si>
  <si>
    <t xml:space="preserve">latitude</t>
  </si>
  <si>
    <t xml:space="preserve">longitude</t>
  </si>
  <si>
    <t xml:space="preserve">CLIMATE</t>
  </si>
  <si>
    <t xml:space="preserve">year of data collection/experiment</t>
  </si>
  <si>
    <t xml:space="preserve">DURATION</t>
  </si>
  <si>
    <t xml:space="preserve">SOIL</t>
  </si>
  <si>
    <t xml:space="preserve">DEPTH</t>
  </si>
  <si>
    <t xml:space="preserve">DEPTH (as reported in paper)</t>
  </si>
  <si>
    <t xml:space="preserve">BD_CA</t>
  </si>
  <si>
    <t xml:space="preserve">BD_CT</t>
  </si>
  <si>
    <t xml:space="preserve">BD_ZT</t>
  </si>
  <si>
    <t xml:space="preserve">CLAY</t>
  </si>
  <si>
    <t xml:space="preserve">RAIN FALL</t>
  </si>
  <si>
    <t xml:space="preserve">ph (initial)</t>
  </si>
  <si>
    <t xml:space="preserve">UNIT</t>
  </si>
  <si>
    <t xml:space="preserve">Treatment mapping (paper's name -&gt; code)</t>
  </si>
  <si>
    <t xml:space="preserve">Data source</t>
  </si>
  <si>
    <t xml:space="preserve">Roy D. et al.</t>
  </si>
  <si>
    <t xml:space="preserve">Geoderma</t>
  </si>
  <si>
    <t xml:space="preserve">India</t>
  </si>
  <si>
    <t xml:space="preserve">Karnal, Haryana</t>
  </si>
  <si>
    <t xml:space="preserve">ST</t>
  </si>
  <si>
    <t xml:space="preserve">4-10 Y</t>
  </si>
  <si>
    <t xml:space="preserve">LOAMY</t>
  </si>
  <si>
    <t xml:space="preserve">0-15 CM</t>
  </si>
  <si>
    <t xml:space="preserve">0-5 + 5-15 cm pooled</t>
  </si>
  <si>
    <t xml:space="preserve">SD = SQRT(2*Obs/Rep)  (live formula in the data sheets)</t>
  </si>
  <si>
    <t xml:space="preserve">Mg/m3</t>
  </si>
  <si>
    <t xml:space="preserve">ZT+R (ZTW with full residue) -&gt; CA; CTW no residue -&gt; CT; ZTW no residue -&gt; ZT</t>
  </si>
  <si>
    <t xml:space="preserve">Table 3</t>
  </si>
  <si>
    <t xml:space="preserve">SHEET SET</t>
  </si>
  <si>
    <t xml:space="preserve">Sheets are added only when you ask for them. Six were added on 2026-10-01 at your request: WSC, LFC-LFOC, LFON, PON, cPOM-C and fPOM-C - each carries its full form in the purple note to the right of its header row. For any OTHER parameter this workbook does not carry, values are kept in the Notes/Doubts column of the closest existing sheet. Those still parked in notes are listed below.</t>
  </si>
  <si>
    <t xml:space="preserve">SOC(active C pool)</t>
  </si>
  <si>
    <t xml:space="preserve">Soil organic carbon as the papers report it - in most papers simply "SOC" or "organic carbon", measured by Walkley-Black wet oxidation, i.e. the oxidisable / labile fraction rather than total carbon. ALL studies that report treatment-level SOC go on this sheet. Total carbon by dry combustion goes on TC(total c); inorganic carbon on SIC.</t>
  </si>
  <si>
    <t xml:space="preserve">ACTIVE C-MACRO / MICRO</t>
  </si>
  <si>
    <t xml:space="preserve">Active carbon pool associated with macroaggregates (&gt;0.25 mm) and microaggregates (&lt;0.25 mm), g/kg - these live on the macro c and micro c sheets, no separate sheets.</t>
  </si>
  <si>
    <t xml:space="preserve">Still parked in Notes</t>
  </si>
  <si>
    <t xml:space="preserve">DOC (dissolved organic carbon), KMnO4-oxidisable carbon, the Chan et al. very-labile / labile / less-labile / non-labile pools P1-P4, cumulative CO2-C, sorptivity, cumulative infiltration, stratification ratios, energy-budget terms, and the 0-90 cm carbon stocks of study 25. Say the word and any of these becomes a sheet.</t>
  </si>
  <si>
    <t xml:space="preserve">Derived-value rule</t>
  </si>
  <si>
    <t xml:space="preserve">Anything computed rather than printed carries its formula and inputs in the Notes column and names its Data source as DERIVED.</t>
  </si>
  <si>
    <t xml:space="preserve">ROOT sheets (added 2026-10-03)</t>
  </si>
  <si>
    <t xml:space="preserve">On author instruction, root parameters of rice and wheat are entered as DENSITIES plus diameter: RLD(CM-CM3), RVD(cm3-cm3), RMD(mg-cm3) and two new sheets RSD(cm2-cm3) (root surface area density) and ROOT DIA(mm) (average root diameter). Per-sample root values are converted with the sampled soil volume (formula and assumption in Notes). _W = wheat, _R = rice columns.</t>
  </si>
  <si>
    <t xml:space="preserve">New sheets (updated 8, 2026-10-03)</t>
  </si>
  <si>
    <t xml:space="preserve">Carbon/soil sheets added for Gupta et al. 2022 (study 75 companion) and Kahlon 2014 (study 74): POXC(KMnO4-C) mg/kg; the Chan et al. (2001) oxidisable C fractions VLC(Cfrac1), LC(Cfrac2), LLC(Cfrac3), NLC(Cfrac4) g/kg (VLC + LC + LLC + NLC = TOC); Fungal count and Cellulolytic count (CFU/g, multiplier in UNIT); Moisture storage (mm, soil-profile water storage). Same column layout as every parameter sheet.</t>
  </si>
  <si>
    <t xml:space="preserve">IR sheet (2026-10-03)</t>
  </si>
  <si>
    <t xml:space="preserve">IR_ columns = STEADY-STATE infiltration rate; IIR_ columns = INITIAL infiltration rate (both cm/hr). Final, basic and quasi-steady rates go in IR_; the first-reading rate goes in IIR_.</t>
  </si>
  <si>
    <t xml:space="preserve">FORMULAS sheet + NET RETURN sheet (2026-10-04)</t>
  </si>
  <si>
    <t xml:space="preserve">Every derivation used in the workbook is listed on the FORMULAS sheet (straw = biomass - grain, HI = grain / biomass, CL/LI/CPI/CMI, GHGI = GWP / grain, porosity, SD, unit conversions). NET RETURN sheet = net return per ha in the printed currency (W / R / SYS groups, as BC ratio). DERIVED rows reference their source cells with live formulas and say so in Data source.</t>
  </si>
  <si>
    <t xml:space="preserve">Soil-water sheets (2026-10-04)</t>
  </si>
  <si>
    <t xml:space="preserve">GWC (gravimetric water content), AWC (weight basis), AWC (volume basis), WHC (Keen box only), FC (weight basis), PWP (weight basis). See Codes and FORMULAS.</t>
  </si>
  <si>
    <t xml:space="preserve">Soil-water re-check (2026-10-05)</t>
  </si>
  <si>
    <t xml:space="preserve">All previous studies re-checked against Methods; WATER-QUANTITY CHECK notes added; new rows: GWC studies 11 (Table 3), 12 (Fig. 4), 18 (Fig. 6), 62 (Fig. 2); FC / PWP / AWC study 9 (Figs 3-6).</t>
  </si>
  <si>
    <t xml:space="preserve">Batch ext\221-225 (2026-10-05)</t>
  </si>
  <si>
    <t xml:space="preserve">102 (companion 3) Yu 2026; 129 (companion) Guo 2026 yields; 134 Rana 2023 (rice, red); 136 Hou 2026 (W0); 28 (companion) re-submission; 133 Yan 2018 and 135 Li 2026 excluded.</t>
  </si>
  <si>
    <t xml:space="preserve">Batch ext\226-230 (2026-10-05)</t>
  </si>
  <si>
    <t xml:space="preserve">139 Wang 2025 (Shanghai, CT vs ZT, 10 yr); 140 Bazaya 2009 (DSR, red); 117 (companion) Chaki 2022 APSIM; 105 (companion 2) re-submission; study 28 Table 6 model output; 137, 138, 141 and 31 (companion) excluded.</t>
  </si>
  <si>
    <t xml:space="preserve">Batch ext\231-235 (2026-10-05)</t>
  </si>
  <si>
    <t xml:space="preserve">142 Kahlon &amp; Dhingra 2019; 121 (companion 2) Kong 2024 rice; clones 121 (companion), 64 (companion), 111 (companion); 143 Cheng 2024 excluded.</t>
  </si>
  <si>
    <t xml:space="preserve">Treatment details + Method columns (2026-10-05)</t>
  </si>
  <si>
    <t xml:space="preserve">Every data sheet now has 'Treatment details (from paper)' and 'Method used (from paper)' right after Notes/Doubts. Rotary-tillage rule on Codes.</t>
  </si>
  <si>
    <t xml:space="preserve">RULES sheet (2026-10-05)</t>
  </si>
  <si>
    <t xml:space="preserve">Consolidated list of all extraction / coding rules and author decisions. Rotary/rotavator rule applied to old studies in updated 47 (25, 41, 64, 64 (companion), 69 excluded, 74, 82).</t>
  </si>
  <si>
    <t xml:space="preserve">Index sheets (2026-10-05)</t>
  </si>
  <si>
    <t xml:space="preserve">PARAMETERS_BY_STUDY = every study with the parameter sheets (and row counts) it contributes; STUDIES_BY_PARAMETER = every parameter sheet with its studies ('NO DATA' if empty). Both are regenerated at every build.</t>
  </si>
  <si>
    <t xml:space="preserve">Batch 111-113 (2026-10-05)</t>
  </si>
  <si>
    <t xml:space="preserve">Files 112.pdf, 113_rqal.pdf, 113.pdf, 111_real.pdf, 112_real.pdf -&gt; serials 164 Yadav 2000 (7 sites; 100F CT vs 50F+CR CTR flagged; year-wise yields digitised from Fig. 2), 165 Davari 2012 (organic RW / RWM; RR CT vs RI CTR), 166 Das 2014 (T2 CT vs T8 CTR flagged), 167 Naz 2023 EXCLUDED (rice-berseem GM trial), 168 Dhaliwal 2020 (CT/CTR/ZT/CA; rice-season red rows). No supplementary files found. Digitisation scripts and outputs in the repo folder digitised/.</t>
  </si>
  <si>
    <t xml:space="preserve">Decisions on batch 111-113 (2026-10-05)</t>
  </si>
  <si>
    <t xml:space="preserve">updated 03: author confirmed rules 78-82 (INM straw treatments CT/CTR flagged; rice-season red rows; enzyme main effects; both MWD pre-treatments; odd figure readings kept and flagged). Das 2014 aggregate water retention now on BULK-SOIL basis (rule 81). No data values changed.</t>
  </si>
  <si>
    <t xml:space="preserve">Batch 114-116 (2026-10-05)</t>
  </si>
  <si>
    <t xml:space="preserve">Files 114.pdf, 115_rep.pdf, 116_real.pdf, 116_rep.pdf, 114_reqal.pdf -&gt; 169 Singh 2005 EXCLUDED (rice vs pigeonpea x N x P); 23 (companion 3) Jat 2019 STR and 23 (companion 4) Jat 2019 Catena (CSSRI scenarios: Sc1 CT, Sc2 pCA, Sc3 CA; red rice-season soil rows; REY year-wise); 165 (companion) Meena 2020 (IARI organic project: FYM/VC CT vs +CR CTR, rows a/b; red soil rows); 131 (companion) Zhang 2023 re-entered under the partial-CA rule (CN CA, PR pCA). First pCA data in the workbook.</t>
  </si>
  <si>
    <t xml:space="preserve">Decision on batch 114-116 (2026-10-05)</t>
  </si>
  <si>
    <t xml:space="preserve">updated 05: author confirmed rule 87 - carbon-pool concentrations derived from printed stocks are scaled by TOC (pools sum to TOC). No data values changed. Rules 85, 86, 88, 89 still pending confirmation.</t>
  </si>
  <si>
    <t xml:space="preserve">RULES - consolidated extraction, coding and analysis rules of this workbook (author-confirmed unless marked). Updated 2026-10-05</t>
  </si>
  <si>
    <t xml:space="preserve">Category</t>
  </si>
  <si>
    <t xml:space="preserve">Rule</t>
  </si>
  <si>
    <t xml:space="preserve">Details / worked examples</t>
  </si>
  <si>
    <t xml:space="preserve">Source / date</t>
  </si>
  <si>
    <t xml:space="preserve">Status</t>
  </si>
  <si>
    <t xml:space="preserve">WORKFLOW &amp; DATA MANAGEMENT</t>
  </si>
  <si>
    <t xml:space="preserve">Workflow &amp; data management</t>
  </si>
  <si>
    <t xml:space="preserve">Existing entries are correct and are not recalculated or 'fixed'.</t>
  </si>
  <si>
    <t xml:space="preserve">New rules apply to new papers. Earlier rows are changed only when the author asks (e.g. an entry shown to be wrong against its source: study 59 in updated 17; rotary-rule recoding in updated 47).</t>
  </si>
  <si>
    <t xml:space="preserve">Author 2026-10-03</t>
  </si>
  <si>
    <t xml:space="preserve">IN FORCE</t>
  </si>
  <si>
    <t xml:space="preserve">Every batch is saved as a new numbered version (META_ANALYSIS_MASTER updated NN.xlsx); the previous file is never overwritten.</t>
  </si>
  <si>
    <t xml:space="preserve">Each build is checked cell-by-cell against the previous version (only intended cells may change, 0 formula errors).</t>
  </si>
  <si>
    <t xml:space="preserve">Workbook convention</t>
  </si>
  <si>
    <t xml:space="preserve">Ask the author whenever in doubt.</t>
  </si>
  <si>
    <t xml:space="preserve">Unclear treatments are left out of the data sheets and raised with the author; doubts are written in Notes/Doubts.</t>
  </si>
  <si>
    <t xml:space="preserve">Author</t>
  </si>
  <si>
    <t xml:space="preserve">Fill Study_Info first; log EVERY treatment of every paper in Treatment_Mapping with its code (or EXCLUDED) and rationale; excluded data go to EXCLUDED_rows.</t>
  </si>
  <si>
    <t xml:space="preserve">Check Study_Info for duplicates (DOI, title, authors, year) before adding a paper.</t>
  </si>
  <si>
    <t xml:space="preserve">Same experiment reported in two papers = ONE serial; same site but a different experiment = separate serials.</t>
  </si>
  <si>
    <t xml:space="preserve">Different papers of one trial are filed as 'NN (companion)', 'NN (companion 2)' ...</t>
  </si>
  <si>
    <t xml:space="preserve">Codes - SAME-EXPERIMENT RULE</t>
  </si>
  <si>
    <t xml:space="preserve">A re-submitted paper that is already in the workbook is entered AGAIN as 'NN (companion)' (duplicate-flagged); the original study is not changed.</t>
  </si>
  <si>
    <t xml:space="preserve">Two identical files in the SAME batch: enter once, record the duplicate in EXCLUDED_rows. Same-trial papers reporting the same seasons: keep both, flag duplicate seasons.</t>
  </si>
  <si>
    <t xml:space="preserve">Author 2026-10-03 / 2026-10-05</t>
  </si>
  <si>
    <t xml:space="preserve">Look for supplementary material online for every paper and report what was found (or 'none found' and where searched); extract its data (Data source = 'Supplementary ...').</t>
  </si>
  <si>
    <t xml:space="preserve">Downloading a supplement needs the author's permission. CAPTCHA pages are never bypassed - the file is fetched from the publisher's direct link only after permission, or the author supplies it (Desktop\SUPP DATA).</t>
  </si>
  <si>
    <t xml:space="preserve">Extract everything: tables, text AND figures (digitised; approximate values flagged).</t>
  </si>
  <si>
    <t xml:space="preserve">End each batch with a list of anything not extracted. Figures: vector paths read exactly where possible, raster figures by calibrated colour digitising.</t>
  </si>
  <si>
    <t xml:space="preserve">The author wants MORE data: enter every parameter that has a sheet, even when it must be derived or has a non-standard definition/unit (flagged).</t>
  </si>
  <si>
    <t xml:space="preserve">When unsure whether something goes in notes or on a sheet, lean to a sheet. Parameters with NO sheet are not entered unless the author asks for a new sheet (e.g. PLFA not entered).</t>
  </si>
  <si>
    <t xml:space="preserve">Author 2026-10-03 / 2026-10-04</t>
  </si>
  <si>
    <t xml:space="preserve">Every data sheet carries 'Treatment details (from paper)' and 'Method used (from paper)' right after Notes/Doubts.</t>
  </si>
  <si>
    <t xml:space="preserve">Treatment details = Study_Info treatments + every Treatment_Mapping line of the study (so treatments can be re-classified). Method = analytical method auto-detected from the paper's Methods with a quoted context (verify). Filled for every new row of every build.</t>
  </si>
  <si>
    <t xml:space="preserve">Author 2026-10-05</t>
  </si>
  <si>
    <t xml:space="preserve">Data source tags: Text / Table n / Figure n (digitised) / Supplementary / Calculated / DERIVED / MODEL OUTPUT / Author-reported.</t>
  </si>
  <si>
    <t xml:space="preserve">TREATMENT CODES</t>
  </si>
  <si>
    <t xml:space="preserve">Treatment codes</t>
  </si>
  <si>
    <t xml:space="preserve">CA = zero tillage + residue; ZT = zero tillage, no residue; CT = conventional tillage, no residue; CTR = conventional + residue; MT = minimum/reduced tillage, no residue; MTR = minimum/reduced + residue; DT = deep tillage, no residue; DTR = deep tillage + residue.</t>
  </si>
  <si>
    <t xml:space="preserve">Typical descriptions of each code are on the Codes sheet.</t>
  </si>
  <si>
    <t xml:space="preserve">ROTARY / ROTAVATOR RULE: full-width rotary or rotavator tillage to &gt;=10 cm, OR &gt;=2 full-width passes = CT (CTR with residue), whatever the paper calls it. Rotary &lt;=8 cm, a single-pass rotary till-drill, Super Seeder / Roto Seeder, or strip / zone rotary (only the seed rows tilled) = MT (MTR with residue).</t>
  </si>
  <si>
    <t xml:space="preserve">Rotavator = rotary tillage (same rule). 8-10 cm, or depth unstated and not clearly full-width primary tillage -&gt; ask. Applied to old studies in updated 47: 25 T6/T7 -&gt; CT/CTR (row b), 41 Rot+R100 -&gt; MTR (row b), 64 + 64 (companion) RT -&gt; CTR (row b), 69 AR -&gt; CT (study excluded, no contrast), 74 RT -&gt; CTR, 82 rotavator -&gt; CT/CTR (row a, depth not stated - flag).</t>
  </si>
  <si>
    <t xml:space="preserve">Deep tillage: ploughing / chiselling / sub-soiling &gt;= 25 cm, or straw buried to 30 cm -&gt; DT (no straw) / DTR (straw).</t>
  </si>
  <si>
    <t xml:space="preserve">Studies 9, 65, 108.</t>
  </si>
  <si>
    <t xml:space="preserve">Bed systems: permanent beds + residue -&gt; CA; permanent beds without residue -&gt; ZT; freshly made beds each season -&gt; MT; VMP beds re-formed + non-puddled transplanting -&gt; MTR.</t>
  </si>
  <si>
    <t xml:space="preserve">Codes; author 2026-10-04</t>
  </si>
  <si>
    <t xml:space="preserve">Strip tillage, zone-disc tiller or strip drill + residue -&gt; MTR, even when the paper calls it CA.</t>
  </si>
  <si>
    <t xml:space="preserve">Studies 124, 125, 127.</t>
  </si>
  <si>
    <t xml:space="preserve">Shallow rotary 3-5 cm stubble breaking + surface straw -&gt; MTR; shallow rotary 6-7 cm + straw mulch -&gt; MTR.</t>
  </si>
  <si>
    <t xml:space="preserve">Guo 2026 'NT' (129 companion); Kong 121 STS.</t>
  </si>
  <si>
    <t xml:space="preserve">Author 2026-10-04 / 2026-10-05</t>
  </si>
  <si>
    <t xml:space="preserve">Low residue (about 20 % stubble, farmer practice) counts as residue -&gt; CTR / MTR.</t>
  </si>
  <si>
    <t xml:space="preserve">Rows pair like residue levels (as study 40).</t>
  </si>
  <si>
    <t xml:space="preserve">Author 2026-10-04</t>
  </si>
  <si>
    <t xml:space="preserve">Tillage ~25 cm with a 'conventional tiller' + straw -&gt; CT / CTR; PTOS (power-tiller-operated seeder, full tillage) -&gt; CTR.</t>
  </si>
  <si>
    <t xml:space="preserve">Several of the paper's treatments under ONE code -&gt; one row per treatment (rows a, b, c ...), the other codes repeated in each row.</t>
  </si>
  <si>
    <t xml:space="preserve">Obs adds T = number of treatments under that code (see Statistics).</t>
  </si>
  <si>
    <t xml:space="preserve">Inclusion threshold: a study is included if it yields ANY TWO usable codes; a CT reference is not required.</t>
  </si>
  <si>
    <t xml:space="preserve">A study left with one code after the rotation rule contributes nothing (e.g. study 69 after the rotary rule).</t>
  </si>
  <si>
    <t xml:space="preserve">Codes - INCLUSION THRESHOLD</t>
  </si>
  <si>
    <t xml:space="preserve">ROTATION MATCHING (RICE + WHEAT PHASES)</t>
  </si>
  <si>
    <t xml:space="preserve">Rotation matching (rice + wheat phases)</t>
  </si>
  <si>
    <t xml:space="preserve">Rice tillage stated: the rice and wheat phases of a treatment must be the SAME type of tillage; a mismatched treatment is EXCLUDED, in either direction.</t>
  </si>
  <si>
    <t xml:space="preserve">Excluded: no-till rice + conventional wheat (RNT-WCT); puddled rice + ZT / bed wheat; alternate tillage. Logged in Treatment_Mapping as EXCLUDED.</t>
  </si>
  <si>
    <t xml:space="preserve">Codes - STANDING RULE 1</t>
  </si>
  <si>
    <t xml:space="preserve">Rice tillage NOT stated: classify on the wheat-phase tillage alone (do not assume a puddled rice phase).</t>
  </si>
  <si>
    <t xml:space="preserve">Studies 9, 11, 12, 41.</t>
  </si>
  <si>
    <t xml:space="preserve">Codes - STANDING RULE 2</t>
  </si>
  <si>
    <t xml:space="preserve">Author exceptions: puddled rice + conservation wheat INCLUDED and flagged 'PUDDLED RICE PHASE'.</t>
  </si>
  <si>
    <t xml:space="preserve">Kahlon 2014 (74), 34 (companion), Yangzhou group 126-128, 130, 132 - filter on the flag for sensitivity analysis.</t>
  </si>
  <si>
    <t xml:space="preserve">Tilled UNPUDDLED rice (dry tillage, transplanted or direct-seeded) + ZT wheat: without residue -&gt; ZT, with residue -&gt; CA (flagged).</t>
  </si>
  <si>
    <t xml:space="preserve">UPTR-ZTW, MTR/DSR-ZTW, CT-DDSR fb ZT -&gt; ZT; study 29 family T6 -&gt; CA. Puddled / wet-tilled rice + ZTW stays a mismatch.</t>
  </si>
  <si>
    <t xml:space="preserve">Zero-till DSR + one-pass rotary till-drill wheat -&gt; MT; tilled DSR + reduced-till wheat -&gt; MT (+ residue -&gt; MTR).</t>
  </si>
  <si>
    <t xml:space="preserve">Studies 76, 79, 113.</t>
  </si>
  <si>
    <t xml:space="preserve">Unpuddled (aerobic) rice = reduced tillage -&gt; MT.</t>
  </si>
  <si>
    <t xml:space="preserve">Study 69 AR. Superseded on 2026-10-05: AR land preparation was disc plough + rotavator = CT under the rotary rule, so study 69 is excluded (rows in EXCLUDED_rows).</t>
  </si>
  <si>
    <t xml:space="preserve">SUPERSEDED (rotary rule)</t>
  </si>
  <si>
    <t xml:space="preserve">Puddled drum-seeded rice + CT wheat -&gt; CT; SRI fb SWI -&gt; CT; SRI-SWI with a different nutrient regime is excluded when a proper CT exists; CT dry-seeded unpuddled rice + CT wheat -&gt; CT / CTR (flagged).</t>
  </si>
  <si>
    <t xml:space="preserve">When papers of one trial disagree on puddling, follow the main paper.</t>
  </si>
  <si>
    <t xml:space="preserve">Mishra Table 1 used over Saurabh for study 29 T3.</t>
  </si>
  <si>
    <t xml:space="preserve">CROPPING SYSTEM &amp; DESIGN</t>
  </si>
  <si>
    <t xml:space="preserve">Cropping system &amp; design</t>
  </si>
  <si>
    <t xml:space="preserve">Third crop grown in EVERY treatment -&gt; included; added in some treatments only -&gt; those treatments excluded; with a mixed rotation history -&gt; include flagged.</t>
  </si>
  <si>
    <t xml:space="preserve">When a third crop is present only in some treatments, use the treatment with the same rotation as the CT reference (Chaki CS1 vs CS2/CS3).</t>
  </si>
  <si>
    <t xml:space="preserve">Excluded systems: rice-maize, wheat-maize, soybean-wheat, double rice, rice-only or rice-rice TRIALS.</t>
  </si>
  <si>
    <t xml:space="preserve">Exception: a rice-season-only paper from a genuine rice-wheat CA trial -&gt; red rice rows (Rana 2023, Bazaya 2009).</t>
  </si>
  <si>
    <t xml:space="preserve">Factorial / split-plot papers: use the interaction (cell) means; papers with only marginal / mixed-rotation means -&gt; excluded, values in notes.</t>
  </si>
  <si>
    <t xml:space="preserve">Tripathi 2007 (72).</t>
  </si>
  <si>
    <t xml:space="preserve">Non-tillage factors (N dose, irrigation, nutrient source, variety, density, rotation ...) crossed with tillage -&gt; one row per factor level (cell means), level named in Notes and 'Fertilizer dose &amp; other management'.</t>
  </si>
  <si>
    <t xml:space="preserve">Only if no cell means are printed, the main-effect mean is used and flagged. From serial 76 onward (not retroactive). Main-effect means pooled over residue -&gt; entered flagged.</t>
  </si>
  <si>
    <t xml:space="preserve">Amendments and confounded treatments are excluded: biochar, compost added, INM / nutrient-management trials with identical tillage, unfertilised control or undefined farmer practice when a fertilised tier exists, rotation treatments.</t>
  </si>
  <si>
    <t xml:space="preserve">Artificial warming: ambient (W0) rows only, warmed rows in notes. Rhizosphere devices / simulated tillage soil excluded.</t>
  </si>
  <si>
    <t xml:space="preserve">SEASONS, YEARS &amp; ROWS</t>
  </si>
  <si>
    <t xml:space="preserve">Seasons, years &amp; rows</t>
  </si>
  <si>
    <t xml:space="preserve">Wheat season is the default for soil parameters.</t>
  </si>
  <si>
    <t xml:space="preserve">Rice-season soil values that duplicate a wheat-season parameter -&gt; Notes only.</t>
  </si>
  <si>
    <t xml:space="preserve">Rice-season fallback: a parameter reported ONLY for the rice season is entered with the WHOLE ROW in RED and 'RICE SEASON' at the start of 'Crop/season of sampling'.</t>
  </si>
  <si>
    <t xml:space="preserve">Filter on font colour or that column to include / exclude.</t>
  </si>
  <si>
    <t xml:space="preserve">Codes - RICE-SEASON FALLBACK</t>
  </si>
  <si>
    <t xml:space="preserve">Year-wise data always: every year a paper gives (table or figure) is a separate row; the multi-year mean goes to Notes.</t>
  </si>
  <si>
    <t xml:space="preserve">From study 101 onward.</t>
  </si>
  <si>
    <t xml:space="preserve">Soil sampled at several crop stages in one season -&gt; one row per stage (stage in 'Crop/season of sampling').</t>
  </si>
  <si>
    <t xml:space="preserve">Box plots: not entered by default; box-plot means entered when the author asks or when they are the only data for a parameter (flagged).</t>
  </si>
  <si>
    <t xml:space="preserve">Studies 101, 388.</t>
  </si>
  <si>
    <t xml:space="preserve">SITE CLASSIFICATION</t>
  </si>
  <si>
    <t xml:space="preserve">Site classification</t>
  </si>
  <si>
    <t xml:space="preserve">Climate: latitude &gt; 30 deg -&gt; TEMP; &lt;= 30 deg -&gt; ST.</t>
  </si>
  <si>
    <t xml:space="preserve">Pittelkow et al. 2015; Mondal et al. 2018.</t>
  </si>
  <si>
    <t xml:space="preserve">Texture: SCL, SiCL, CL, Si, SiL, L, SL -&gt; LOAMY; LS, S -&gt; SANDY; SC, SiC, C -&gt; CLAYEY; class not stated -&gt; USDA triangle from sand/silt/clay.</t>
  </si>
  <si>
    <t xml:space="preserve">Shirazi et al. 2001.</t>
  </si>
  <si>
    <t xml:space="preserve">Duration: 0-3 Y / 4-10 Y / &gt;10 Y = years since the trial was established at sampling.</t>
  </si>
  <si>
    <t xml:space="preserve">Depth classes 0-15 / 15-30 / 30-45 / 45-60 / &gt;60 CM by maximum overlap: 0-10 -&gt; 0-15; 10-20 and 20-30 -&gt; 15-30 (separate rows, D=2); 20-40 -&gt; 30-45; 0-30 -&gt; 0-15; 30-60 -&gt; 30-45; 60-90 -&gt; &gt;60.</t>
  </si>
  <si>
    <t xml:space="preserve">Penetration resistance: 0-10 ... 50-60 CM classes. C stock / sequestration: cumulative 0-10, 0-20 ... 0-60 CM (0-15 -&gt; 0-20, 0-45 -&gt; 0-50).</t>
  </si>
  <si>
    <t xml:space="preserve">Codes; author 2026-10-03</t>
  </si>
  <si>
    <t xml:space="preserve">STATISTICS (OBS, REP, SD)</t>
  </si>
  <si>
    <t xml:space="preserve">Statistics (Obs, Rep, SD)</t>
  </si>
  <si>
    <t xml:space="preserve">Rep = 3 unless the paper states a different number of replications.</t>
  </si>
  <si>
    <t xml:space="preserve">Obs (new papers) = additive per row: Y (years in that row's mean) + T (paper treatments under one code) + D (depths inside the depth class); a factor equal to 1 adds nothing; minimum 1.</t>
  </si>
  <si>
    <t xml:space="preserve">3 years -&gt; 3; 2 treatments -&gt; 2; 3 depths -&gt; 3; all three -&gt; 8. No-depth parameters (yield, WUE, uptake, GHG): D = 0. Row-b recoding adds T=2 to rows a and b.</t>
  </si>
  <si>
    <t xml:space="preserve">SD = workbook formula SQRT(2*Obs/Rep) when the paper gives no SD/SE; a reported SD (or SE x SQRT(Rep)) replaces it.</t>
  </si>
  <si>
    <t xml:space="preserve">Paper-reported SD kept in Notes when the single SD column keeps the formula.</t>
  </si>
  <si>
    <t xml:space="preserve">PARAMETER-SPECIFIC</t>
  </si>
  <si>
    <t xml:space="preserve">Parameter-specific</t>
  </si>
  <si>
    <t xml:space="preserve">Carbon: oxidisable / labile organic C as most papers report it (SOC, Walkley-Black, OM/1.724) -&gt; 'SOC (active C pool)' in g/kg; TOC = labile + non-labile or C by dry combustion.</t>
  </si>
  <si>
    <t xml:space="preserve">Every paper's SOC must appear on one concentration sheet (derive from content/stock with BD, flagged).</t>
  </si>
  <si>
    <t xml:space="preserve">SOC stock = SOC (g/kg) x BD x thickness (cm) x 0.1, cumulative from the surface, live cross-sheet formulas; sequestration rate = (treatment stock - initial stock) / years from the same initial SOC x initial BD.</t>
  </si>
  <si>
    <t xml:space="preserve">Only where SOC and treatment BD share a layer; do not duplicate printed stocks; skipped when the baseline is implausible.</t>
  </si>
  <si>
    <t xml:space="preserve">Soil water: GWC = gravimetric water content at any instant (v/v / BD); AWC (FC - PWP) on BOTH 'AWC (weight basis)' and 'AWC (volume basis)'; field capacity -&gt; 'FC (weight basis)'; wilting point -&gt; 'PWP (weight basis)'; WHC only for Keen-Raczkowski box; saturated WC -&gt; 'SAT WC'; profile storage (mm) -&gt; 'Moisture storage'.</t>
  </si>
  <si>
    <t xml:space="preserve">Each soil-water row carries a 'WATER-QUANTITY CHECK' note from the paper's Methods. BD for conversions: same study/depth/treatment from the BD sheet, else the paper's own layer BD, else 1.35 Mg/m3. Basis not stated -&gt; GWC, flagged.</t>
  </si>
  <si>
    <t xml:space="preserve">Infiltration: IR_ = steady-state (final / basic) rate, IIR_ = initial rate, both cm/hr on the IR sheet; cumulative infiltration in Notes.</t>
  </si>
  <si>
    <t xml:space="preserve">Roots as densities: RLD (cm/cm3), RVD (cm3/cm3), RMD (mg/cm3), RSD (cm2/cm3); ROOT DIA (mm); per-sample values converted with the sampled soil volume (live formula, assumption in Notes).</t>
  </si>
  <si>
    <t xml:space="preserve">Derived values (live formulas, flagged DERIVED): straw = biomass - grain; HI = grain / (grain + straw); GHGI = GWP / (grain t/ha x 1000); CL / LI / CPI / CMI with CT as reference; porosity = (1 - BD/PD) x 100 with PD 2.65 default.</t>
  </si>
  <si>
    <t xml:space="preserve">A printed value always wins over a derived one. Every derivation is documented on the FORMULAS sheet.</t>
  </si>
  <si>
    <t xml:space="preserve">%-variation tables: treatment value = reference x (1 + VR/100) as a live formula; ratio-only papers: concentration = ratio x SOC (flagged).</t>
  </si>
  <si>
    <t xml:space="preserve">Studies 64, 90, 102.</t>
  </si>
  <si>
    <t xml:space="preserve">Author default 2026-10-03</t>
  </si>
  <si>
    <t xml:space="preserve">System values (system / rice-equivalent yield, system B:C, WP, GWP, uptake) go in the SYS columns; flagged if they include a third crop.</t>
  </si>
  <si>
    <t xml:space="preserve">The paper's own system value replaces a derived rice + wheat sum.</t>
  </si>
  <si>
    <t xml:space="preserve">Model / simulation output (APSIM, DSSAT) IS entered when available or asked for, every row flagged 'MODEL OUTPUT' in Notes and Data source.</t>
  </si>
  <si>
    <t xml:space="preserve">Studies 28 (DSSAT Table 6), 78 and 117 (companion) (APSIM). Input-based LCA GWP entered flagged.</t>
  </si>
  <si>
    <t xml:space="preserve">Simulated output is not entered.</t>
  </si>
  <si>
    <t xml:space="preserve">Original Codes rule.</t>
  </si>
  <si>
    <t xml:space="preserve">Codes (old)</t>
  </si>
  <si>
    <t xml:space="preserve">SUPERSEDED (model output now entered)</t>
  </si>
  <si>
    <t xml:space="preserve">Economics: paper B:C defined as gross/cost is converted to net/cost (B:C - 1); NET RETURN sheet in the printed currency (gross margin and model rows flagged).</t>
  </si>
  <si>
    <t xml:space="preserve">Unit conversions: GHG kg CH4 -&gt; kg C (x 12/16), kg N2O -&gt; kg N (x 28/44); P mg/kg x 2.25 -&gt; kg/ha; available N/P/K and NO3 in mg/kg kept as printed when no layer BD; enzyme rates converted to the sheet unit (e.g. per day / 24).</t>
  </si>
  <si>
    <t xml:space="preserve">Penetration resistance in non-convertible units (N/cm) entered as printed, flagged.</t>
  </si>
  <si>
    <t xml:space="preserve">Workbook practice</t>
  </si>
  <si>
    <t xml:space="preserve">Kept in Notes only (no sheet): soil temperature, crop growth, energy, water footprint, relative water content (% of FC), site-level FC/PWP profiles.</t>
  </si>
  <si>
    <t xml:space="preserve">FORMATTING &amp; BUILD</t>
  </si>
  <si>
    <t xml:space="preserve">Formatting &amp; build</t>
  </si>
  <si>
    <t xml:space="preserve">Arial 10; Notes/Doubts fill FFF2CC; rice-season rows whole row red; the orange 'UNIT FOR THIS SHEET' note column is never restyled; formulas stay live and their values are cached after every save.</t>
  </si>
  <si>
    <t xml:space="preserve">fullCalcOnLoad is set so Excel recalculates on opening.</t>
  </si>
  <si>
    <t xml:space="preserve">Every recoded or added row states what was done at the start of Notes ('RECODED &lt;date&gt; ...', 'ROW b (added &lt;date&gt;) ...', 'DUPLICATE RE-SUBMISSION ...', 'MODEL OUTPUT ...').</t>
  </si>
  <si>
    <t xml:space="preserve">Lets any decision be filtered and reversed.</t>
  </si>
  <si>
    <t xml:space="preserve">A straw-return treatment whose mineral fertiliser was cut to offset straw nutrients is coded CTR (or MTR / CA by tillage) and FLAGGED.</t>
  </si>
  <si>
    <t xml:space="preserve">He et al. 2021 (145) OF+S: rice N 182 vs 225, wheat 189 vs 210 kg/ha. Drop the flagged rows for a fertiliser-matched sensitivity check.</t>
  </si>
  <si>
    <t xml:space="preserve">Plant height, glycine aminopeptidase, mycorrhizal spore counts, net GWP (NGWP) and net economic benefit get their own sheets; root length per plant is converted to root length density (assumptions in the formula, flagged).</t>
  </si>
  <si>
    <t xml:space="preserve">Sheets PLANT HEIGHT, GAP, MYCORRHIZAL SPORES, NGWP, NET ECONOMIC BENEFIT (first filled from ext\241-250).</t>
  </si>
  <si>
    <t xml:space="preserve">Coding</t>
  </si>
  <si>
    <t xml:space="preserve">Permanent raised beds WITH residue retention = CA (flagged) in companion papers even when the main study coded the bed treatment ZT.</t>
  </si>
  <si>
    <t xml:space="preserve">71 (companion), 71 (companion 2)</t>
  </si>
  <si>
    <t xml:space="preserve">Pooled means</t>
  </si>
  <si>
    <t xml:space="preserve">Main effects pooled over a factor level that would itself be excluded (e.g. shallow wheat tillage after puddled rice) go to Notes only; enter only rotation-matched cells.</t>
  </si>
  <si>
    <t xml:space="preserve">163 Sarkar &amp; Kar 2011</t>
  </si>
  <si>
    <t xml:space="preserve">Earthworm density and dissolved organic C get their own sheets (EARTHWORM, DOC); DOC printed per litre of extract is entered as printed and flagged.</t>
  </si>
  <si>
    <t xml:space="preserve">156, 161</t>
  </si>
  <si>
    <t xml:space="preserve">NEW WORKBOOK SERIES (2026-10-05)</t>
  </si>
  <si>
    <t xml:space="preserve">NEW workbook: built on the updated 53 structure with NO previous data carried over. Serial numbers CONTINUE from the old master: the first new study is 164 (old master ends at 163), so the two files can be merged. Each upload is saved as a new numbered version (META_ANALYSIS_NEW_updated_NN.xlsx).</t>
  </si>
  <si>
    <t xml:space="preserve">README, RULES, Codes and FORMULAS are kept as the rulebook; worked examples there cite the OLD master's serials (updated 53), not studies of this workbook.</t>
  </si>
  <si>
    <t xml:space="preserve">PARTIAL CA CODES: pCA = puddled / conventional rice + ZT wheat WITH residue; pZT = puddled / conventional rice + ZT wheat, residue removed; pMT = puddled / conventional rice + MT wheat, no residue; pMTR = puddled / conventional rice + MT wheat WITH residue.</t>
  </si>
  <si>
    <t xml:space="preserve">Every parameter sheet carries &lt;prefix&gt;pCA, pZT, pMT, pMTR right after &lt;prefix&gt;DTR (olive-green headers). These treatments are NO LONGER excluded under the rotation-matching rule (rule 22) and are NOT entered in the CA / ZT / MT / MTR columns; they go to the p-columns. The reverse mismatch (ZT / no-till rice + conventional wheat, RNT-WCT) stays EXCLUDED (author re-confirmed). MT vs MTR for the wheat phase follows the rotary rule (rule 13).</t>
  </si>
  <si>
    <t xml:space="preserve">Rotary rule restated: full-width rotary to &gt;= 10 cm, or &gt;= 2 full-width passes = CT / CTR whatever the paper calls it; rotary &lt;= 8 cm, single-pass till-drill, Super / Roto Seeder, strip or zone rotary = MT / MTR.</t>
  </si>
  <si>
    <t xml:space="preserve">8-10 cm or depth unstated -&gt; ask the author.</t>
  </si>
  <si>
    <t xml:space="preserve">Same treatment type in rice and wheat = include (e.g. puddled transplanted rice + CT wheat = CT). Rice tillage not stated -&gt; classify on the wheat tillage alone.</t>
  </si>
  <si>
    <t xml:space="preserve">Rules 22-23 unchanged except for the partial-CA codes above.</t>
  </si>
  <si>
    <t xml:space="preserve">Green manuring / a third crop (mungbean, Sesbania, etc.) in a rice-wheat system: study included. Green manuring is a SUPPLEMENTARY condition for CA, NOT a necessary one: ZT + residue = CA with or without green manure.</t>
  </si>
  <si>
    <t xml:space="preserve">A green manure / third crop grown only in the CA treatment does not exclude that treatment and does not change its code; the crop is named in Notes and 'Fertilizer dose &amp; other management' ('GREEN MANURE'). Green manure never turns a non-CA treatment into CA (e.g. ZT without residue + green manure stays ZT).</t>
  </si>
  <si>
    <t xml:space="preserve">Inclusion: any study with ANY TWO of CT, ZT, CA, DT, MT, MTR, CTR, DTR, pCA, pZT, pMT, pMTR is included. Not restricted to South Asia.</t>
  </si>
  <si>
    <t xml:space="preserve">Rule 21 extended to the partial-CA codes.</t>
  </si>
  <si>
    <t xml:space="preserve">Porosity (%) = (1 - BD / PD) x 100 from the TREATMENT BD (changed BD). PD = the treatment's PD if reported, else the paper's initial PD, else 2.65 Mg/m3 (flagged).</t>
  </si>
  <si>
    <t xml:space="preserve">Live formula linking the BD sheet (and PD sheet where used). A printed total porosity is entered as printed.</t>
  </si>
  <si>
    <t xml:space="preserve">WSA = sum of ALL water-stable aggregate fractions &gt; 0.053 mm, in g/g of soil (0-1). A printed WSA in % is divided by 100; when the paper gives only the fractions, WSA is their sum (DERIVED, flagged).</t>
  </si>
  <si>
    <t xml:space="preserve">The silt + clay fraction (&lt; 0.053 mm) is never included. The old master (updated 53) holds WSA in % - divide by 100 when merging.</t>
  </si>
  <si>
    <t xml:space="preserve">Penetration resistance: 10 cm classes 0-10, 10-20, 20-30, 30-40, 40-50, 50-60 CM (and &gt;60 CM) - do NOT stop at 30 cm. C stock and sequestration: cumulative 0-10 ... 0-60 CM.</t>
  </si>
  <si>
    <t xml:space="preserve">Rule 43 restated.</t>
  </si>
  <si>
    <t xml:space="preserve">SOC (Walkley-Black / 'SOC' / OM/1.724) of every paper goes to SOC(active C pool); every other carbon pool reported (TOC, TC, POXC, PSOC, MOC, WSC, DOC, LFOC, HFOC, Chan fractions, macro/micro-aggregate C, stocks) goes to its own sheet.</t>
  </si>
  <si>
    <t xml:space="preserve">Rule 47 restated.</t>
  </si>
  <si>
    <t xml:space="preserve">Soil water: AWC (FC - PWP) on BOTH AWC sheets (converted with BD); water content at sampling -&gt; GWC (weight basis; v/v / BD); FC (-33 kPa) -&gt; FC (weight basis); PWP (-1500 kPa) -&gt; PWP (weight basis); Keen box -&gt; WHC; saturated WC -&gt; SAT WC.</t>
  </si>
  <si>
    <t xml:space="preserve">Rule 49 restated.</t>
  </si>
  <si>
    <t xml:space="preserve">INM papers with a crop-residue treatment: 100% NPK (CT) vs reduced NPK + straw substituting the cut N (CTR), FLAGGED under rule 62.</t>
  </si>
  <si>
    <t xml:space="preserve">Applied to Yadav 2000 (164: 100F vs 50F+CR, 50% NPK + wheat straw to rice only) and Das 2014 (166: T2 vs T8, 25% N via straw to both crops). FYM / press mud / green manure / unfertilised tiers excluded.</t>
  </si>
  <si>
    <t xml:space="preserve">Default 2026-10-05</t>
  </si>
  <si>
    <t xml:space="preserve">IN FORCE (author confirmed 2026-10-05)</t>
  </si>
  <si>
    <t xml:space="preserve">Soil sampled only after rice harvest -&gt; rice-season fallback, whole rows red (rule 36).</t>
  </si>
  <si>
    <t xml:space="preserve">Dhaliwal 2020 (168): all soil rows red.</t>
  </si>
  <si>
    <t xml:space="preserve">IN FORCE (rule 36; author confirmed 2026-10-05)</t>
  </si>
  <si>
    <t xml:space="preserve">Enzymes printed only as tillage and residue MAIN effects (no cell means): tillage main effect entered as _CT vs _ZT (each pooled over +/- residue), flagged; residue main effect kept in Notes.</t>
  </si>
  <si>
    <t xml:space="preserve">Dhaliwal 2020 (168) DHA, urease, ALP, ACP (Figs 1-2).</t>
  </si>
  <si>
    <t xml:space="preserve">Default 2026-10-05 (rule 33)</t>
  </si>
  <si>
    <t xml:space="preserve">Water retention measured on packed aggregates (pressure plate) is entered on the FC / PWP / AWC sheets on a BULK-SOIL basis: gravimetric values as printed, all volumetric conversions with the bulk-soil BD (not aggregate density).</t>
  </si>
  <si>
    <t xml:space="preserve">Das 2014 (166) Table 3, 2-5 mm and 5-8 mm aggregates (separate rows).</t>
  </si>
  <si>
    <t xml:space="preserve">Default 2026-10-05 (rule 9)</t>
  </si>
  <si>
    <t xml:space="preserve">IN FORCE (author 2026-10-05: BULK-SOIL basis)</t>
  </si>
  <si>
    <t xml:space="preserve">Two MWD pre-treatments (slaked and capillary-rewetted) both entered on MWD 1 as separate rows, flagged by pre-treatment.</t>
  </si>
  <si>
    <t xml:space="preserve">Das 2014 (166) Fig. 2a/2b.</t>
  </si>
  <si>
    <t xml:space="preserve">Year-wise yields digitised from multi-site trend figures; where a treatment's panel plots fewer seasons, seasons are paired by matching the series and checked against the printed site means.</t>
  </si>
  <si>
    <t xml:space="preserve">Yadav 2000 (164) Fig. 2: Faizabad wheat (12 CR seasons), Jabalpur wheat (12 seasons, one of 1988-89/1989-90 unlabelled), Sabour (one unlabelled season 1993-96).</t>
  </si>
  <si>
    <t xml:space="preserve">Default 2026-10-05 (rule 37)</t>
  </si>
  <si>
    <t xml:space="preserve">Values read from figures that look odd (axis unit 'per min' on a 5-h assay; a treatment bar below the unfertilised control) are kept as read, converted to the sheet unit and flagged.</t>
  </si>
  <si>
    <t xml:space="preserve">Dhaliwal 2020 urease (x 60 to per hour); Yadav 2000 Ludhiana 50F+CR SOC 1.51 g/kg.</t>
  </si>
  <si>
    <t xml:space="preserve">A paper EXCLUDED in the old master only because of a rotation mismatch that the partial-CA codes now cover is RE-ENTERED as 'NN (companion)' with the pCA/pZT/pMT/pMTR codes.</t>
  </si>
  <si>
    <t xml:space="preserve">Zhang 2023 = old-master 131 -&gt; 131 (companion): PR (puddled rice + NT wheat + straw) = pCA, CN = CA.</t>
  </si>
  <si>
    <t xml:space="preserve">Default 2026-10-05 (rules 6, 68)</t>
  </si>
  <si>
    <t xml:space="preserve">PENDING CONFIRMATION</t>
  </si>
  <si>
    <t xml:space="preserve">Old-master trials whose partial-CA scenario was excluded contribute that scenario as pCA in new companion entries.</t>
  </si>
  <si>
    <t xml:space="preserve">CSSRI Karnal scenario trial (old-master 23): Sc2 (puddled TPR + ZT wheat + ZT mungbean, residue) -&gt; pCA in 23 (companion 3) and 23 (companion 4).</t>
  </si>
  <si>
    <t xml:space="preserve">Default 2026-10-05 (rule 68)</t>
  </si>
  <si>
    <t xml:space="preserve">Carbon pools printed only as stocks (Mg C/ha) with no treatment BD: concentration = pool stock / SOC stock x measured TOC concentration of the same sampling (DERIVED, flagged).</t>
  </si>
  <si>
    <t xml:space="preserve">23 (companion 4) VLC/LC/LLC/NLC; TOC from 23 (companion 3), Oct 2013. TOC (not SOC active pool) is the multiplier because the four Chan pools sum to total organic C (NLC = TOC - C oxidised by 24 N H2SO4; Walkley-Black SOC ~ VLC + LC + LLC).</t>
  </si>
  <si>
    <t xml:space="preserve">Default 2026-10-05 (rule 53)</t>
  </si>
  <si>
    <t xml:space="preserve">IN FORCE (author confirmed 2026-10-05: TOC basis)</t>
  </si>
  <si>
    <t xml:space="preserve">Aggregate-associated C printed per size class without class masses: macro-C = unweighted mean of the &gt;0.25 mm classes, micro-C = mean of the 0.053-0.25 mm classes (flagged).</t>
  </si>
  <si>
    <t xml:space="preserve">23 (companion 3) Figs 2-3.</t>
  </si>
  <si>
    <t xml:space="preserve">Organic-manure trials: manure only (CT) vs manure + crop residue (CTR); a residue + biofertiliser treatment is a second CTR row (row b, flagged). Tillage taken from a companion paper of the same project when the paper does not describe it (flagged).</t>
  </si>
  <si>
    <t xml:space="preserve">165 (companion) Meena 2020 (IARI organic project of Davari 2012): FYM / VC vs + CR (row a) and + CR + BF (row b).</t>
  </si>
  <si>
    <t xml:space="preserve">Default 2026-10-05 (rules 5, 20)</t>
  </si>
  <si>
    <t xml:space="preserve">Code</t>
  </si>
  <si>
    <t xml:space="preserve">Meaning</t>
  </si>
  <si>
    <t xml:space="preserve">Typical descriptions in papers</t>
  </si>
  <si>
    <t xml:space="preserve">CA</t>
  </si>
  <si>
    <t xml:space="preserve">Zero tillage + residue retention</t>
  </si>
  <si>
    <t xml:space="preserve">ZT+R, ZTW with residue, permanent beds with residue, NT + mulch, CA-based scenario</t>
  </si>
  <si>
    <t xml:space="preserve">CT</t>
  </si>
  <si>
    <t xml:space="preserve">Conventional tillage, NO residue</t>
  </si>
  <si>
    <t xml:space="preserve">CT, farmers practice, puddled transplanted rice - conventional till wheat, residue removed/burnt</t>
  </si>
  <si>
    <t xml:space="preserve">ZT</t>
  </si>
  <si>
    <t xml:space="preserve">Zero tillage only, no residue</t>
  </si>
  <si>
    <t xml:space="preserve">ZT, NT, direct drilled without residue</t>
  </si>
  <si>
    <t xml:space="preserve">DT</t>
  </si>
  <si>
    <t xml:space="preserve">Deep tillage only, no residue</t>
  </si>
  <si>
    <t xml:space="preserve">deep ploughing, sub-soiling, chiselling without residue</t>
  </si>
  <si>
    <t xml:space="preserve">MTR</t>
  </si>
  <si>
    <t xml:space="preserve">Minimum / reduced tillage WITH residue</t>
  </si>
  <si>
    <t xml:space="preserve">RT+R, reduced till (power tiller 2 passes, 0.08-0.10 m) + residue, rotary till drill + residue, reduced puddling + residue, unpuddled harrowing+rotavator + residue</t>
  </si>
  <si>
    <t xml:space="preserve">MT</t>
  </si>
  <si>
    <t xml:space="preserve">Minimum / reduced tillage only, no residue</t>
  </si>
  <si>
    <t xml:space="preserve">RT, reduced till, rotary till drill, reduced puddling, 2 passes power tiller, unpuddled rice without residue</t>
  </si>
  <si>
    <t xml:space="preserve">CTR</t>
  </si>
  <si>
    <t xml:space="preserve">Conventional tillage WITH residue</t>
  </si>
  <si>
    <t xml:space="preserve">CT+R, conventional till with residue incorporated</t>
  </si>
  <si>
    <t xml:space="preserve">DTR</t>
  </si>
  <si>
    <t xml:space="preserve">Deep tillage WITH residue</t>
  </si>
  <si>
    <t xml:space="preserve">deep tillage + residue incorporation</t>
  </si>
  <si>
    <t xml:space="preserve">pCA</t>
  </si>
  <si>
    <t xml:space="preserve">PARTIAL CA: puddled / conventional-till rice + ZERO-TILL wheat WITH residue retained</t>
  </si>
  <si>
    <t xml:space="preserve">PTR-ZTW+R, TPR fb ZTW (Happy Seeder / Turbo Happy Seeder into rice residue), puddled rice + ZT wheat with mulch</t>
  </si>
  <si>
    <t xml:space="preserve">pZT</t>
  </si>
  <si>
    <t xml:space="preserve">PARTIAL ZT: puddled / conventional-till rice + ZERO-TILL wheat, residue REMOVED / burnt</t>
  </si>
  <si>
    <t xml:space="preserve">PTR-ZTW, TPR fb ZTW (no residue), puddled rice + ZT drill wheat</t>
  </si>
  <si>
    <t xml:space="preserve">pMT</t>
  </si>
  <si>
    <t xml:space="preserve">PARTIAL MT: puddled / conventional-till rice + MINIMUM / REDUCED-till wheat, NO residue</t>
  </si>
  <si>
    <t xml:space="preserve">PTR + rotary till-drill / Super Seeder / strip-till wheat (rotary &lt;= 8 cm or single pass), no residue</t>
  </si>
  <si>
    <t xml:space="preserve">pMTR</t>
  </si>
  <si>
    <t xml:space="preserve">PARTIAL MTR: puddled / conventional-till rice + MINIMUM / REDUCED-till wheat WITH residue</t>
  </si>
  <si>
    <t xml:space="preserve">PTR + Super Seeder / Roto Seeder / strip-till wheat with rice residue retained</t>
  </si>
  <si>
    <t xml:space="preserve">NOTE</t>
  </si>
  <si>
    <t xml:space="preserve">Bed systems</t>
  </si>
  <si>
    <t xml:space="preserve">Permanent raised beds (narrow/wide) with residue -&gt; CA; permanent beds without residue -&gt; ZT; freshly made beds each season -&gt; MT (log in Treatment_Mapping and flag).</t>
  </si>
  <si>
    <t xml:space="preserve">Mixed rice/wheat tillage</t>
  </si>
  <si>
    <t xml:space="preserve">e.g. no-till rice + conventional-till wheat (RNT-WCT): the WHEAT-phase tillage decides the code; log the full rotation description in Treatment_Mapping.</t>
  </si>
  <si>
    <t xml:space="preserve">Unclear treatments</t>
  </si>
  <si>
    <t xml:space="preserve">Left out of the data sheets and raised with you.</t>
  </si>
  <si>
    <t xml:space="preserve">RECLASSIFICATION</t>
  </si>
  <si>
    <t xml:space="preserve">Climate</t>
  </si>
  <si>
    <t xml:space="preserve">latitude &gt; 30 deg -&gt; TEMP (temperate)</t>
  </si>
  <si>
    <t xml:space="preserve">Pittelkow et al. 2015; Mondal et al. 2018</t>
  </si>
  <si>
    <t xml:space="preserve">latitude &lt;= 30 deg -&gt; ST (sub-tropical)</t>
  </si>
  <si>
    <t xml:space="preserve">Texture</t>
  </si>
  <si>
    <t xml:space="preserve">Sandy clay loam, silty clay loam, clay loam, silt, silt loam, loam, sandy loam -&gt; LOAMY</t>
  </si>
  <si>
    <t xml:space="preserve">Shirazi et al. 2001</t>
  </si>
  <si>
    <t xml:space="preserve">Loamy sand, sand -&gt; SANDY</t>
  </si>
  <si>
    <t xml:space="preserve">Sandy clay, silty clay, clay -&gt; CLAYEY</t>
  </si>
  <si>
    <t xml:space="preserve">Class not stated -&gt; derive from sand/silt/clay using the USDA texture triangle, then reclassify</t>
  </si>
  <si>
    <t xml:space="preserve">Duration</t>
  </si>
  <si>
    <t xml:space="preserve">0-3 Y / 4-10 Y / &gt;10 Y</t>
  </si>
  <si>
    <t xml:space="preserve">Years since the trial was established at the time of sampling</t>
  </si>
  <si>
    <t xml:space="preserve">Depth (general)</t>
  </si>
  <si>
    <t xml:space="preserve">0-15, 15-30, 30-45, 45-60, &gt;60 CM</t>
  </si>
  <si>
    <t xml:space="preserve">Reported depth reassigned by MAXIMUM OVERLAP, applied SEQUENTIALLY so consecutive reported layers fall in consecutive classes. Worked rules agreed with author: (a) paper reports 0-20 / 20-40 cm  -&gt;  0-20 = 0-15 CM, 20-40 = 15-30 CM. (b) paper reports 0-10 / 10-20 / 20-40 cm  -&gt;  0-10 = 0-15 CM, 10-20 = 15-30 CM, 20-40 = 30-45 CM. Original depth always kept in 'DEPTH (as reported in paper)'. If a paper genuinely reports &gt;1 layer inside one class, all are entered and Obs increases.</t>
  </si>
  <si>
    <t xml:space="preserve">Depth (PR)</t>
  </si>
  <si>
    <t xml:space="preserve">0-10, 10-20, 20-30, 30-40, 40-50, 50-60 CM</t>
  </si>
  <si>
    <t xml:space="preserve">Penetration resistance only</t>
  </si>
  <si>
    <t xml:space="preserve">Depth (C stock / sequestration)</t>
  </si>
  <si>
    <t xml:space="preserve">0-10, 0-20, 0-30, 0-40, 0-50, 0-60 CM</t>
  </si>
  <si>
    <t xml:space="preserve">Cumulative depths</t>
  </si>
  <si>
    <t xml:space="preserve">DATA SOURCE TAGS</t>
  </si>
  <si>
    <t xml:space="preserve">Text / Table n / Figure n (digitised) / Supplementary / Calculated / Author-reported</t>
  </si>
  <si>
    <t xml:space="preserve">DECISIONS (author-confirmed)</t>
  </si>
  <si>
    <t xml:space="preserve">EXCLUDED</t>
  </si>
  <si>
    <t xml:space="preserve">No-till rice + conventional-till wheat (RNT-WCT, AT1 type)</t>
  </si>
  <si>
    <t xml:space="preserve">Excluded from the meta-analysis entirely. Log in Treatment_Mapping with ASSIGNED CODE = EXCLUDED, Status = EXCLUDED.</t>
  </si>
  <si>
    <t xml:space="preserve">SD = SQRT(2*Obs/Rep)</t>
  </si>
  <si>
    <t xml:space="preserve">Formula carried over from the original workbook; replaced by the real SD when a paper reports SD or SE (SD = SE*SQRT(Rep)).</t>
  </si>
  <si>
    <t xml:space="preserve">Always 3</t>
  </si>
  <si>
    <t xml:space="preserve">Unless the paper explicitly states a different number of replications.</t>
  </si>
  <si>
    <t xml:space="preserve">Wheat season only</t>
  </si>
  <si>
    <t xml:space="preserve">Soil parameters measured in the rice season are not entered.</t>
  </si>
  <si>
    <t xml:space="preserve">ROTATION-MATCHING RULE</t>
  </si>
  <si>
    <t xml:space="preserve">Within a SINGLE treatment, the rice phase and the wheat phase must be the SAME type of tillage. If one phase is conventional and the other is conservation (or vice versa), that treatment is EXCLUDED.</t>
  </si>
  <si>
    <t xml:space="preserve">INCLUDE: puddled transplanted rice + conventional tillage wheat = CT. ZT/unpuddled/DSR rice + ZT wheat, residue in both = CA. ZT rice + ZT wheat, no residue = ZT. EXCLUDE: no-till rice + conventional-till wheat (RNT-WCT). EXCLUDE: conventionally puddled transplanted rice + zero-till wheat. EXCLUDE: conventional-till DSR + reduced-till wheat (CTDSR-RTW).</t>
  </si>
  <si>
    <t xml:space="preserve">Consequence</t>
  </si>
  <si>
    <t xml:space="preserve">Any treatment with contrasting tillage between the two phases is dropped, in either direction.</t>
  </si>
  <si>
    <t xml:space="preserve">Log it in Treatment_Mapping with ASSIGNED CODE = EXCLUDED. If this leaves a study with no CA-vs-CT (or other-vs-CT) pair, the whole study contributes nothing and its rows are moved to EXCLUDED_rows.</t>
  </si>
  <si>
    <t xml:space="preserve">Factorial / split-plot papers</t>
  </si>
  <si>
    <t xml:space="preserve">Use the INTERACTION (cell) means so the rice and wheat phase are matched, not the marginal means of one factor.</t>
  </si>
  <si>
    <t xml:space="preserve">A marginal mean for a wheat treatment is averaged across every rice treatment, so its rice phase is a mixture. If the paper reports only marginal means and no cell means, note it in Notes/Doubts and flag the row.</t>
  </si>
  <si>
    <t xml:space="preserve">RULE AMENDMENT - WITHDRAWN</t>
  </si>
  <si>
    <t xml:space="preserve">WITHDRAWN</t>
  </si>
  <si>
    <t xml:space="preserve">A short-lived amendment exempted wheat-phase-only experiments from the rotation-matching rule. It has been WITHDRAWN at the author's instruction.</t>
  </si>
  <si>
    <t xml:space="preserve">The rule applies in full again: the previous crop's tillage counts, and only treatments with the SAME type of treatment in the rice and the wheat phase are included (e.g. puddled transplanted rice + conventional tillage wheat = CT). Reversed for Singh &amp; Singh 2021 (ZT removed again) and Kumar et al. 2012 (all rows moved to EXCLUDED_rows).</t>
  </si>
  <si>
    <t xml:space="preserve">Any treatment whose rice and wheat phases differ in tillage type is excluded, whether or not the contrast was part of the experimental design.</t>
  </si>
  <si>
    <t xml:space="preserve">Excludes: no-till rice + conventional-till wheat (RNT-WCT); conventionally puddled rice + zero-till or bed-planted wheat; conventional-till DSR + reduced-till wheat.</t>
  </si>
  <si>
    <t xml:space="preserve">CONSISTENT</t>
  </si>
  <si>
    <t xml:space="preserve">Sharma et al. 2022 (study 1) stays excluded - its ZTWR0 and ZTWR100 follow a conventionally puddled rice phase.</t>
  </si>
  <si>
    <t xml:space="preserve">Its 22 rows remain in EXCLUDED_rows. Consistent with Singh &amp; Singh 2021 ZT, Kumar et al. 2012, Bachchan et al. 2018 and Paliwal et al. TPR-ZTW-ZTS.</t>
  </si>
  <si>
    <t xml:space="preserve">RULE REFINEMENT (author instruction)</t>
  </si>
  <si>
    <t xml:space="preserve">When the rice phase is NOT described</t>
  </si>
  <si>
    <t xml:space="preserve">Classify on the WHEAT-phase tillage alone. Do not assume the preceding rice was conventionally puddled.</t>
  </si>
  <si>
    <t xml:space="preserve">Applied to Balwinder-Singh et al. 2011 (study 12): mulch -&gt; CA, non-mulch -&gt; ZT. The rule in full still applies wherever the paper DOES state the rice establishment.</t>
  </si>
  <si>
    <t xml:space="preserve">Still excluded</t>
  </si>
  <si>
    <t xml:space="preserve">Papers that state a conventional/puddled rice phase alongside conservation wheat.</t>
  </si>
  <si>
    <t xml:space="preserve">Sharma et al. 2022 (PTR stated); Paliwal et al. TPR-ZTW-ZTS (transplanted rice stated); Choudhury &amp; Singh 2013 (TPR stated).</t>
  </si>
  <si>
    <t xml:space="preserve">OPEN - needs your decision</t>
  </si>
  <si>
    <t xml:space="preserve">Two studies already excluded also do NOT describe the rice phase.</t>
  </si>
  <si>
    <t xml:space="preserve">Singh &amp; Singh 2021 (study 9) ZT - would return as CA; Kumar et al. 2012 (study 11) ZT and CT - would return the whole study with BD, porosity, Ksat, infiltration, PAWC and penetration resistance. Say the word and I will restore them from EXCLUDED_rows.</t>
  </si>
  <si>
    <t xml:space="preserve">STANDING RULE (current)</t>
  </si>
  <si>
    <t xml:space="preserve">1. Rice tillage IS stated</t>
  </si>
  <si>
    <t xml:space="preserve">The rice and wheat phases must be the SAME type of tillage within a treatment.</t>
  </si>
  <si>
    <t xml:space="preserve">e.g. puddled transplanted rice + conventional tillage wheat = CT. Puddled rice + zero-till wheat = EXCLUDED.</t>
  </si>
  <si>
    <t xml:space="preserve">2. Rice tillage NOT stated</t>
  </si>
  <si>
    <t xml:space="preserve">Classify on the WHEAT-phase tillage alone; do not assume a conventional rice phase.</t>
  </si>
  <si>
    <t xml:space="preserve">Applied to Balwinder-Singh et al. 2011 (study 12), Singh &amp; Singh 2021 ZT -&gt; CA (study 9) and Kumar et al. 2012 (study 11), all restored.</t>
  </si>
  <si>
    <t xml:space="preserve">3. Still excluded</t>
  </si>
  <si>
    <t xml:space="preserve">Studies that explicitly state a conventional/puddled rice phase alongside conservation wheat.</t>
  </si>
  <si>
    <t xml:space="preserve">Sharma et al. 2022 (study 1, PTR stated); Paliwal et al. TPR-ZTW-ZTS (study 7); Choudhury &amp; Singh 2013 bed/ZT variants (study 6); Gathala et al. T2 (study 15); Aryal et al. 2015 (study 17).</t>
  </si>
  <si>
    <t xml:space="preserve">INCLUSION THRESHOLD (author instruction)</t>
  </si>
  <si>
    <t xml:space="preserve">Any TWO codes is enough</t>
  </si>
  <si>
    <t xml:space="preserve">A study is included if it yields ANY TWO of CT, ZT, CA, DT, MT, MTR, DTR (and CTR). A conventional-tillage reference is NOT required.</t>
  </si>
  <si>
    <t xml:space="preserve">e.g. CA vs ZT (Balwinder-Singh et al. 2011, study 12); CT vs CTR (Bandyopadhyay et al. 2011, study 3; Akwakwa &amp; Wang 2023, study 18); ZT vs CT (Aryal et al. 2015, study 17, brought back in on this rule).</t>
  </si>
  <si>
    <t xml:space="preserve">Still excluded on one code</t>
  </si>
  <si>
    <t xml:space="preserve">A study left with only ONE usable code after the rotation rule contributes no contrast.</t>
  </si>
  <si>
    <t xml:space="preserve">Sharma et al. 2022 (study 1): CTWR0 is rotation-matched CT, but ZTWR0 and ZTWR100 follow an explicitly puddled rice phase and are excluded, leaving one code.</t>
  </si>
  <si>
    <t xml:space="preserve">Still excluded for no data</t>
  </si>
  <si>
    <t xml:space="preserve">Treatment codes are irrelevant if the paper publishes no values.</t>
  </si>
  <si>
    <t xml:space="preserve">Nandipamu et al. 2025 (study 13, energy indices only, though CT/CTR/CA are all matched); Biswas et al. 2024 (study 14, raw values not released); Bachchan et al. 2018 (study 10, data duplicate Kumar et al. 2012); Lou et al. 2024 (study 16, no tillage treatment).</t>
  </si>
  <si>
    <t xml:space="preserve">SAME-EXPERIMENT RULE</t>
  </si>
  <si>
    <t xml:space="preserve">Two papers, one experiment -&gt; ONE serial</t>
  </si>
  <si>
    <t xml:space="preserve">When two papers report the SAME trial, they share a serial number so the experiment is counted once and no pseudo-replication is introduced. Parameters are split between them, never duplicated.</t>
  </si>
  <si>
    <t xml:space="preserve">Applied to: Jat H.S. et al. 2022 (Front. Microbiol.) + Jat H.S. et al. 2021 (Eur. J. Soil Biol.) = study 23, CSSRI Karnal scenarios; Choudhury &amp; Singh 2013 + Choudhury, Bouman &amp; Singh 2007 = study 6, IARI New Delhi.</t>
  </si>
  <si>
    <t xml:space="preserve">Same site, different experiment -&gt; SEPARATE serials</t>
  </si>
  <si>
    <t xml:space="preserve">Trials at the same location and start year but with different designs are separate studies.</t>
  </si>
  <si>
    <t xml:space="preserve">Author-confirmed for study 19 (Choudhary K.M. et al. 2018, 8 treatments) and study 24 (Choudhary M. et al. 2018, 14 treatments), both at Taraori, Karnal, both established 2012.</t>
  </si>
  <si>
    <t xml:space="preserve">THIRD CROP IN THE ROTATION</t>
  </si>
  <si>
    <t xml:space="preserve">Common to every treatment -&gt; IN</t>
  </si>
  <si>
    <t xml:space="preserve">A rice-wheat system carrying a third crop is included when that crop is grown in EVERY treatment, because it then does not confound the tillage contrast. The study is flagged in Study_Info and in every row's Notes, and only the rice and wheat figures are entered - system-level figures that bundle the third crop are left out.</t>
  </si>
  <si>
    <t xml:space="preserve">Mishra et al. 2021 (study 29): rice-wheat-greengram, zero-till greengram in all seven treatments. Rice and wheat yields, water productivity, BCR and GWP entered; rice-equivalent system yield, system water productivity, system BCR and system GWP left out.</t>
  </si>
  <si>
    <t xml:space="preserve">Varies between treatments -&gt; OUT</t>
  </si>
  <si>
    <t xml:space="preserve">When the third crop is added to some treatments and not others, rotation is confounded with tillage and those treatments are excluded.</t>
  </si>
  <si>
    <t xml:space="preserve">Raj et al. 2023 (study 22): CA4 and CA5 insert zero-till mungbean while CA1-CA3 and CT do not, so both are excluded while the rest of the study is kept.</t>
  </si>
  <si>
    <t xml:space="preserve">MODELLED AND LCA-ESTIMATED VALUES</t>
  </si>
  <si>
    <t xml:space="preserve">Simulated output -&gt; not entered</t>
  </si>
  <si>
    <t xml:space="preserve">Crop-model output is not a measurement and does not go on the data sheets.</t>
  </si>
  <si>
    <t xml:space="preserve">Vashisht et al. 2025 (study 28) Table 6: DSSAT CERES-rice and CERES-wheat yields, water balance and water productivity - left out, recorded in the BC ratio notes.</t>
  </si>
  <si>
    <t xml:space="preserve">Input-based LCA -&gt; entered, flagged</t>
  </si>
  <si>
    <t xml:space="preserve">GWP built from activity data and emission factors includes embedded upstream emissions (fertiliser manufacture, diesel, electricity) that a chamber measurement does not. Entered, but flagged on the row so it is not pooled blind with measured flux.</t>
  </si>
  <si>
    <t xml:space="preserve">Mishra et al. 2021 (study 29) Table 8 - fertiliser manufacture alone is 670 of its ~900 kg CO2-eq/ha, against chamber-measured GWP in Hu et al. 2016 (study 26).</t>
  </si>
  <si>
    <t xml:space="preserve">RICE-SEASON FALLBACK (author instruction)</t>
  </si>
  <si>
    <t xml:space="preserve">Wheat season stays the default. If a study reports a parameter ONLY for the preceding rice season (no wheat-season value of that parameter in that study), the rice-season value is entered.</t>
  </si>
  <si>
    <t xml:space="preserve">Applied only where the wheat-season value is absent - rice-season duplicates of parameters that already have a wheat-season value are still left out.</t>
  </si>
  <si>
    <t xml:space="preserve">Formatting</t>
  </si>
  <si>
    <t xml:space="preserve">The WHOLE ROW is written in RED text, and Crop/season of sampling starts with "RICE SEASON".</t>
  </si>
  <si>
    <t xml:space="preserve">Filter on font colour or on that column to include/exclude these rows in the analysis.</t>
  </si>
  <si>
    <t xml:space="preserve">Applied to</t>
  </si>
  <si>
    <t xml:space="preserve">Choudhury &amp; Singh 2013 (study 6): rice root weight density at flowering, Fig. 3 -&gt; RMD(mg-cm3), rice columns, 6 rows.</t>
  </si>
  <si>
    <t xml:space="preserve">Checked and NOT needed: Suryawanshi 2018 (study 2, kharif BD/N/total N - rabi values present); Choudhury &amp; Singh 2013 BD and Ks (wheat values present); Paliwal 2017 (study 7, after-rice BD and moisture - after-wheat values present); Sanketh 2026 (study 38, rice MBC/FDA - wheat values present).</t>
  </si>
  <si>
    <t xml:space="preserve">AUTHOR EXCEPTIONS (updated 8, 2026-10-03)</t>
  </si>
  <si>
    <t xml:space="preserve">Kahlon 2014 (study 74)</t>
  </si>
  <si>
    <t xml:space="preserve">INCLUDED although rice is puddled transplanted in every treatment (NT -&gt; ZT, RT -&gt; MTR, HS -&gt; CA).</t>
  </si>
  <si>
    <t xml:space="preserve">Author instruction 2026-10-03; every row flagged 'FLAG - PUDDLED RICE PHASE' in Notes - filter SERIAL NO 74 for sensitivity analysis.</t>
  </si>
  <si>
    <t xml:space="preserve">Unpuddled transplanted rice + ZT wheat</t>
  </si>
  <si>
    <t xml:space="preserve">Coded ZT (Jat et al. 2011, study 71, UPTR-ZTW).</t>
  </si>
  <si>
    <t xml:space="preserve">Dry tillage without puddling treated as compatible with ZT wheat (author approved).</t>
  </si>
  <si>
    <t xml:space="preserve">Marginal means</t>
  </si>
  <si>
    <t xml:space="preserve">Tripathi et al. 2007 (study 72) has only marginal / mixed-rotation means -&gt; EXCLUDED, values kept in notes.</t>
  </si>
  <si>
    <t xml:space="preserve">Codes rule 'Factorial / split-plot papers'.</t>
  </si>
  <si>
    <t xml:space="preserve">Model output exception (2026-10-03)</t>
  </si>
  <si>
    <t xml:space="preserve">Bana et al. 2023 (study 78) APSIM simulated values ENTERED on author instruction.</t>
  </si>
  <si>
    <t xml:space="preserve">Every row starts 'MODEL OUTPUT (APSIM)' in Notes and Data source; filter on it for sensitivity analysis.</t>
  </si>
  <si>
    <t xml:space="preserve">New sheets (updated 10)</t>
  </si>
  <si>
    <t xml:space="preserve">SYS STRAW, C input, C output, CSI, CER, GHG intensity</t>
  </si>
  <si>
    <t xml:space="preserve">Added for Chaudhary et al. 2025 (study 76) on author instruction; system-level values, same column layout as the uptake sheets.</t>
  </si>
  <si>
    <t xml:space="preserve">Multi-experiment papers (2026-10-03)</t>
  </si>
  <si>
    <t xml:space="preserve">Tomar 2008 lecture split into serials 80-84, one per experiment; serial 84 is secondary data (Aslam et al. 1993).</t>
  </si>
  <si>
    <t xml:space="preserve">Included in full on author instruction ('involve all'); flags in Notes.</t>
  </si>
  <si>
    <t xml:space="preserve">Zero-till rice + reduced-till wheat</t>
  </si>
  <si>
    <t xml:space="preserve">Applied to study 79 (P1T1 rotavator, P1T3 strip till) as MT, following the author decision for study 76 ZTDSR-RTW.</t>
  </si>
  <si>
    <t xml:space="preserve">Dry-tilled non-puddled rice + ZT wheat (2026-10-03)</t>
  </si>
  <si>
    <t xml:space="preserve">Coded ZT (studies 86 MTR/DSR-ZTW, 87 CT-DDSR fb ZT), consistent with study 71 UPTR-ZTW; flagged because the rice phase is tilled, not zero-till.</t>
  </si>
  <si>
    <t xml:space="preserve">Author decision; supersedes the older 'conventional-till DSR + reduced-till wheat -&gt; exclude' note for ZT wheat. SRI fb SWI -&gt; CT.</t>
  </si>
  <si>
    <t xml:space="preserve">Depth class of a 20-30 cm layer (2026-10-03)</t>
  </si>
  <si>
    <t xml:space="preserve">A reported 20-30 cm layer -&gt; 15-30 CM (NOT 30-45 CM). With 10-20 cm also in 15-30 CM, the two layers are separate rows and D=2 is added to Obs.</t>
  </si>
  <si>
    <t xml:space="preserve">Author correction; applied to studies 80, 91, 92 in updated 15.</t>
  </si>
  <si>
    <t xml:space="preserve">Infiltration (IR sheet, 2026-10-03)</t>
  </si>
  <si>
    <t xml:space="preserve">IR_ = steady-state infiltration rate (final, basic or quasi-steady rate); IIR_ = initial infiltration rate (first reading). Both in cm/hr on the IR sheet.</t>
  </si>
  <si>
    <t xml:space="preserve">Author definition. Steady-state and initial rates stay as two column groups on the one IR sheet; cumulative infiltration is kept in Notes.</t>
  </si>
  <si>
    <t xml:space="preserve">Depth class of a 20-40 cm layer (2026-10-03)</t>
  </si>
  <si>
    <t xml:space="preserve">A reported 20-40 cm layer -&gt; 30-45 CM (author decision, study 97).</t>
  </si>
  <si>
    <t xml:space="preserve">Contrast: a 20-30 cm layer -&gt; 15-30 CM.</t>
  </si>
  <si>
    <t xml:space="preserve">Puddled rice + ZT Happy-Seeder wheat - 34 (companion) (2026-10-03)</t>
  </si>
  <si>
    <t xml:space="preserve">Included flagged on author instruction (Kahlon-type exception): M1-M3 -&gt; CA, M4 -&gt; CTR.</t>
  </si>
  <si>
    <t xml:space="preserve">Study 34 itself stays excluded.</t>
  </si>
  <si>
    <t xml:space="preserve">Depth classes 0-30 / 30-60 / 60-90 cm (2026-10-03)</t>
  </si>
  <si>
    <t xml:space="preserve">0-30 -&gt; 0-15 CM, 30-60 -&gt; 30-45 CM, 60-90 -&gt; &gt;60 CM (existing precedent applied to study 101).</t>
  </si>
  <si>
    <t xml:space="preserve">New K-pool sheets (updated 21)</t>
  </si>
  <si>
    <t xml:space="preserve">WS-K (water-soluble K), EX-K (exchangeable K), NEX-K (non-exchangeable K) - added for Rattan et al. 2025 (study 101).</t>
  </si>
  <si>
    <t xml:space="preserve">Lean-to-sheet rule.</t>
  </si>
  <si>
    <t xml:space="preserve">Year-wise data (author instruction 2026-10-03)</t>
  </si>
  <si>
    <t xml:space="preserve">When a paper gives year-wise values (tables or figures), enter every year as a separate row - not only the multi-year mean.</t>
  </si>
  <si>
    <t xml:space="preserve">Applies from study 101 onward; means then go in notes to avoid double counting.</t>
  </si>
  <si>
    <t xml:space="preserve">Box plots on request</t>
  </si>
  <si>
    <t xml:space="preserve">Box-plot mean markers entered for study 101 on author request (pooled over N); default remains: box plots not entered unless the author asks.</t>
  </si>
  <si>
    <t xml:space="preserve">Several sampling stages in one season (author 2026-10-03)</t>
  </si>
  <si>
    <t xml:space="preserve">When a paper samples soil at several crop stages (e.g. heading, grain filling, maturity), each stage is entered as its own row with the stage named in 'Crop/season of sampling'.</t>
  </si>
  <si>
    <t xml:space="preserve">Applied to 102 (companion) = Chen et al. 2022.</t>
  </si>
  <si>
    <t xml:space="preserve">Parameters without a sheet (author 2026-10-03)</t>
  </si>
  <si>
    <t xml:space="preserve">Extract only parameters that already have a sheet unless the author asks for a new one (PLFA of study 105 not entered).</t>
  </si>
  <si>
    <t xml:space="preserve">Deep burying of straw to 30 cm (author 2026-10-03)</t>
  </si>
  <si>
    <t xml:space="preserve">Plough + rake burying straw to 30 cm counts as deep tillage: no-straw control -&gt; DT, straw treatments -&gt; DTR (study 108).</t>
  </si>
  <si>
    <t xml:space="preserve">Consistent with the &gt;= 25 cm deep-tillage threshold (study 9).</t>
  </si>
  <si>
    <t xml:space="preserve">Duplicate files within one batch (author 2026-10-03)</t>
  </si>
  <si>
    <t xml:space="preserve">When two files in the same batch are the same paper, enter it once and record the duplicate in EXCLUDED_rows (390 = 388).</t>
  </si>
  <si>
    <t xml:space="preserve">System values in SYS columns (author 2026-10-03)</t>
  </si>
  <si>
    <t xml:space="preserve">Paper-reported SYSTEM values (rice-equivalent / system yield, system B:C, system WP, system GWP, system nutrient uptake) are entered in the SYS columns, flagged when they include a third crop. Supersedes the study-29 rule that kept them in the notes.</t>
  </si>
  <si>
    <t xml:space="preserve">Applied retroactively to studies 29, 29 (companion 2), 45, 48, 56 (uptake sheets got new SYS columns). Studies 22 (CA4/CA5) and 50 have system values that are not recorded in the notes - need the papers.</t>
  </si>
  <si>
    <t xml:space="preserve">Tilled unpuddled rice + ZT wheat, by residue (author 2026-10-04)</t>
  </si>
  <si>
    <t xml:space="preserve">Dry-tilled (cultivator / harrow / rotavator) UNPUDDLED rice - transplanted or direct-seeded - followed by zero-till wheat: WITHOUT residue -&gt; ZT (flagged); WITH residue retained -&gt; CA (flagged, tilled rice phase). If the rice is wet-tilled/puddled it remains a rotation mismatch (excluded). Where two papers of one trial disagree on puddling, follow the main paper.</t>
  </si>
  <si>
    <t xml:space="preserve">Applied to study 29 family (T6 CTDSR-ZTW added as CA row b in 29, 29 (companion 2), Kumar 2024 rows, 29 (companion 3)); T3 CTMTR-ZTW excluded (puddled per Mishra 2021 Table 1). Consistent with 72 (companion) DSWP-RI-ZTW = CA, DSWP-RR-ZTW = ZT.</t>
  </si>
  <si>
    <t xml:space="preserve">Yield components &amp; phenology sheets (author 2026-10-04)</t>
  </si>
  <si>
    <t xml:space="preserve">New sheets PANICLE-SPIKE DENSITY, GRAINS PER PANICLE, 1000-GRAIN WEIGHT, HARVEST INDEX, DAYS TO FLOWERING, DAYS TO MATURITY, GRAIN FILLING DAYS (W = wheat, R = rice columns, as the root sheets). Straw yield = biomass - grain when only biomass is printed. Uptake at anthesis and post-anthesis accumulation go on the uptake sheets as SEPARATE rows (stage in 'Crop/season of sampling').</t>
  </si>
  <si>
    <t xml:space="preserve">First used for studies 120 (rice) and 121 (wheat).</t>
  </si>
  <si>
    <t xml:space="preserve">Derived yield / economic / carbon parameters (author 2026-10-04)</t>
  </si>
  <si>
    <t xml:space="preserve">Straw yield = biomass - grain (live formula) when only biomass is printed; HI = grain / (grain + straw) DERIVED for every YIELD row with both and no printed HI; NET RETURN sheet (printed currency, gross-margin and model rows flagged); CL/LI/CPI/CMI with CT as reference wherever POXC and SOC share a depth; GHGI = GWP / grain yield wherever both exist. All formulas on the FORMULAS sheet.</t>
  </si>
  <si>
    <t xml:space="preserve">Printed values always take precedence over derived ones (no derived row where the paper prints the parameter).</t>
  </si>
  <si>
    <t xml:space="preserve">New sheet 15N RESIDUAL (author 2026-10-04)</t>
  </si>
  <si>
    <t xml:space="preserve">Residual 15N-labelled fertiliser or straw N (kg N/ha) per soil layer after each harvest; source and season in 'Crop/season of sampling'. First used for study 132.</t>
  </si>
  <si>
    <t xml:space="preserve">Rice-season samplings in red.</t>
  </si>
  <si>
    <t xml:space="preserve">Soil-water sheets restructured (author 2026-10-04)</t>
  </si>
  <si>
    <t xml:space="preserve">GWC = gravimetric water content at any instant (former VWC sheet, v/v values divided by BD); AWC (weight basis) and AWC (volume basis) hold every AWC row in both bases; WHC = Keen-Raczkowski box only; FC (weight basis) and PWP (weight basis) new. Conversions use the BD of the same study / depth / treatment (live link to the BD sheet) or the default BD 1.35 Mg/m3 where none is reported.</t>
  </si>
  <si>
    <t xml:space="preserve">Weight basis = volume basis / BD; volume basis = weight basis x BD.</t>
  </si>
  <si>
    <t xml:space="preserve">Soil-water classification check (author 2026-10-05)</t>
  </si>
  <si>
    <t xml:space="preserve">Every soil-water row carries a 'WATER-QUANTITY CHECK' note stating, from the paper's Methods, whether the number is available water (FC - PWP) -&gt; both AWC sheets, water content at the time of sampling -&gt; GWC (weight basis), field capacity -&gt; FC, wilting point -&gt; PWP, Keen-box maximum WHC -&gt; WHC, or saturated water content -&gt; SAT WC. Rice-season duplicates of studies with wheat-season rows stay in notes.</t>
  </si>
  <si>
    <t xml:space="preserve">GWC = VWC / BD (BD sheet, else the paper's own layer BD, else 1.35); AWC = FC - PWP.</t>
  </si>
  <si>
    <t xml:space="preserve">Author decisions 2026-10-05 (ext\221-225)</t>
  </si>
  <si>
    <t xml:space="preserve">Rice-season-only paper from a genuine rice-wheat CA trial -&gt; red rice rows (Rana 2023); shallow 3-5 cm rotary stubble-breaking + surface straw -&gt; MTR; artificial night warming -&gt; ambient rows only; re-submitted included paper -&gt; companion re-entry; device soil with simulated tillage stays out.</t>
  </si>
  <si>
    <t xml:space="preserve">Serials 133-136 (133, 135 excluded); 102 (companion 3); 129 (companion); 28 (companion).</t>
  </si>
  <si>
    <t xml:space="preserve">Author decisions 2026-10-05 (ext\226-230)</t>
  </si>
  <si>
    <t xml:space="preserve">MODEL OUTPUT entered on request (study 28 DSSAT Table 6; 117 (companion) APSIM pooled yields, in SYS columns because not crop-specific). Rice-only DSR trial Bazaya 2009 included as red rows (ZT into standing wheat stubble -&gt; CA; stubble incorporated -&gt; CTR).</t>
  </si>
  <si>
    <t xml:space="preserve">Serials 137-141 (137, 138, 141 excluded); 117 (companion); 105 (companion 2); 31 (companion) excluded.</t>
  </si>
  <si>
    <t xml:space="preserve">Author decisions 2026-10-05 (ext\231-235)</t>
  </si>
  <si>
    <t xml:space="preserve">Kahlon &amp; Dhingra 2019 full mapping: per rice method x deep variant, CT = CTRW-CT, CA = CTRW-NTR, DT = deep-CT, DTR = deep-NTR (CT/CA repeated). Re-submissions 232 / 233 / 235 = studies 121 / 64 / 111 -&gt; companion clones.</t>
  </si>
  <si>
    <t xml:space="preserve">Serials 142 (Kahlon &amp; Dhingra), 143 (Cheng, excluded); 121 (companion), 121 (companion 2), 64 (companion), 111 (companion).</t>
  </si>
  <si>
    <t xml:space="preserve">ROTARY / ROTAVATOR TILLAGE RULE (author 2026-10-05)</t>
  </si>
  <si>
    <t xml:space="preserve">Applies equally to ROTAVATOR and rotary-tiller operations (rotavator = rotary tillage). Full-width rotary / rotavator tillage to &gt;=10 cm depth, or &gt;=2 full-width passes = CT (CTR with residue), whatever the paper calls it. Rotary &lt;=8 cm, a single-pass rotary till-drill, Super Seeder / Roto Seeder, or strip / zone rotary (only the seed rows tilled) = MT (MTR with residue).</t>
  </si>
  <si>
    <t xml:space="preserve">Conflicting older rows were RECODED in updated 47 (2026-10-05) on author instruction: 25 T6/T7 -&gt; CT/CTR (row b); 41 Rot+R100 (Roto Seeder) -&gt; MTR (row b); 64 and 64 (companion) RT -&gt; CTR (row b); 69 AR -&gt; CT, study EXCLUDED (no contrast); 74 RT -&gt; CTR; 82 rotavator -&gt; CT/CTR (row a, depth not stated - FLAG). Every recoded row starts 'RECODED 2026-10-05' in Notes. Grey zone (8-10 cm, or depth unstated and not clearly full-width primary tillage) -&gt; ask the author.</t>
  </si>
  <si>
    <t xml:space="preserve">New columns on every data sheet (2026-10-05)</t>
  </si>
  <si>
    <t xml:space="preserve">'Treatment details (from paper)' = Study_Info 'Treatments in paper' + every Treatment_Mapping line of the study (label -&gt; code, full description, rice / wheat tillage, residue, rate) so treatments can be re-classified. 'Method used (from paper)' = analytical / measurement method AUTO-DETECTED from the paper's methods section with a quoted context (verify).</t>
  </si>
  <si>
    <t xml:space="preserve">Crop sheets: grain moisture basis and harvest area; calculated sheets (WUE, NUE, BC ratio, NET RETURN, C input/output, CSI, CER): see UNIT / FORMULAS.</t>
  </si>
  <si>
    <t xml:space="preserve">Every author rule and decision (coding, rotation matching, rows, depth/climate/texture classes, Obs/SD, parameter-specific conversions, model output, formatting) is listed in one place on the RULES sheet (after README).</t>
  </si>
  <si>
    <t xml:space="preserve">Codes keeps the original wording and history; RULES is the consolidated, current list with status (IN FORCE / SUPERSEDED).</t>
  </si>
  <si>
    <t xml:space="preserve">Author decisions 2026-10-05 (ext\236-240)</t>
  </si>
  <si>
    <t xml:space="preserve">Straw-return treatment whose mineral fertiliser was reduced to offset straw nutrients (He 2021 OF+S) -&gt; CTR, flagged. Zero tillage with a single-pass shallow-rotary or strip seeder (Ding 2021) -&gt; MTR under the rotary rule; rotary twice ~15 cm -&gt; CTR; puddled rice, Yangzhou group -&gt; included flagged.</t>
  </si>
  <si>
    <t xml:space="preserve">Serials 144 (Ding 2021), 145 (He 2021); re-submissions 121 (companion 3) = 236, 26 (companion) = 240; 27 (companion) = 238 recorded, excluded (meta-analysis).</t>
  </si>
  <si>
    <t xml:space="preserve">Author decisions 2026-10-05 (ext\241-250)</t>
  </si>
  <si>
    <t xml:space="preserve">Puddled rice + zero-till / Happy Seeder / zone-disk wheat (Nawaz 2017, Saleem 2024, Qamar 2012) -&gt; EXCLUDED (standing rule, author re-confirmed). Farmer survey (Latif 2020) included flagged (study-46 precedent). CA-duration chronosequence (Dash 2025) -&gt; one row per duration. Studies without CT but with two codes (Rafiq 2017: CA vs MTR) included.</t>
  </si>
  <si>
    <t xml:space="preserve">Serials 146-155; 121 (companion 4) = ext\241 (third copy of Kong 2024 FCR 109481).</t>
  </si>
  <si>
    <t xml:space="preserve">New sheets (2026-10-05, author request)</t>
  </si>
  <si>
    <t xml:space="preserve">PLANT HEIGHT (PLH_, cm, W/R), GAP (GAP_, glycine aminopeptidase), MYCORRHIZAL SPORES (SPORE_, per 100 g), NGWP (NGWP_, net GWP incl. SOC sequestration), NET ECONOMIC BENEFIT (NEB_, paper-defined, may be a difference vs CT - see UNIT). Root length per plant converted to RLD with stated assumptions (flag).</t>
  </si>
  <si>
    <t xml:space="preserve">Filled for studies 146, 148, 149, 151, 152, 154, 155 (ext\241-250 batch). Other studies' notes may hold plant height - not back-filled.</t>
  </si>
  <si>
    <t xml:space="preserve">Author decisions 2026-10-05 (ext\100-110 batch)</t>
  </si>
  <si>
    <t xml:space="preserve">Permanent beds + residue in the BISA Pusa trial companions -&gt; CA (flagged) although study 71 coded PBDSR-PBDDW as ZT; main effects pooled over a mismatched factor level (Sarkar &amp; Kar 2011) -&gt; notes only; new sheets EARTHWORM (EW_) and DOC (DOC_); Gora 2024 supplement downloaded. Defaults: tilled unpuddled rice + ZT wheat (+ residue) -&gt; ZT (CA) flagged (rule 24) incl. Gora Sc2; extra CT controls (rotary x2, farmers' practice) as CT rows b/c.</t>
  </si>
  <si>
    <t xml:space="preserve">Serials 156-163; companions 15 (companion), 59 (companion 2), 71 (companion), 71 (companion 2), 23 (companion 2), 24 (companion); 5 papers excluded (EXCLUDED_rows).</t>
  </si>
  <si>
    <t xml:space="preserve">Parameter</t>
  </si>
  <si>
    <t xml:space="preserve">Formula (definition)</t>
  </si>
  <si>
    <t xml:space="preserve">Excel implementation in this workbook</t>
  </si>
  <si>
    <t xml:space="preserve">Unit</t>
  </si>
  <si>
    <t xml:space="preserve">Where applied</t>
  </si>
  <si>
    <t xml:space="preserve">Reference / note</t>
  </si>
  <si>
    <t xml:space="preserve">SD = SQRT(2 x Obs / Rep)</t>
  </si>
  <si>
    <t xml:space="preserve">Excel: =IF(AND(N(Obs)&gt;0,N(Rep)&gt;0),SQRT(2*Obs/Rep),"")</t>
  </si>
  <si>
    <t xml:space="preserve">-</t>
  </si>
  <si>
    <t xml:space="preserve">every data sheet (SD column)</t>
  </si>
  <si>
    <t xml:space="preserve">Original workbook rule; replaced by real SD only when a paper prints SD/SE</t>
  </si>
  <si>
    <t xml:space="preserve">Obs = Y + T + D (years + paper treatments under one code + original depths collapsed into the row)</t>
  </si>
  <si>
    <t xml:space="preserve">entered value</t>
  </si>
  <si>
    <t xml:space="preserve">count</t>
  </si>
  <si>
    <t xml:space="preserve">every data sheet</t>
  </si>
  <si>
    <t xml:space="preserve">Codes / README rule</t>
  </si>
  <si>
    <t xml:space="preserve">STRAW YIELD</t>
  </si>
  <si>
    <t xml:space="preserve">Straw yield = biological (above-ground) yield - grain yield</t>
  </si>
  <si>
    <t xml:space="preserve">Excel: =ROUND(biomass - grain_cell, 2) in W STRAW_ / RSTRAW_ columns</t>
  </si>
  <si>
    <t xml:space="preserve">t/ha</t>
  </si>
  <si>
    <t xml:space="preserve">YIELD: studies 47 (row 50), 53 (row 62), 104, 106, 120 (all rows where only biomass is printed)</t>
  </si>
  <si>
    <t xml:space="preserve">Author instruction 2026-10-04</t>
  </si>
  <si>
    <t xml:space="preserve">HARVEST INDEX</t>
  </si>
  <si>
    <t xml:space="preserve">HI = grain / biological yield = grain / (grain + straw)</t>
  </si>
  <si>
    <t xml:space="preserve">Excel: =ROUND('YIELD'!grain/('YIELD'!grain+'YIELD'!straw),3)  or  =ROUND(grain/biomass,3); printed % -&gt; /100</t>
  </si>
  <si>
    <t xml:space="preserve">ratio 0-1</t>
  </si>
  <si>
    <t xml:space="preserve">HARVEST INDEX sheet (printed values where the paper gives HI; DERIVED rows reference the YIELD cells)</t>
  </si>
  <si>
    <t xml:space="preserve">Added 2026-10-04</t>
  </si>
  <si>
    <t xml:space="preserve">BIOLOGICAL YIELD</t>
  </si>
  <si>
    <t xml:space="preserve">Biological yield = grain + straw</t>
  </si>
  <si>
    <t xml:space="preserve">(inverse of the straw rule; used only in notes)</t>
  </si>
  <si>
    <t xml:space="preserve">notes</t>
  </si>
  <si>
    <t xml:space="preserve">UNIT CONVERSIONS</t>
  </si>
  <si>
    <t xml:space="preserve">kg/ha / 1000 = t/ha;  q/ha / 10 = t/ha;  10^4 spikes/ha = spikes/m2;  grains per 5 spikes / 5 = grains per spike;  printed x1000 Rs -&gt; x 1000</t>
  </si>
  <si>
    <t xml:space="preserve">Excel: =value/1000 , =value/10 , =ROUND(x/5,2) , =ROUND(x*1000,0)</t>
  </si>
  <si>
    <t xml:space="preserve">YIELD, GRAINS PER PANICLE, NET RETURN</t>
  </si>
  <si>
    <t xml:space="preserve">TOTAL POROSITY</t>
  </si>
  <si>
    <t xml:space="preserve">Porosity (%) = (1 - BD / PD) x 100; PD = treatment PD, else initial PD of the paper, else 2.65 Mg/m3</t>
  </si>
  <si>
    <t xml:space="preserve">Excel: =ROUND((1-BD!cell/PD)*100,2) (live link to the BD sheet; PD cell or value named in Notes)</t>
  </si>
  <si>
    <t xml:space="preserve">%</t>
  </si>
  <si>
    <t xml:space="preserve">POROSITY sheet (all treatment columns incl. pCA / pZT / pMT / pMTR)</t>
  </si>
  <si>
    <t xml:space="preserve">Author rule 2026-10-05</t>
  </si>
  <si>
    <t xml:space="preserve">SOC FROM SOM / OM</t>
  </si>
  <si>
    <t xml:space="preserve">SOC = SOM (or OM) / 1.724</t>
  </si>
  <si>
    <t xml:space="preserve">Excel: =ROUND(SOM/1.724,3)</t>
  </si>
  <si>
    <t xml:space="preserve">g/kg</t>
  </si>
  <si>
    <t xml:space="preserve">SOC, soc (initial) where only OM is printed</t>
  </si>
  <si>
    <t xml:space="preserve">Van Bemmelen factor</t>
  </si>
  <si>
    <t xml:space="preserve">SOC STOCK</t>
  </si>
  <si>
    <t xml:space="preserve">SOC stock (Mg/ha) = SOC (g/kg) x BD (Mg/m3) x depth (cm) x 0.1</t>
  </si>
  <si>
    <t xml:space="preserve">live formula from SOC and BD cells</t>
  </si>
  <si>
    <t xml:space="preserve">Mg C/ha</t>
  </si>
  <si>
    <t xml:space="preserve">stock-SOC</t>
  </si>
  <si>
    <t xml:space="preserve">C LIABILITY (CL)</t>
  </si>
  <si>
    <t xml:space="preserve">CL = labile C / non-labile C = POXC / (SOC x 1000 - POXC)</t>
  </si>
  <si>
    <t xml:space="preserve">Excel: =ROUND(POXC/(SOC*1000-POXC),3)</t>
  </si>
  <si>
    <t xml:space="preserve">ratio</t>
  </si>
  <si>
    <t xml:space="preserve">C liability (75 companion, 92, 102)</t>
  </si>
  <si>
    <t xml:space="preserve">Blair et al. 1995</t>
  </si>
  <si>
    <t xml:space="preserve">LABILITY INDEX (LI)</t>
  </si>
  <si>
    <t xml:space="preserve">LI = CL_treatment / CL_reference (reference = CT)</t>
  </si>
  <si>
    <t xml:space="preserve">LI_CT = 1; LI_x = CL_x / CL_CT</t>
  </si>
  <si>
    <t xml:space="preserve">LI sheet</t>
  </si>
  <si>
    <t xml:space="preserve">C POOL INDEX (CPI)</t>
  </si>
  <si>
    <t xml:space="preserve">CPI = SOC_treatment / SOC_reference (reference = CT)</t>
  </si>
  <si>
    <t xml:space="preserve">CPI_CT = 1; CPI_x = SOC_x / SOC_CT</t>
  </si>
  <si>
    <t xml:space="preserve">CPI sheet</t>
  </si>
  <si>
    <t xml:space="preserve">C MANAGEMENT INDEX (CMI)</t>
  </si>
  <si>
    <t xml:space="preserve">CMI = CPI x LI x 100</t>
  </si>
  <si>
    <t xml:space="preserve">CMI_CT = 100; =ROUND(CPI*LI*100,2)</t>
  </si>
  <si>
    <t xml:space="preserve">CMI sheet</t>
  </si>
  <si>
    <t xml:space="preserve">GWP</t>
  </si>
  <si>
    <t xml:space="preserve">GWP = CH4 x 28 + N2O x 265 (kg CO2-eq/ha); CH4 = CH4-C x 16/12; N2O = N2O-N x 44/28</t>
  </si>
  <si>
    <t xml:space="preserve">Excel: =ROUND(CH4*28+N2O*265,0)</t>
  </si>
  <si>
    <t xml:space="preserve">kg CO2-eq/ha</t>
  </si>
  <si>
    <t xml:space="preserve">GWP sheet</t>
  </si>
  <si>
    <t xml:space="preserve">IPCC AR5 100-yr factors</t>
  </si>
  <si>
    <t xml:space="preserve">GHG INTENSITY (GHGI)</t>
  </si>
  <si>
    <t xml:space="preserve">GHGI = GWP / grain yield</t>
  </si>
  <si>
    <t xml:space="preserve">Excel: =ROUND('GWP'!x/('YIELD'!y*1000),3)</t>
  </si>
  <si>
    <t xml:space="preserve">kg CO2-eq/kg grain</t>
  </si>
  <si>
    <t xml:space="preserve">GHG intensity (printed rows 76, 103; DERIVED rows 17, 26, 29, 45, 46, 89, 90c)</t>
  </si>
  <si>
    <t xml:space="preserve">NET RETURN</t>
  </si>
  <si>
    <t xml:space="preserve">Net return = gross return - total cost of cultivation</t>
  </si>
  <si>
    <t xml:space="preserve">entered as printed (or =x*1000 / =rice+wheat sums)</t>
  </si>
  <si>
    <t xml:space="preserve">currency/ha as printed</t>
  </si>
  <si>
    <t xml:space="preserve">NET RETURN sheet</t>
  </si>
  <si>
    <t xml:space="preserve">Sheet added 2026-10-04; gross-margin rows flagged</t>
  </si>
  <si>
    <t xml:space="preserve">B:C RATIO</t>
  </si>
  <si>
    <t xml:space="preserve">B:C (sheet definition) = net return / cost; when a paper prints gross/cost: B:C - 1</t>
  </si>
  <si>
    <t xml:space="preserve">Excel: =ROUND(net/cost,3)  or  =ROUND(printed-1,2)</t>
  </si>
  <si>
    <t xml:space="preserve">BC ratio sheet</t>
  </si>
  <si>
    <t xml:space="preserve">Workbook definition</t>
  </si>
  <si>
    <t xml:space="preserve">SYSTEM YIELD / REY</t>
  </si>
  <si>
    <t xml:space="preserve">System yield = rice + wheat grain; REY = sum(yield_i x price_i / price_rice)</t>
  </si>
  <si>
    <t xml:space="preserve">Excel: =rice+wheat</t>
  </si>
  <si>
    <t xml:space="preserve">YIELD SYS columns, SYS STRAW</t>
  </si>
  <si>
    <t xml:space="preserve">POXC DERIVATIONS</t>
  </si>
  <si>
    <t xml:space="preserve">POXC (mg/kg) = ASOM / 1.724 x 1000 (study 92);  = LOC/SOC ratio x SOC x 1000 (study 102)</t>
  </si>
  <si>
    <t xml:space="preserve">Excel: =ROUND(x/1.724*1000,1) ; =ROUND(ratio*SOC*1000,0)</t>
  </si>
  <si>
    <t xml:space="preserve">mg/kg</t>
  </si>
  <si>
    <t xml:space="preserve">POXC(KMnO4-C)</t>
  </si>
  <si>
    <t xml:space="preserve">WATER CONTENT BASIS</t>
  </si>
  <si>
    <t xml:space="preserve">theta_w (% w/w) = theta_v (% v/v) / BD;  theta_v = theta_w x BD</t>
  </si>
  <si>
    <t xml:space="preserve">Excel: =ROUND(value/BD!cell,2) or =ROUND(value/1.35,2) (default BD)</t>
  </si>
  <si>
    <t xml:space="preserve">% w/w / % v/v</t>
  </si>
  <si>
    <t xml:space="preserve">GWC, AWC (weight / volume basis), FC, PWP</t>
  </si>
  <si>
    <t xml:space="preserve">Author rule 2026-10-04: default BD 1.35 Mg/m3</t>
  </si>
  <si>
    <t xml:space="preserve">AWC FROM FC AND PWP</t>
  </si>
  <si>
    <t xml:space="preserve">AWC = FC - PWP (same basis)</t>
  </si>
  <si>
    <t xml:space="preserve">derived in notes / rows</t>
  </si>
  <si>
    <t xml:space="preserve">AWC sheets (study 28)</t>
  </si>
  <si>
    <t xml:space="preserve">AWC AS WATER DEPTH</t>
  </si>
  <si>
    <t xml:space="preserve">AWC (% v/v) = water depth (cm) / layer thickness (cm) x 100</t>
  </si>
  <si>
    <t xml:space="preserve">Excel: =ROUND(cm/15*100,2)</t>
  </si>
  <si>
    <t xml:space="preserve">% v/v</t>
  </si>
  <si>
    <t xml:space="preserve">AWC (study 3)</t>
  </si>
  <si>
    <t xml:space="preserve">AWC FROM FC AND PWP (live)</t>
  </si>
  <si>
    <t xml:space="preserve">AWC (w/w) = FC (w/w) - PWP (w/w); AWC (v/v) = AWC (w/w) x BD</t>
  </si>
  <si>
    <t xml:space="preserve">Excel: =ROUND('FC (weight basis)'!cell-'PWP (weight basis)'!cell,2) ; =ROUND('AWC (weight basis)'!cell*BD!cell,2)</t>
  </si>
  <si>
    <t xml:space="preserve">AWC sheets (study 9)</t>
  </si>
  <si>
    <t xml:space="preserve">Added 2026-10-05</t>
  </si>
  <si>
    <t xml:space="preserve">GWC FROM PLOTTED VWC</t>
  </si>
  <si>
    <t xml:space="preserve">GWC (% w/w) = VWC (m3/m3) x 100 / BD of the same layer (paper's own BD when the study has no BD-sheet rows)</t>
  </si>
  <si>
    <t xml:space="preserve">Excel: =ROUND(vwc*100/bd,2)</t>
  </si>
  <si>
    <t xml:space="preserve">% w/w</t>
  </si>
  <si>
    <t xml:space="preserve">GWC (study 12)</t>
  </si>
  <si>
    <t xml:space="preserve">PMN FROM NET N MINERALISATION RATE</t>
  </si>
  <si>
    <t xml:space="preserve">PMN (mg/kg) = net N mineralisation rate (mg/kg/d) x incubation days (14)</t>
  </si>
  <si>
    <t xml:space="preserve">Excel: =ROUND(rate*14,2)</t>
  </si>
  <si>
    <t xml:space="preserve">no3,nh4,PMN (study 136)</t>
  </si>
  <si>
    <t xml:space="preserve">ENZYME UNIT umol/g/d -&gt; nmol/h/g</t>
  </si>
  <si>
    <t xml:space="preserve">nmol/h/g = umol/g/d x 1000 / 24</t>
  </si>
  <si>
    <t xml:space="preserve">Excel: =ROUND(x*1000/24,1)</t>
  </si>
  <si>
    <t xml:space="preserve">nmol/h/g</t>
  </si>
  <si>
    <t xml:space="preserve">NAG, LAP (study 136)</t>
  </si>
  <si>
    <t xml:space="preserve">Full reference</t>
  </si>
  <si>
    <t xml:space="preserve">DOI / link</t>
  </si>
  <si>
    <t xml:space="preserve">latitude (as reported)</t>
  </si>
  <si>
    <t xml:space="preserve">longitude (as reported)</t>
  </si>
  <si>
    <t xml:space="preserve">Coordinates source</t>
  </si>
  <si>
    <t xml:space="preserve">Experiment established (year)</t>
  </si>
  <si>
    <t xml:space="preserve">Years of data reported</t>
  </si>
  <si>
    <t xml:space="preserve">Texture as reported</t>
  </si>
  <si>
    <t xml:space="preserve">sand</t>
  </si>
  <si>
    <t xml:space="preserve">silt</t>
  </si>
  <si>
    <t xml:space="preserve">soc (initial)</t>
  </si>
  <si>
    <t xml:space="preserve">Bdi</t>
  </si>
  <si>
    <t xml:space="preserve">MIN TEMP</t>
  </si>
  <si>
    <t xml:space="preserve">MAX TEMP</t>
  </si>
  <si>
    <t xml:space="preserve">AVG T</t>
  </si>
  <si>
    <t xml:space="preserve">April max temp</t>
  </si>
  <si>
    <t xml:space="preserve">Crop rotation</t>
  </si>
  <si>
    <t xml:space="preserve">Wheat variety</t>
  </si>
  <si>
    <t xml:space="preserve">Rice variety</t>
  </si>
  <si>
    <t xml:space="preserve">N dose (kg/ha)</t>
  </si>
  <si>
    <t xml:space="preserve">P dose (kg/ha)</t>
  </si>
  <si>
    <t xml:space="preserve">K dose (kg/ha)</t>
  </si>
  <si>
    <t xml:space="preserve">Residue type &amp; rate (t/ha)</t>
  </si>
  <si>
    <t xml:space="preserve">Irrigation / water management</t>
  </si>
  <si>
    <t xml:space="preserve">Treatments in paper</t>
  </si>
  <si>
    <t xml:space="preserve">Parameters extracted</t>
  </si>
  <si>
    <t xml:space="preserve">Supplementary data?</t>
  </si>
  <si>
    <t xml:space="preserve">Notes/Doubts</t>
  </si>
  <si>
    <t xml:space="preserve">Yadav R.L., Dwivedi B.S., Prasad K., Tomar O.K., Shurpali N.J. &amp; Pandey P.S.</t>
  </si>
  <si>
    <t xml:space="preserve">Field Crops Research</t>
  </si>
  <si>
    <t xml:space="preserve">Yadav RL et al. (2000) Yield trends, and changes in soil organic-C and available NPK in a long-term rice-wheat system under integrated use of manures and fertilisers. Field Crops Res 68:219-246</t>
  </si>
  <si>
    <t xml:space="preserve">https://doi.org/10.1016/S0378-4290(00)00126-X</t>
  </si>
  <si>
    <t xml:space="preserve">India (7 sites)</t>
  </si>
  <si>
    <t xml:space="preserve">Ludhiana, Pantnagar, Kanpur, Faizabad, Sabour, Kalyani, Jabalpur (one row per site in data sheets)</t>
  </si>
  <si>
    <t xml:space="preserve">Paper (each site); see LAT_LONG</t>
  </si>
  <si>
    <t xml:space="preserve">ST (Ludhiana TEMP)</t>
  </si>
  <si>
    <t xml:space="preserve">1983-1986 (by site)</t>
  </si>
  <si>
    <t xml:space="preserve">1983-84 to 1998-99</t>
  </si>
  <si>
    <t xml:space="preserve">12-15 seasons per site (year-wise yields); soil after final wheat</t>
  </si>
  <si>
    <t xml:space="preserve">&gt;10 Y</t>
  </si>
  <si>
    <t xml:space="preserve">Rice-wheat (transplanted rice)</t>
  </si>
  <si>
    <t xml:space="preserve">120 (100F); 60 + CR (50F+CR rice)</t>
  </si>
  <si>
    <t xml:space="preserve">Wheat straw to rice: 8.8-15.8 t/ha/yr (by site) in 50F+CR</t>
  </si>
  <si>
    <t xml:space="preserve">Irrigated; rice 5 cm flooding; wheat 5 irrigations</t>
  </si>
  <si>
    <t xml:space="preserve">TREATMENTS IN PAPER (network long-term experiment, RBD 4 reps, plots 6 x 5 m, since 1983): Control (no fertiliser/manure); 50F (50% NPK rice, 100% wheat); 100F (100% NPK both crops) ; 50F+FYM, 50F+CR, 50F+GM = 50% NPK + 50% of recommended N through FYM, wheat crop residue (CR) or Sesbania green manure TO RICE ONLY, wheat 100% NPK. Recommended 120-26-33 kg N-P-K/ha each crop. Rice transplanted (puddled) 20 x 10 cm, wheat sown in 23 cm rows; above-ground biomass of both crops removed (sickle at ground level) except the CR returned in 50F+CR. 100F -&gt; CT ; 50F+CR -&gt; CTR (FLAG fertiliser offset, rule 62); Control, 50F, 50F+FYM, 50F+GM EXCLUDED.</t>
  </si>
  <si>
    <t xml:space="preserve">YIELD (year-wise rice &amp; wheat, 7 sites); SOC; available N (4 sites), P, K (final year)</t>
  </si>
  <si>
    <t xml:space="preserve">None found - web search 2026-10-05 (publisher pages not reachable from this environment)</t>
  </si>
  <si>
    <t xml:space="preserve">INCLUDED FLAGGED (rule 62): 100F (CT) vs 50F+CR (CTR) - fertiliser cut offset by straw. Yields digitised year-wise from Fig. 2 and validated against Table 3 means.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</si>
  <si>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Davari M.R., Sharma S.N. &amp; Mirzakhani M.</t>
  </si>
  <si>
    <t xml:space="preserve">Biological Agriculture &amp; Horticulture</t>
  </si>
  <si>
    <t xml:space="preserve">Davari MR, Sharma SN, Mirzakhani M (2012) Effect of cropping systems and crop residue incorporation on production and properties of soil in an organic agroecosystem. Biol Agric Hortic 28(3):206-222</t>
  </si>
  <si>
    <t xml:space="preserve">https://doi.org/10.1080/01448765.2012.735005</t>
  </si>
  <si>
    <t xml:space="preserve">India (Delhi)</t>
  </si>
  <si>
    <t xml:space="preserve">IARI research farm, New Delhi (organic rice-based cropping systems trial)</t>
  </si>
  <si>
    <t xml:space="preserve">28 deg 38'N</t>
  </si>
  <si>
    <t xml:space="preserve">77 deg 11'E</t>
  </si>
  <si>
    <t xml:space="preserve">Paper</t>
  </si>
  <si>
    <t xml:space="preserve">2006-07, 2007-08</t>
  </si>
  <si>
    <t xml:space="preserve">0-3 Y</t>
  </si>
  <si>
    <t xml:space="preserve">Sandy clay loam</t>
  </si>
  <si>
    <t xml:space="preserve">Rice-wheat and rice-wheat-mungbean (organic)</t>
  </si>
  <si>
    <t xml:space="preserve">HD 2643</t>
  </si>
  <si>
    <t xml:space="preserve">Pusa Basmati 1</t>
  </si>
  <si>
    <t xml:space="preserve">60 (FYM-N, organic)</t>
  </si>
  <si>
    <t xml:space="preserve">All residues incorporated in RI: 14.2-19.7 Mg DM/ha/yr</t>
  </si>
  <si>
    <t xml:space="preserve">Rice flooded/puddled; mungbean 2 irrigations</t>
  </si>
  <si>
    <t xml:space="preserve">TREATMENTS IN PAPER: strip-plot, 3 reps, 2006-07 and 2007-08, ORGANIC management. Rows = cropping system: RW (rice-wheat, summer fallow) and RWM (rice-wheat-mungbean, summer mungbean with Rhizobium + PSB); columns = residue: RR (entire above-ground biomass removed) and RI (all residue of each crop incorporated before the next crop: rice residue for wheat, wheat residue for rice in RW / for mungbean in RWM, mungbean residue for rice). Rice: field flooded and PUDDLED with tractor-drawn offset disc harrow, Pusa Basmati 1 transplanted 20 x 10 cm. Wheat: after rice harvest, residue (RI) + FYM incorporated with tractor-drawn heavy disc, then disked and planked twice; HD 2643 sown 3rd week Nov. RR -&gt; CT, RI -&gt; CTR (in both systems).</t>
  </si>
  <si>
    <t xml:space="preserve">Rice, wheat, rice-equivalent yield (year-wise); SOC, Kjeldahl N, Olsen P, NH4OAc K (year-wise); BD, porosity, HC; bacteria, fungi, actinomycetes, MBC, DHA, CO2 evolution</t>
  </si>
  <si>
    <t xml:space="preserve">INCLUDED: RR (CT) vs RI (CTR) in RW and in RWM (mungbean in both treatments of the RWM row, flagged). Protein yield and energy output (Figs 1-2) have no sheet.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</si>
  <si>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Das B., Chakraborty D., Singh V.K., Aggarwal P., Singh R., Dwivedi B.S. &amp; Mishra R.P.</t>
  </si>
  <si>
    <t xml:space="preserve">Soil &amp; Tillage Research</t>
  </si>
  <si>
    <t xml:space="preserve">Das B et al. (2014) Effect of integrated nutrient management practice on soil aggregate properties, its stability and aggregate-associated carbon content in an intensive rice-wheat system. Soil Tillage Res 136:9-18</t>
  </si>
  <si>
    <t xml:space="preserve">https://doi.org/10.1016/j.still.2013.09.009</t>
  </si>
  <si>
    <t xml:space="preserve">India (Uttar Pradesh)</t>
  </si>
  <si>
    <t xml:space="preserve">PDFSR (now ICAR-IIFSR) long-term INM experiment, Modipuram, Meerut</t>
  </si>
  <si>
    <t xml:space="preserve">29 deg 4'N</t>
  </si>
  <si>
    <t xml:space="preserve">77 deg 46'E</t>
  </si>
  <si>
    <t xml:space="preserve">Soil 2011; yields as 3-yr means 1993-96 and 2008-11</t>
  </si>
  <si>
    <t xml:space="preserve">Sandy loam</t>
  </si>
  <si>
    <t xml:space="preserve">Rice-wheat</t>
  </si>
  <si>
    <t xml:space="preserve">HD 2338</t>
  </si>
  <si>
    <t xml:space="preserve">Saket 4</t>
  </si>
  <si>
    <t xml:space="preserve">120 (T2); 90 + CR (T8)</t>
  </si>
  <si>
    <t xml:space="preserve">T8: rice and wheat straw supplying 25% of N (61.5 + 47.7 Mg C/ha over 18 yr)</t>
  </si>
  <si>
    <t xml:space="preserve">Rice continuous 5 cm submergence; wheat 5 irrigations</t>
  </si>
  <si>
    <t xml:space="preserve">TREATMENTS IN PAPER (Table 1, RBD 3 reps, since 1993, PDFSR Modipuram): T1 unfertilised; T2 recommended NPK (+Zn to rice) through fertilisers; T3 NPK + Zn + S (rice); T4 75% NPK + 25% N via FYM (rice); T5 75% NPK + 25% N via sulphitation press mud (rice); T6 75% NPK + green gram residue incorporated before rice; T7 = T6 (rice) + 75% NPK + 25% N via FYM (wheat); T8 75% NPK + 25% N via WHEAT STRAW to rice and 75% NPK + 25% N via RICE STRAW to wheat (CR). Rice puddled and transplanted (Saket 4, 20 x 10 cm, continuous 5 cm submergence); wheat HD 2338 drilled after dry tillage ('wet tillage followed by dry tillage'); recommended 120-26-33 kg N-P-K/ha to each crop. T2 -&gt; CT ; T8 -&gt; CTR (FLAG fertiliser offset, rule 62); T1, T3-T7 EXCLUDED (unfertilised / amendments / third crop in some treatments only).</t>
  </si>
  <si>
    <t xml:space="preserve">TOC; macro/micro aggregates, WSA (derived), MWD (slaked + capillary), macro-C, micro-C, cPOM-C; aggregate FC/PWP/AWC; yields (3-yr means)</t>
  </si>
  <si>
    <t xml:space="preserve">INCLUDED FLAGGED (rule 62): T2 (CT) vs T8 (CTR).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</si>
  <si>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Naz A., Rebi A., Naz R., Akbar M.U., Aslam A., Kalsom A., Niaz A., Ahmad M.I., Nawaz S., Kausar R., Ali B., Saleem M.H. &amp; Zhou J.</t>
  </si>
  <si>
    <t xml:space="preserve">Land</t>
  </si>
  <si>
    <t xml:space="preserve">Naz A et al. (2023) Impact of green manuring on health of low fertility calcareous soils. Land 12:546</t>
  </si>
  <si>
    <t xml:space="preserve">https://doi.org/10.3390/land12030546</t>
  </si>
  <si>
    <t xml:space="preserve">Pakistan (Punjab)</t>
  </si>
  <si>
    <t xml:space="preserve">Khushab / Faisalabad, Punjab (calcareous soil field trial)</t>
  </si>
  <si>
    <t xml:space="preserve">2015-2018</t>
  </si>
  <si>
    <t xml:space="preserve">Rice-berseem (green manure)</t>
  </si>
  <si>
    <t xml:space="preserve">Control; NPK (100% RDF); GM100, GM75, GM50 = berseem green manure (last cutting rotavated in) + 100/75/50% RDF; rice puddled-transplanted in all</t>
  </si>
  <si>
    <t xml:space="preserve">NONE (excluded)</t>
  </si>
  <si>
    <t xml:space="preserve">EXCLUDED: rice-berseem green-manure x fertiliser-dose trial - no wheat phase in the treatments, identical (puddled/rotavator) tillage and no crop-residue contrast; green manure is an amendment here, not part of a CA treatment (rule 34; rule 71 lets GM support CA, but there is no CA). Source file 111_real.pdf.</t>
  </si>
  <si>
    <t xml:space="preserve">Dhaliwal J.K., Singh M.J., Sharma S., Gupta N. &amp; Kukal S.S.</t>
  </si>
  <si>
    <t xml:space="preserve">Soil Research</t>
  </si>
  <si>
    <t xml:space="preserve">Dhaliwal JK, Singh MJ, Sharma S, Gupta N, Kukal SS (2020) Medium-term impact of tillage and residue retention on soil physical and biological properties in dry-seeded rice-wheat system in north-west India. Soil Research 58:468-477</t>
  </si>
  <si>
    <t xml:space="preserve">https://doi.org/10.1071/SR19238</t>
  </si>
  <si>
    <t xml:space="preserve">India (Punjab)</t>
  </si>
  <si>
    <t xml:space="preserve">PAU research farm, Ludhiana (DSR-wheat tillage x mulch trial of Gupta et al. 2016)</t>
  </si>
  <si>
    <t xml:space="preserve">30 deg 56'N</t>
  </si>
  <si>
    <t xml:space="preserve">75 deg 52'E</t>
  </si>
  <si>
    <t xml:space="preserve">TEMP</t>
  </si>
  <si>
    <t xml:space="preserve">Sandy loam (Typic Ustochrept)</t>
  </si>
  <si>
    <t xml:space="preserve">Dry-seeded rice-wheat</t>
  </si>
  <si>
    <t xml:space="preserve">PBW 621</t>
  </si>
  <si>
    <t xml:space="preserve">PR 115</t>
  </si>
  <si>
    <t xml:space="preserve">Rice residue 7 t/ha surface mulch in wheat (+M)</t>
  </si>
  <si>
    <t xml:space="preserve">Irrigated (PAU recommendations)</t>
  </si>
  <si>
    <t xml:space="preserve">TREATMENTS IN PAPER (Table 1; three-factor trial est. 2011 - only the 'absolute' CT and ZT rice and wheat combinations were studied): 1 CTW-CTDSR (-M) = conventionally tilled wheat (1 discing + 1 tyne harrowing + planking) and conventionally tilled dry-seeded rice, all rice residue removed -&gt; CT ; 2 CTW+M-CTDSR = as 1 with ALL rice residue (7 t/ha) retained as surface mulch in wheat -&gt; CTR ; 3 ZTW-ZTDSR = zero-till wheat (Turbo Happy Seeder) and zero-till DSR (inverted-T tyne ZT drill), residue removed -&gt; ZT ; 4 ZTW+M-ZTDSR = as 3 with rice residue mulch -&gt; CA. Wheat straw removed in every treatment (cut 3-5 cm above ground). RBD 3 reps; plots 9.3 x 6.5 m.</t>
  </si>
  <si>
    <t xml:space="preserve">SOC, SOC stock, macro/micro WSA, WSA (derived), MWD, BD, porosity (derived), IR (initial + steady), FC/PWP/AWC, MBC, BSR, DHA, urease, ALP, ACP</t>
  </si>
  <si>
    <t xml:space="preserve">INCLUDED: CT, CTR, ZT, CA. ALL ROWS RED (rice-season fallback - sampling after 2016 rice harvest only). Enzymes = tillage main effects (flagged).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</si>
  <si>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Singh V.K., Dwivedi B.S., Shukla A.K., Chauhan Y.S. &amp; Yadav R.L.</t>
  </si>
  <si>
    <t xml:space="preserve">Singh VK et al. (2005) Diversification of rice with pigeonpea in a rice-wheat cropping system on a Typic Ustochrept: effect on soil fertility, yield and nutrient use efficiency. Field Crops Res 92:85-105</t>
  </si>
  <si>
    <t xml:space="preserve">https://doi.org/10.1016/j.fcr.2004.09.002</t>
  </si>
  <si>
    <t xml:space="preserve">PDCSR Modipuram, Meerut + farmers' survey (Upper Gangetic Plain)</t>
  </si>
  <si>
    <t xml:space="preserve">Rice-wheat vs pigeonpea-wheat</t>
  </si>
  <si>
    <t xml:space="preserve">Cropping system (rice-wheat vs pigeonpea-wheat) x N (0/120) x P (0/26) to wheat</t>
  </si>
  <si>
    <t xml:space="preserve">EXCLUDED: crop-diversification x fertiliser trial (rice replaced by pigeonpea); no tillage or crop-residue contrast within rice-wheat (rule 34). Source file 114.pdf.</t>
  </si>
  <si>
    <t xml:space="preserve">23 (companion 3)</t>
  </si>
  <si>
    <t xml:space="preserve">Jat H.S., Datta A., Choudhary M., Yadav A.K., Choudhary V., Sharma P.C., Gathala M.K., Jat M.L. &amp; McDonald A.</t>
  </si>
  <si>
    <t xml:space="preserve">Jat HS et al. (2019) Effects of tillage, crop establishment and diversification on soil organic carbon, aggregation, aggregate associated carbon and productivity in cereal systems of semi-arid Northwest India. Soil Tillage Res 190:128-138</t>
  </si>
  <si>
    <t xml:space="preserve">https://doi.org/10.1016/j.still.2019.03.005</t>
  </si>
  <si>
    <t xml:space="preserve">India (Haryana)</t>
  </si>
  <si>
    <t xml:space="preserve">ICAR-CSSRI research farm, Karnal (CSISA scenario trial, est. 2009)</t>
  </si>
  <si>
    <t xml:space="preserve">29 deg 70'N (as printed)</t>
  </si>
  <si>
    <t xml:space="preserve">76 deg 96'E (as printed)</t>
  </si>
  <si>
    <t xml:space="preserve">Paper (non-standard minutes, read as decimals)</t>
  </si>
  <si>
    <t xml:space="preserve">2013, 2015 (soil); 2009-10 to 2014-15 (yield)</t>
  </si>
  <si>
    <t xml:space="preserve">2 soil samplings; 6 yield years</t>
  </si>
  <si>
    <t xml:space="preserve">Loam, reclaimed alkali (Typic Natrustalf)</t>
  </si>
  <si>
    <t xml:space="preserve">Rice-wheat (Sc1); rice-wheat-mungbean (Sc2, Sc3)</t>
  </si>
  <si>
    <t xml:space="preserve">Sc2 78.5, Sc3 74.5 t/ha over 6 yr</t>
  </si>
  <si>
    <t xml:space="preserve">TREATMENTS IN PAPER (CSISA scenario trial, ICAR-CSSRI Karnal, est. 2009, RBD 3 reps, 100 x 20 m plots): Sc1 conventional rice-wheat (puddled manually transplanted rice, broadcast CT wheat, residues removed; farmers' practice) -&gt; CT ; Sc2 partial CA rice-wheat-mungbean (puddled transplanted rice; ZT drill-seeded wheat and mungbean; anchored rice stubble 4.1-12.7 t/ha retained at wheat sowing, mungbean residue incorporated during puddling) -&gt; pCA ; Sc3 full CA rice-wheat-mungbean (ZT DSR, ZT wheat, ZT mungbean, residues retained on the surface) -&gt; CA ; Sc4 full CA maize-wheat-mungbean -&gt; EXCLUDED (maize). Residue added 2009-15: Sc2 78.5, Sc3 74.5 t/ha.</t>
  </si>
  <si>
    <t xml:space="preserve">WB-C, TOC, macro/micro WSA, WSA, MWD, GMD, macro-C, micro-C, POC (2013, 2015, 2 depths); REY 6 years</t>
  </si>
  <si>
    <t xml:space="preserve">INCLUDED: Sc1 CT, Sc2 pCA, Sc3 CA. Soil rows RED (after rice harvest).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</si>
  <si>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23 (companion 4)</t>
  </si>
  <si>
    <t xml:space="preserve">Jat H.S., Datta A., Choudhary M., Sharma P.C., Yadav A.K., Choudhary V., Gathala M.K., Jat M.L. &amp; McDonald A.</t>
  </si>
  <si>
    <t xml:space="preserve">Catena (accepted manuscript; version of record S0341816219301936)</t>
  </si>
  <si>
    <t xml:space="preserve">Jat HS et al. (2019) Climate Smart Agriculture practices improve soil organic carbon pools, biological properties and crop productivity in cereal-based systems of North-West India. Catena</t>
  </si>
  <si>
    <t xml:space="preserve">https://www.sciencedirect.com/science/article/pii/S0341816219301936</t>
  </si>
  <si>
    <t xml:space="preserve">Loam (Typic Natrustalf), OC 0.45%</t>
  </si>
  <si>
    <t xml:space="preserve">Sc2 47.9, Sc3 56.1 t/ha over 4 yr</t>
  </si>
  <si>
    <t xml:space="preserve">TREATMENTS IN PAPER (CSISA scenario trial, ICAR-CSSRI Karnal, est. 2009, RBD 3 reps, 100 x 20 m plots): Sc1 conventional rice-wheat (puddled manually transplanted rice, broadcast CT wheat, residues removed; farmers' practice) -&gt; CT ; Sc2 partial CA rice-wheat-mungbean (puddled transplanted rice; ZT drill-seeded wheat and mungbean; anchored rice stubble 4.1-12.7 t/ha retained at wheat sowing, mungbean residue incorporated during puddling) -&gt; pCA ; Sc3 full CA rice-wheat-mungbean (ZT DSR, ZT wheat, ZT mungbean, residues retained on the surface) -&gt; CA ; Sc4 full CA maize-wheat-mungbean -&gt; EXCLUDED (maize). Residue added 2009-13: Sc2 47.9, Sc3 56.1 t/ha.</t>
  </si>
  <si>
    <t xml:space="preserve">SOC stock; VL/L/LL/NL C (derived g/kg); DHA, ALP, MBC, MBN, BSR, fungi, bacteria, actinomycetes (2 depths)</t>
  </si>
  <si>
    <t xml:space="preserve">INCLUDED: Sc1 CT, Sc2 pCA, Sc3 CA. All rows RED.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</si>
  <si>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165 (companion)</t>
  </si>
  <si>
    <t xml:space="preserve">Meena A.L., Pandey R.N., Kumar D., Dotaniya M.L., Sharma V.K., Singh G., Meena B.P., Kumar A. &amp; Bhanu C.</t>
  </si>
  <si>
    <t xml:space="preserve">Communications in Soil Science and Plant Analysis</t>
  </si>
  <si>
    <t xml:space="preserve">Meena AL et al. (2020) Impact of 12-year-long rice based organic farming on soil quality in terms of soil physical properties, available micronutrients and rice yield in a typic Ustochrept soil of India. Commun Soil Sci Plant Anal</t>
  </si>
  <si>
    <t xml:space="preserve">https://doi.org/10.1080/00103624.2020.1822386</t>
  </si>
  <si>
    <t xml:space="preserve">IARI research farm, New Delhi (long-term organic rice-based project, since 2003)</t>
  </si>
  <si>
    <t xml:space="preserve">28.4 N</t>
  </si>
  <si>
    <t xml:space="preserve">77.1 E</t>
  </si>
  <si>
    <t xml:space="preserve">2015-16 (soil); 2009-2015 (rice yield mean)</t>
  </si>
  <si>
    <t xml:space="preserve">Organic basmati rice-wheat and rice-wheat-mungbean</t>
  </si>
  <si>
    <t xml:space="preserve">HD 2967</t>
  </si>
  <si>
    <t xml:space="preserve">Pusa Basmati 1121</t>
  </si>
  <si>
    <t xml:space="preserve">60 (FYM or VC N)</t>
  </si>
  <si>
    <t xml:space="preserve">3 t/ha preceding-crop residue to each crop (CR treatments)</t>
  </si>
  <si>
    <t xml:space="preserve">TREATMENTS IN PAPER (IARI long-term organic project 'Nutrient management in rice-wheat cropping system under organic conditions', since kharif 2003, organic from 2006; strip plot, 3 reps): main strips RWCS (basmati rice-wheat) and RWMCS (rice-wheat-mungbean); rows: Control (no organics), FYM, VC (each = 60 kg N/ha), FYM + CR, VC + CR (crop residue of the preceding crop 3 t/ha to each crop), FYM + CR + BF, VC + CR + BF (BF = BGA + PSB + cellulolytic culture in rice; Azotobacter + PSB + cellulolytic in wheat; Rhizobium + PSB in mungbean). FYM -&gt; CT, FYM + CR -&gt; CTR (row a), FYM + CR + BF -&gt; CTR (row b, BF flag); VC -&gt; CT, VC + CR -&gt; CTR (row a), VC + CR + BF -&gt; CTR (row b); Control EXCLUDED (no organics).</t>
  </si>
  <si>
    <t xml:space="preserve">BD, porosity (derived), WHC, MWD, GMD, Ks, pH, EC, SOC, C stock, available N, P, DTPA Cu/Zn/Mn/Fe, rice grain and straw yield</t>
  </si>
  <si>
    <t xml:space="preserve">INCLUDED: FYM/VC (CT) vs +CR (CTR), rows a/b (+BF). Soil rows RED (after rice harvest).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</si>
  <si>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131 (companion)</t>
  </si>
  <si>
    <t xml:space="preserve">Zhang Y.-P., Li X., He H.-J., Zhou H., Geng D.-Y. &amp; Zhang Y.-Z.</t>
  </si>
  <si>
    <t xml:space="preserve">Sustainability</t>
  </si>
  <si>
    <t xml:space="preserve">Zhang Y-P et al. (2023) Effects of rotational tillage on soil physicochemical properties and crop yield in a rice-wheat double cropping area. Sustainability 15:474</t>
  </si>
  <si>
    <t xml:space="preserve">https://doi.org/10.3390/su15010474</t>
  </si>
  <si>
    <t xml:space="preserve">China (Shandong)</t>
  </si>
  <si>
    <t xml:space="preserve">Taoluo Town, Donggang District, Rizhao, Shandong</t>
  </si>
  <si>
    <t xml:space="preserve">Approximate - Taoluo town centre (paper gives none; Donggang district 35.425 N, 119.462 E)</t>
  </si>
  <si>
    <t xml:space="preserve">2018-2020</t>
  </si>
  <si>
    <t xml:space="preserve">BD 2018-2020; other soil after 3 yr</t>
  </si>
  <si>
    <t xml:space="preserve">Paddy soil (texture not stated)</t>
  </si>
  <si>
    <t xml:space="preserve">Rice-wheat (double cropping)</t>
  </si>
  <si>
    <t xml:space="preserve">Yannong 21</t>
  </si>
  <si>
    <t xml:space="preserve">Linhan 1</t>
  </si>
  <si>
    <t xml:space="preserve">Wheat 225; rice slow-release 25-10-10 600 kg + compound</t>
  </si>
  <si>
    <t xml:space="preserve">Full straw return (crushed) in all</t>
  </si>
  <si>
    <t xml:space="preserve">TREATMENTS IN PAPER (one 960 m2 strip per pattern, 2017-2019 rice seasons, Taoluo, Rizhao): RT = rotational tillage before rice (no-till 2017 and 2018, plough 2019; no-till dry direct-seeded rice) -&gt; EXCLUDED (alternate tillage); CN = continuous no-till dry direct-seeded rice (wide-belt stubble seeder) 2017-2019 -&gt; CA ; PR = plough + rotary tillage, irrigation, puddling and transplanting (30 x 12 cm) every year -&gt; pCA. In ALL treatments wheat (Yannong 21, 187.5 kg/ha, 14 Oct) is sown WITHOUT tillage with the same seeder, and the crushed straw (&lt;=10 cm) of the previous crop is fully returned. Before the trial: ploughing + rotary 15-18 cm, transplanting, straw removed.</t>
  </si>
  <si>
    <t xml:space="preserve">BD (2018-20, 3 layers), porosity (derived), water-stable macro-aggregates, MWD (wet, dry), SOC, total N, alkali-N, P, K, SOC stock and sequestration (derived), rice/wheat yield and components</t>
  </si>
  <si>
    <t xml:space="preserve">INCLUDED: CN = CA, PR = pCA (RT excluded).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</si>
  <si>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PARAMETERS OF EACH STUDY - auto-generated from the data sheets (2026-10-05); regenerated at every build</t>
  </si>
  <si>
    <t xml:space="preserve">Serial</t>
  </si>
  <si>
    <t xml:space="preserve">Data rows</t>
  </si>
  <si>
    <t xml:space="preserve">No. of parameters (sheets)</t>
  </si>
  <si>
    <t xml:space="preserve">Parameters in this workbook (sheet: rows)</t>
  </si>
  <si>
    <t xml:space="preserve">Parameters extracted (Study_Info, paper-level description)</t>
  </si>
  <si>
    <t xml:space="preserve">INCLUDED</t>
  </si>
  <si>
    <t xml:space="preserve">SOC(active C pool): 7; N: 4; P: 7; K: 7; YIELD: 95</t>
  </si>
  <si>
    <t xml:space="preserve">BD: 2; POROSITY: 2; HC: 2; SOC(active C pool): 4; RESP: 2; P: 4; K: 4; total N: 4; MBC: 2; DHA: 2; Actinomycetes: 2; Soil microbial count: 2; Fungal count: 2; YIELD: 4</t>
  </si>
  <si>
    <t xml:space="preserve">MWD 1: 6; WSA: 3; MACRO: 3; MICRO: 3; macro c: 3; micro c: 3; AWC (weight basis): 6; AWC (volume basis): 6; FC (weight basis): 6; PWP (weight basis): 6; TOC: 3; cPOM-C: 3; YIELD: 2</t>
  </si>
  <si>
    <t xml:space="preserve">BD: 2; POROSITY: 2; MWD 1: 2; WSA: 2; MACRO: 2; MICRO: 2; IR: 1; AWC (weight basis): 1; AWC (volume basis): 1; FC (weight basis): 1; PWP (weight basis): 1; SOC(active C pool): 2; stock-SOC: 2; RESP: 1; MBC: 1; DHA: 1; ACP: 1; ALKP: 1; UREASE: 1</t>
  </si>
  <si>
    <t xml:space="preserve">MWD 1: 4; GMD 1: 4; WSA: 4; MACRO: 4; MICRO: 4; macro c: 4; micro c: 4; SOC(active C pool): 4; TOC: 4; PSOC: 4; YIELD: 6</t>
  </si>
  <si>
    <t xml:space="preserve">VLC(Cfrac1): 2; LC(Cfrac2): 2; LLC(Cfrac3): 2; NLC(Cfrac4): 2; stock-SOC: 2; RESP: 1; MBC: 2; MBN: 2; DHA: 2; ALKP: 2; Actinomycetes: 2; Soil microbial count: 2; Fungal count: 2</t>
  </si>
  <si>
    <t xml:space="preserve">BD: 8; POROSITY: 8; MWD 1: 8; GMD 1: 8; HC: 8; WHC: 8; SOC(active C pool): 8; stock-SOC: 8; PH: 8; EC: 8; N: 8; P: 8; Fe(ppm): 8; Mn: 8; Cu(ppm): 8; Zn(ppm): 8; YIELD: 8</t>
  </si>
  <si>
    <t xml:space="preserve">BD: 9; POROSITY: 9; MWD 1: 3; MWDA: 3; MACRO: 3; SOC(active C pool): 3; stock-SOC: 3; c sequestration rate: 1; N: 3; P: 3; K: 3; total N: 3; YIELD: 1; PANICLE-SPIKE DENSITY: 1; GRAINS PER PANICLE: 1; 1000-GRAIN WEIGHT: 1</t>
  </si>
  <si>
    <t xml:space="preserve">STUDIES OF EACH PARAMETER SHEET - auto-generated (2026-10-05); 'NO DATA' = none of the entered studies reports this parameter</t>
  </si>
  <si>
    <t xml:space="preserve">Parameter sheet</t>
  </si>
  <si>
    <t xml:space="preserve">No. of studies</t>
  </si>
  <si>
    <t xml:space="preserve">Studies (serial: rows)</t>
  </si>
  <si>
    <t xml:space="preserve">BD</t>
  </si>
  <si>
    <t xml:space="preserve">168: 2; 165: 2; 131 (companion): 9; 165 (companion): 8</t>
  </si>
  <si>
    <t xml:space="preserve">PD</t>
  </si>
  <si>
    <t xml:space="preserve">NO DATA</t>
  </si>
  <si>
    <t xml:space="preserve">POROSITY</t>
  </si>
  <si>
    <t xml:space="preserve">macro pore</t>
  </si>
  <si>
    <t xml:space="preserve">meso pore</t>
  </si>
  <si>
    <t xml:space="preserve">micro pore</t>
  </si>
  <si>
    <t xml:space="preserve">MWD 1</t>
  </si>
  <si>
    <t xml:space="preserve">mm (wet sieving)</t>
  </si>
  <si>
    <t xml:space="preserve">168: 2; 166: 6; 131 (companion): 3; 23 (companion 3): 4; 165 (companion): 8</t>
  </si>
  <si>
    <t xml:space="preserve">MWDA</t>
  </si>
  <si>
    <t xml:space="preserve">mm (dry sieving)</t>
  </si>
  <si>
    <t xml:space="preserve">131 (companion): 3</t>
  </si>
  <si>
    <t xml:space="preserve">GMD 1</t>
  </si>
  <si>
    <t xml:space="preserve">mm</t>
  </si>
  <si>
    <t xml:space="preserve">23 (companion 3): 4; 165 (companion): 8</t>
  </si>
  <si>
    <t xml:space="preserve">WSA</t>
  </si>
  <si>
    <t xml:space="preserve">g/g soil (water-stable aggregates = sum of ALL water-stable fractions &gt; 0.053 mm; % / 100)</t>
  </si>
  <si>
    <t xml:space="preserve">168: 2; 166: 3; 23 (companion 3): 4</t>
  </si>
  <si>
    <t xml:space="preserve">MACRO</t>
  </si>
  <si>
    <t xml:space="preserve">% (&gt;0.25 mm aggregates)</t>
  </si>
  <si>
    <t xml:space="preserve">168: 2; 166: 3; 131 (companion): 3; 23 (companion 3): 4</t>
  </si>
  <si>
    <t xml:space="preserve">MICRO</t>
  </si>
  <si>
    <t xml:space="preserve">% (&lt;0.25 mm aggregates)</t>
  </si>
  <si>
    <t xml:space="preserve">macro c</t>
  </si>
  <si>
    <t xml:space="preserve">g/kg (C in &gt;0.25 mm aggregates)</t>
  </si>
  <si>
    <t xml:space="preserve">166: 3; 23 (companion 3): 4</t>
  </si>
  <si>
    <t xml:space="preserve">micro c</t>
  </si>
  <si>
    <t xml:space="preserve">g/kg (C in &lt;0.25 mm aggregates)</t>
  </si>
  <si>
    <t xml:space="preserve">PR</t>
  </si>
  <si>
    <t xml:space="preserve">MPa (soil penetration resistance; 10 cm depth classes 0-10 ... 50-60 CM, &gt;60 CM)</t>
  </si>
  <si>
    <t xml:space="preserve">HC</t>
  </si>
  <si>
    <t xml:space="preserve">cm/hr (saturated hydraulic conductivity)</t>
  </si>
  <si>
    <t xml:space="preserve">165: 2; 165 (companion): 8</t>
  </si>
  <si>
    <t xml:space="preserve">IR</t>
  </si>
  <si>
    <t xml:space="preserve">cm/hr. IR_ = STEADY-STATE infiltration rate (final / basic / quasi-steady rate at the end of the run). IIR_ = INITIAL infiltration rate (rate at the first reading). Author definition 2026-10-03.</t>
  </si>
  <si>
    <t xml:space="preserve">168: 1</t>
  </si>
  <si>
    <t xml:space="preserve">AWC (weight basis)</t>
  </si>
  <si>
    <t xml:space="preserve">% w/w (available water content, weight basis; v/v rows converted: AWCw = AWCv / BD)</t>
  </si>
  <si>
    <t xml:space="preserve">168: 1; 166: 6</t>
  </si>
  <si>
    <t xml:space="preserve">AWC (volume basis)</t>
  </si>
  <si>
    <t xml:space="preserve">% v/v (available water content, volume basis; w/w rows converted: AWCv = AWCw x BD)</t>
  </si>
  <si>
    <t xml:space="preserve">WHC</t>
  </si>
  <si>
    <t xml:space="preserve">% w/w (maximum water-holding capacity by KEEN-RACZKOWSKI BOX only)</t>
  </si>
  <si>
    <t xml:space="preserve">165 (companion): 8</t>
  </si>
  <si>
    <t xml:space="preserve">FC (weight basis)</t>
  </si>
  <si>
    <t xml:space="preserve">% w/w (water content at FIELD CAPACITY, -33 kPa / drained; v/v values converted: FCw = FCv / BD)</t>
  </si>
  <si>
    <t xml:space="preserve">PWP (weight basis)</t>
  </si>
  <si>
    <t xml:space="preserve">% w/w (water content at PERMANENT WILTING POINT, -1500 kPa; v/v values converted: PWPw = PWPv / BD)</t>
  </si>
  <si>
    <t xml:space="preserve">SAT WC</t>
  </si>
  <si>
    <t xml:space="preserve">% (saturated soil water content; basis in UNIT column)</t>
  </si>
  <si>
    <t xml:space="preserve">GWC</t>
  </si>
  <si>
    <t xml:space="preserve">% w/w (GRAVIMETRIC soil water content at the time of sampling; available water, FC, PWP and WHC are on their own sheets)</t>
  </si>
  <si>
    <t xml:space="preserve">Moisture storage</t>
  </si>
  <si>
    <t xml:space="preserve">mm (soil-profile moisture storage)</t>
  </si>
  <si>
    <t xml:space="preserve">TEXTURE</t>
  </si>
  <si>
    <t xml:space="preserve">% sand / silt / clay</t>
  </si>
  <si>
    <t xml:space="preserve">168: 2; 165: 4; 164: 7; 131 (companion): 3; 23 (companion 3): 4; 165 (companion): 8</t>
  </si>
  <si>
    <t xml:space="preserve">TOC</t>
  </si>
  <si>
    <t xml:space="preserve">TC(total c)</t>
  </si>
  <si>
    <t xml:space="preserve">SIC</t>
  </si>
  <si>
    <t xml:space="preserve">PSOC</t>
  </si>
  <si>
    <t xml:space="preserve">g/kg (particulate SOC)</t>
  </si>
  <si>
    <t xml:space="preserve">23 (companion 3): 4</t>
  </si>
  <si>
    <t xml:space="preserve">MOC</t>
  </si>
  <si>
    <t xml:space="preserve">g/kg (mineral-associated organic carbon, MOC/MAOC = SOC - POC)</t>
  </si>
  <si>
    <t xml:space="preserve">WSC</t>
  </si>
  <si>
    <t xml:space="preserve">mg/kg (water-soluble carbon)</t>
  </si>
  <si>
    <t xml:space="preserve">DOC</t>
  </si>
  <si>
    <t xml:space="preserve">dissolved organic carbon AS PRINTED (mg/kg soil or mg/L of extract - see UNIT column; mg/L values are not convertible without the extraction ratio)</t>
  </si>
  <si>
    <t xml:space="preserve">LFC-LFOC</t>
  </si>
  <si>
    <t xml:space="preserve">mg/kg (light fraction organic carbon)</t>
  </si>
  <si>
    <t xml:space="preserve">HFOC</t>
  </si>
  <si>
    <t xml:space="preserve">g/kg (heavy fraction organic carbon, HFOC = SOC - LFOC)</t>
  </si>
  <si>
    <t xml:space="preserve">LFON</t>
  </si>
  <si>
    <t xml:space="preserve">mg/kg (light fraction organic nitrogen)</t>
  </si>
  <si>
    <t xml:space="preserve">PON</t>
  </si>
  <si>
    <t xml:space="preserve">mg/kg (particulate organic nitrogen)</t>
  </si>
  <si>
    <t xml:space="preserve">cPOM-C</t>
  </si>
  <si>
    <t xml:space="preserve">g/kg (coarse particulate organic matter carbon)</t>
  </si>
  <si>
    <t xml:space="preserve">166: 3</t>
  </si>
  <si>
    <t xml:space="preserve">fPOM-C</t>
  </si>
  <si>
    <t xml:space="preserve">g/kg (fine particulate organic matter carbon)</t>
  </si>
  <si>
    <t xml:space="preserve">mg/kg (permanganate-oxidisable C, KMnO4-C)</t>
  </si>
  <si>
    <t xml:space="preserve">VLC(Cfrac1)</t>
  </si>
  <si>
    <t xml:space="preserve">g/kg (very labile C, oxidisable by 12 N H2SO4 - Chan et al. 2001)</t>
  </si>
  <si>
    <t xml:space="preserve">23 (companion 4): 2</t>
  </si>
  <si>
    <t xml:space="preserve">LC(Cfrac2)</t>
  </si>
  <si>
    <t xml:space="preserve">g/kg (labile C, 18 N - 12 N H2SO4 - Chan et al. 2001)</t>
  </si>
  <si>
    <t xml:space="preserve">LLC(Cfrac3)</t>
  </si>
  <si>
    <t xml:space="preserve">g/kg (less labile C, 24 N - 18 N H2SO4 - Chan et al. 2001)</t>
  </si>
  <si>
    <t xml:space="preserve">NLC(Cfrac4)</t>
  </si>
  <si>
    <t xml:space="preserve">g/kg (non-labile / recalcitrant C = TOC - C oxidisable by 24 N H2SO4)</t>
  </si>
  <si>
    <t xml:space="preserve">Mg C/ha  [STOCK = SOC(g/kg) x BD x D(cm) x 0.1]</t>
  </si>
  <si>
    <t xml:space="preserve">168: 2; 131 (companion): 3; 23 (companion 4): 2; 165 (companion): 8</t>
  </si>
  <si>
    <t xml:space="preserve">c sequestration rate</t>
  </si>
  <si>
    <t xml:space="preserve">Mg C/ha/yr  [(SOCs_final - SOCs_initial)/duration]</t>
  </si>
  <si>
    <t xml:space="preserve">131 (companion): 1</t>
  </si>
  <si>
    <t xml:space="preserve">C liability</t>
  </si>
  <si>
    <t xml:space="preserve">ratio (carbon lability)</t>
  </si>
  <si>
    <t xml:space="preserve">LI</t>
  </si>
  <si>
    <t xml:space="preserve">index (lability index)</t>
  </si>
  <si>
    <t xml:space="preserve">CPI</t>
  </si>
  <si>
    <t xml:space="preserve">index (carbon pool index)</t>
  </si>
  <si>
    <t xml:space="preserve">CMI</t>
  </si>
  <si>
    <t xml:space="preserve">index (carbon management index)</t>
  </si>
  <si>
    <t xml:space="preserve">RESP</t>
  </si>
  <si>
    <t xml:space="preserve">mg CO2/kg soil/day</t>
  </si>
  <si>
    <t xml:space="preserve">168: 1; 165: 2; 23 (companion 4): 1</t>
  </si>
  <si>
    <t xml:space="preserve">PH</t>
  </si>
  <si>
    <t xml:space="preserve">pH (1:2.5 soil:water)</t>
  </si>
  <si>
    <t xml:space="preserve">EC</t>
  </si>
  <si>
    <t xml:space="preserve">dS/m</t>
  </si>
  <si>
    <t xml:space="preserve">CEC</t>
  </si>
  <si>
    <t xml:space="preserve">cmol(+)/kg</t>
  </si>
  <si>
    <t xml:space="preserve">N</t>
  </si>
  <si>
    <t xml:space="preserve">kg/ha (available N)</t>
  </si>
  <si>
    <t xml:space="preserve">164: 4; 131 (companion): 3; 165 (companion): 8</t>
  </si>
  <si>
    <t xml:space="preserve">P</t>
  </si>
  <si>
    <t xml:space="preserve">kg/ha (available P; mg/kg x 2.24 when converted - state basis in UNIT column)</t>
  </si>
  <si>
    <t xml:space="preserve">165: 4; 164: 7; 131 (companion): 3; 165 (companion): 8</t>
  </si>
  <si>
    <t xml:space="preserve">K</t>
  </si>
  <si>
    <t xml:space="preserve">kg/ha (available K)</t>
  </si>
  <si>
    <t xml:space="preserve">165: 4; 164: 7; 131 (companion): 3</t>
  </si>
  <si>
    <t xml:space="preserve">AV.S</t>
  </si>
  <si>
    <t xml:space="preserve">kg/ha (available S)</t>
  </si>
  <si>
    <t xml:space="preserve">total N</t>
  </si>
  <si>
    <t xml:space="preserve">165: 4; 131 (companion): 3</t>
  </si>
  <si>
    <t xml:space="preserve">total P</t>
  </si>
  <si>
    <t xml:space="preserve">g/kg (total soil P)</t>
  </si>
  <si>
    <t xml:space="preserve">total K</t>
  </si>
  <si>
    <t xml:space="preserve">g/kg (total soil K)</t>
  </si>
  <si>
    <t xml:space="preserve">WS-K</t>
  </si>
  <si>
    <t xml:space="preserve">mg/kg (water-soluble K)</t>
  </si>
  <si>
    <t xml:space="preserve">EX-K</t>
  </si>
  <si>
    <t xml:space="preserve">mg/kg (exchangeable K = NH4OAc-K minus water-soluble K)</t>
  </si>
  <si>
    <t xml:space="preserve">NEX-K</t>
  </si>
  <si>
    <t xml:space="preserve">mg/kg (non-exchangeable K, boiling 1 N HNO3)</t>
  </si>
  <si>
    <t xml:space="preserve">no3,nh4,PMN</t>
  </si>
  <si>
    <t xml:space="preserve">kg/ha (SIN = NO3 + NH4)</t>
  </si>
  <si>
    <t xml:space="preserve">NO3 leaching</t>
  </si>
  <si>
    <t xml:space="preserve">kg NO3-N/ha (nitrate-N leached below the stated depth, per season)</t>
  </si>
  <si>
    <t xml:space="preserve">15N RESIDUAL</t>
  </si>
  <si>
    <t xml:space="preserve">kg N/ha - residual 15N-labelled N recovered in a soil layer after harvest (source = fertiliser or straw, stated in 'Crop/season of sampling'). Added on author request 2026-10-04 (study 132).</t>
  </si>
  <si>
    <t xml:space="preserve">B(ppm)</t>
  </si>
  <si>
    <t xml:space="preserve">ppm (mg/kg)</t>
  </si>
  <si>
    <t xml:space="preserve">Fe(ppm)</t>
  </si>
  <si>
    <t xml:space="preserve">Mn</t>
  </si>
  <si>
    <t xml:space="preserve">Cu(ppm)</t>
  </si>
  <si>
    <t xml:space="preserve">Zn(ppm)</t>
  </si>
  <si>
    <t xml:space="preserve">MBC</t>
  </si>
  <si>
    <t xml:space="preserve">ug C/g soil (= mg/kg dry soil)</t>
  </si>
  <si>
    <t xml:space="preserve">168: 1; 165: 2; 23 (companion 4): 2</t>
  </si>
  <si>
    <t xml:space="preserve">MBN</t>
  </si>
  <si>
    <t xml:space="preserve">ug N/g soil (= mg/kg dry soil)</t>
  </si>
  <si>
    <t xml:space="preserve">GLOMALIN</t>
  </si>
  <si>
    <t xml:space="preserve">mg/g soil (easily-extractable + total; state which in Notes)</t>
  </si>
  <si>
    <t xml:space="preserve">MYCORRHIZAL SPORES</t>
  </si>
  <si>
    <t xml:space="preserve">number of AM fungal spores per 100 g soil (wet sieving and decanting)</t>
  </si>
  <si>
    <t xml:space="preserve">DHA</t>
  </si>
  <si>
    <t xml:space="preserve">ug TPF/g soil/h</t>
  </si>
  <si>
    <t xml:space="preserve">B-GLU</t>
  </si>
  <si>
    <t xml:space="preserve">ug PNP/g soil/h</t>
  </si>
  <si>
    <t xml:space="preserve">ACP</t>
  </si>
  <si>
    <t xml:space="preserve">ug PNP/g soil/h (acid phosphatase)</t>
  </si>
  <si>
    <t xml:space="preserve">ALKP</t>
  </si>
  <si>
    <t xml:space="preserve">ug PNP/g soil/h (alkaline phosphatase)</t>
  </si>
  <si>
    <t xml:space="preserve">168: 1; 23 (companion 4): 2</t>
  </si>
  <si>
    <t xml:space="preserve">GAP</t>
  </si>
  <si>
    <t xml:space="preserve">ug p-nitroaniline/g soil/h (glycine aminopeptidase)</t>
  </si>
  <si>
    <t xml:space="preserve">LAP</t>
  </si>
  <si>
    <t xml:space="preserve">ug/g soil/h (leucine aminopeptidase)</t>
  </si>
  <si>
    <t xml:space="preserve">NAG</t>
  </si>
  <si>
    <t xml:space="preserve">ug/g soil/h (N-acetyl-glucosaminidase)</t>
  </si>
  <si>
    <t xml:space="preserve">B-galactosidase</t>
  </si>
  <si>
    <t xml:space="preserve">ug/g soil/h</t>
  </si>
  <si>
    <t xml:space="preserve">CELL</t>
  </si>
  <si>
    <t xml:space="preserve">ug glucose/g soil/h (cellulase)</t>
  </si>
  <si>
    <t xml:space="preserve">UREASE</t>
  </si>
  <si>
    <t xml:space="preserve">ug urea/g soil/h</t>
  </si>
  <si>
    <t xml:space="preserve">PHYTASE</t>
  </si>
  <si>
    <t xml:space="preserve">INVERTASE</t>
  </si>
  <si>
    <t xml:space="preserve">mg/g soil/24 h</t>
  </si>
  <si>
    <t xml:space="preserve">CATALASE</t>
  </si>
  <si>
    <t xml:space="preserve">mg H2O2/g soil/h (catalase activity; as printed per row)</t>
  </si>
  <si>
    <t xml:space="preserve">ASP</t>
  </si>
  <si>
    <t xml:space="preserve">ug/g soil/h (asparaginase)</t>
  </si>
  <si>
    <t xml:space="preserve">XYL</t>
  </si>
  <si>
    <t xml:space="preserve">ug glucose/g soil/h (xylanase)</t>
  </si>
  <si>
    <t xml:space="preserve">PHOX</t>
  </si>
  <si>
    <t xml:space="preserve">ug DOPA/g soil/h (phenol oxidase)</t>
  </si>
  <si>
    <t xml:space="preserve">PEROX</t>
  </si>
  <si>
    <t xml:space="preserve">ug/g soil/h (peroxidase)</t>
  </si>
  <si>
    <t xml:space="preserve">PPO</t>
  </si>
  <si>
    <t xml:space="preserve">ug/g soil/h (polyphenol oxidase)</t>
  </si>
  <si>
    <t xml:space="preserve">FDA</t>
  </si>
  <si>
    <t xml:space="preserve">mg fluorescein/kg soil/h</t>
  </si>
  <si>
    <t xml:space="preserve">NR</t>
  </si>
  <si>
    <t xml:space="preserve">mg NO3-N/g soil/h (nitrate reductase)</t>
  </si>
  <si>
    <t xml:space="preserve">Actinomycetes</t>
  </si>
  <si>
    <t xml:space="preserve">10^5 cfu/g soil</t>
  </si>
  <si>
    <t xml:space="preserve">165: 2; 23 (companion 4): 2</t>
  </si>
  <si>
    <t xml:space="preserve">Soil microbial count</t>
  </si>
  <si>
    <t xml:space="preserve">10^7 cfu/g soil</t>
  </si>
  <si>
    <t xml:space="preserve">Fungal count</t>
  </si>
  <si>
    <t xml:space="preserve">CFU/g soil (state the multiplier in UNIT, e.g. x 10^3)</t>
  </si>
  <si>
    <t xml:space="preserve">EARTHWORM</t>
  </si>
  <si>
    <t xml:space="preserve">individuals per m2 (earthworm density, hand-sorting of soil blocks; state depth)</t>
  </si>
  <si>
    <t xml:space="preserve">Cellulolytic count</t>
  </si>
  <si>
    <t xml:space="preserve">CFU/g soil cellulose-degrading microorganisms (state the multiplier in UNIT)</t>
  </si>
  <si>
    <t xml:space="preserve">RLD(CM-CM3)</t>
  </si>
  <si>
    <t xml:space="preserve">cm/cm3  (W = wheat, R = rice)</t>
  </si>
  <si>
    <t xml:space="preserve">PLANT HEIGHT</t>
  </si>
  <si>
    <t xml:space="preserve">cm (plant height at maturity; W = wheat, R = rice)</t>
  </si>
  <si>
    <t xml:space="preserve">RMD(mg-cm3)</t>
  </si>
  <si>
    <t xml:space="preserve">mg/cm3  (W = wheat, R = rice)</t>
  </si>
  <si>
    <t xml:space="preserve">RVD(cm3-cm3)</t>
  </si>
  <si>
    <t xml:space="preserve">cm3/cm3  (W = wheat, R = rice)</t>
  </si>
  <si>
    <t xml:space="preserve">RSD(cm2-cm3)</t>
  </si>
  <si>
    <t xml:space="preserve">cm2/cm3 root surface area density  (W = wheat, R = rice)</t>
  </si>
  <si>
    <t xml:space="preserve">ROOT DIA(mm)</t>
  </si>
  <si>
    <t xml:space="preserve">mm average root diameter  (W = wheat, R = rice)</t>
  </si>
  <si>
    <t xml:space="preserve">YIELD</t>
  </si>
  <si>
    <t xml:space="preserve">t/ha (grain and straw; state moisture basis in UNIT column)</t>
  </si>
  <si>
    <t xml:space="preserve">165: 4; 166: 2; 164: 95; 131 (companion): 1; 23 (companion 3): 6; 165 (companion): 8</t>
  </si>
  <si>
    <t xml:space="preserve">SYS STRAW</t>
  </si>
  <si>
    <t xml:space="preserve">t/ha system straw yield (rice + wheat straw)</t>
  </si>
  <si>
    <t xml:space="preserve">PANICLE-SPIKE DENSITY</t>
  </si>
  <si>
    <t xml:space="preserve">no./m2 (panicles of rice / spikes of wheat; W = wheat, R = rice)</t>
  </si>
  <si>
    <t xml:space="preserve">GRAINS PER PANICLE</t>
  </si>
  <si>
    <t xml:space="preserve">no. grains per panicle (rice) or kernels per spike (wheat)</t>
  </si>
  <si>
    <t xml:space="preserve">1000-GRAIN WEIGHT</t>
  </si>
  <si>
    <t xml:space="preserve">g (1000-grain weight)</t>
  </si>
  <si>
    <t xml:space="preserve">ratio (grain / above-ground biomass, 0-1)</t>
  </si>
  <si>
    <t xml:space="preserve">DAYS TO FLOWERING</t>
  </si>
  <si>
    <t xml:space="preserve">days after sowing to flowering (anthesis)</t>
  </si>
  <si>
    <t xml:space="preserve">DAYS TO MATURITY</t>
  </si>
  <si>
    <t xml:space="preserve">days after sowing to physiological maturity</t>
  </si>
  <si>
    <t xml:space="preserve">GRAIN FILLING DAYS</t>
  </si>
  <si>
    <t xml:space="preserve">days (flowering to maturity)</t>
  </si>
  <si>
    <t xml:space="preserve">N uptake</t>
  </si>
  <si>
    <t xml:space="preserve">kg N/ha</t>
  </si>
  <si>
    <t xml:space="preserve">P uptake</t>
  </si>
  <si>
    <t xml:space="preserve">kg P/ha</t>
  </si>
  <si>
    <t xml:space="preserve">K uptake</t>
  </si>
  <si>
    <t xml:space="preserve">kg K/ha</t>
  </si>
  <si>
    <t xml:space="preserve">WUE</t>
  </si>
  <si>
    <t xml:space="preserve">kg/mm/ha</t>
  </si>
  <si>
    <t xml:space="preserve">NUE</t>
  </si>
  <si>
    <t xml:space="preserve">kg grain/kg N applied</t>
  </si>
  <si>
    <t xml:space="preserve">BC ratio</t>
  </si>
  <si>
    <t xml:space="preserve">ratio (net return / cost of production)</t>
  </si>
  <si>
    <t xml:space="preserve">currency per ha AS PRINTED (see UNIT column: US$/ha, Rs/ha, NRs/ha). Net return = gross return - total cost of cultivation. Rows printed as 'gross margin' / 'net income' (variable-cost basis) and MODEL OUTPUT rows are flagged in Notes. Compare treatments only WITHIN a row (lnRR is currency-free).</t>
  </si>
  <si>
    <t xml:space="preserve">NET ECONOMIC BENEFIT</t>
  </si>
  <si>
    <t xml:space="preserve">currency/ha/yr (paper-defined net economic benefit incl. carbon cost; see UNIT column)</t>
  </si>
  <si>
    <t xml:space="preserve">SQI</t>
  </si>
  <si>
    <t xml:space="preserve">unitless (0-1 soil quality index; state method in UNIT column)</t>
  </si>
  <si>
    <t xml:space="preserve">emission CH4</t>
  </si>
  <si>
    <t xml:space="preserve">kg C-CH4/ha</t>
  </si>
  <si>
    <t xml:space="preserve">emission N2O</t>
  </si>
  <si>
    <t xml:space="preserve">kg N-N2O/ha</t>
  </si>
  <si>
    <t xml:space="preserve">CO2 emission</t>
  </si>
  <si>
    <t xml:space="preserve">kg C-CO2/ha</t>
  </si>
  <si>
    <t xml:space="preserve">NO</t>
  </si>
  <si>
    <t xml:space="preserve">kg N-NO/ha</t>
  </si>
  <si>
    <t xml:space="preserve">NGWP</t>
  </si>
  <si>
    <t xml:space="preserve">kg CO2-eq/ha/yr (net GWP = CH4 + N2O GWP - SOC sequestration as CO2)</t>
  </si>
  <si>
    <t xml:space="preserve">C input</t>
  </si>
  <si>
    <t xml:space="preserve">kg C/ha/yr (carbon input = GWP x 12/44)</t>
  </si>
  <si>
    <t xml:space="preserve">C output</t>
  </si>
  <si>
    <t xml:space="preserve">kg C/ha/yr (carbon output = biomass x 0.4)</t>
  </si>
  <si>
    <t xml:space="preserve">CSI</t>
  </si>
  <si>
    <t xml:space="preserve">index (carbon sustainability index = (Coutput - Cinput) / Cinput)</t>
  </si>
  <si>
    <t xml:space="preserve">CER</t>
  </si>
  <si>
    <t xml:space="preserve">ratio (carbon efficiency ratio = Coutput / Cinput)</t>
  </si>
  <si>
    <t xml:space="preserve">GHG intensity</t>
  </si>
  <si>
    <t xml:space="preserve">kg CO2-eq/kg grain (yield-scaled GWP)</t>
  </si>
  <si>
    <t xml:space="preserve">AGG-TP</t>
  </si>
  <si>
    <t xml:space="preserve">AGG-AvP</t>
  </si>
  <si>
    <t xml:space="preserve">AGG-ALKP</t>
  </si>
  <si>
    <t xml:space="preserve">AGG-PhytinP</t>
  </si>
  <si>
    <t xml:space="preserve">Paper's treatment label (verbatim)</t>
  </si>
  <si>
    <t xml:space="preserve">Full description from paper</t>
  </si>
  <si>
    <t xml:space="preserve">Rice-phase tillage</t>
  </si>
  <si>
    <t xml:space="preserve">Wheat-phase tillage</t>
  </si>
  <si>
    <t xml:space="preserve">Residue retained?</t>
  </si>
  <si>
    <t xml:space="preserve">Residue rate (t/ha)</t>
  </si>
  <si>
    <t xml:space="preserve">ASSIGNED CODE</t>
  </si>
  <si>
    <t xml:space="preserve">Rationale</t>
  </si>
  <si>
    <t xml:space="preserve">Confidence</t>
  </si>
  <si>
    <t xml:space="preserve">Yadav R.L. et al.</t>
  </si>
  <si>
    <t xml:space="preserve">Control</t>
  </si>
  <si>
    <t xml:space="preserve">No fertiliser or manure to either crop</t>
  </si>
  <si>
    <t xml:space="preserve">Puddled TPR</t>
  </si>
  <si>
    <t xml:space="preserve">Conventional (not described)</t>
  </si>
  <si>
    <t xml:space="preserve">No</t>
  </si>
  <si>
    <t xml:space="preserve">Unfertilised control (rule 34)</t>
  </si>
  <si>
    <t xml:space="preserve">High</t>
  </si>
  <si>
    <t xml:space="preserve">50F</t>
  </si>
  <si>
    <t xml:space="preserve">50% NPK to rice, 100% to wheat</t>
  </si>
  <si>
    <t xml:space="preserve">Conventional</t>
  </si>
  <si>
    <t xml:space="preserve">Sub-optimal fertiliser tier, no residue/tillage contrast</t>
  </si>
  <si>
    <t xml:space="preserve">100F</t>
  </si>
  <si>
    <t xml:space="preserve">100% recommended NPK (120-26-33) to rice and wheat; all biomass removed</t>
  </si>
  <si>
    <t xml:space="preserve">Conventional rice + wheat, residue removed</t>
  </si>
  <si>
    <t xml:space="preserve">Medium (wheat tillage not described)</t>
  </si>
  <si>
    <t xml:space="preserve">50F + FYM</t>
  </si>
  <si>
    <t xml:space="preserve">50% NPK + 50% N through FYM to rice; 100% NPK wheat</t>
  </si>
  <si>
    <t xml:space="preserve">Amendment (FYM), rule 34</t>
  </si>
  <si>
    <t xml:space="preserve">50F + CR</t>
  </si>
  <si>
    <t xml:space="preserve">50% NPK + 50% N through wheat crop residue incorporated 1 month before rice; 100% NPK wheat</t>
  </si>
  <si>
    <t xml:space="preserve">Yes (wheat straw to rice)</t>
  </si>
  <si>
    <t xml:space="preserve">8.8-15.8 by site</t>
  </si>
  <si>
    <t xml:space="preserve">Straw return with fertiliser cut to offset -&gt; CTR FLAGGED (rule 62)</t>
  </si>
  <si>
    <t xml:space="preserve">Medium</t>
  </si>
  <si>
    <t xml:space="preserve">INCLUDED - FLAGGED</t>
  </si>
  <si>
    <t xml:space="preserve">50F + GM</t>
  </si>
  <si>
    <t xml:space="preserve">50% NPK + 50% N through Sesbania green manure to rice; 100% NPK wheat</t>
  </si>
  <si>
    <t xml:space="preserve">No (GM)</t>
  </si>
  <si>
    <t xml:space="preserve">Green manure in a conventional system - amendment; GM only supports CA (rule 71)</t>
  </si>
  <si>
    <t xml:space="preserve">Davari M.R. et al.</t>
  </si>
  <si>
    <t xml:space="preserve">RW-RR</t>
  </si>
  <si>
    <t xml:space="preserve">Rice-wheat, residue removed (organic, FYM 60 kg N)</t>
  </si>
  <si>
    <t xml:space="preserve">Puddled (offset disc)</t>
  </si>
  <si>
    <t xml:space="preserve">Heavy disc + disk &amp; plank x2</t>
  </si>
  <si>
    <t xml:space="preserve">Conventional in both phases</t>
  </si>
  <si>
    <t xml:space="preserve">RW-RI</t>
  </si>
  <si>
    <t xml:space="preserve">Rice-wheat, all residue incorporated</t>
  </si>
  <si>
    <t xml:space="preserve">Yes (incorporated)</t>
  </si>
  <si>
    <t xml:space="preserve">14.2-16.0 Mg DM/yr</t>
  </si>
  <si>
    <t xml:space="preserve">Conventional + residue incorporation</t>
  </si>
  <si>
    <t xml:space="preserve">RWM-RR</t>
  </si>
  <si>
    <t xml:space="preserve">Rice-wheat-mungbean, residue removed</t>
  </si>
  <si>
    <t xml:space="preserve">Conventional; summer mungbean in both RWM treatments (flag)</t>
  </si>
  <si>
    <t xml:space="preserve">RWM-RI</t>
  </si>
  <si>
    <t xml:space="preserve">Rice-wheat-mungbean, all residue incorporated</t>
  </si>
  <si>
    <t xml:space="preserve">17.8-19.7 Mg DM/yr</t>
  </si>
  <si>
    <t xml:space="preserve">Conventional + residue; mungbean in both (flag)</t>
  </si>
  <si>
    <t xml:space="preserve">Das B. et al.</t>
  </si>
  <si>
    <t xml:space="preserve">T1</t>
  </si>
  <si>
    <t xml:space="preserve">Unfertilised</t>
  </si>
  <si>
    <t xml:space="preserve">Dry tillage</t>
  </si>
  <si>
    <t xml:space="preserve">Unfertilised control</t>
  </si>
  <si>
    <t xml:space="preserve">T2</t>
  </si>
  <si>
    <t xml:space="preserve">Recommended NPK (+Zn rice) through fertilisers</t>
  </si>
  <si>
    <t xml:space="preserve">Dry tillage (conventional)</t>
  </si>
  <si>
    <t xml:space="preserve">Conventional, residue removed</t>
  </si>
  <si>
    <t xml:space="preserve">T3</t>
  </si>
  <si>
    <t xml:space="preserve">NPK + Zn + S</t>
  </si>
  <si>
    <t xml:space="preserve">Nutrient tier (S), no residue contrast</t>
  </si>
  <si>
    <t xml:space="preserve">T4</t>
  </si>
  <si>
    <t xml:space="preserve">75% NPK + 25% N via FYM (rice)</t>
  </si>
  <si>
    <t xml:space="preserve">Amendment (FYM)</t>
  </si>
  <si>
    <t xml:space="preserve">T5</t>
  </si>
  <si>
    <t xml:space="preserve">75% NPK + 25% N via sulphitation press mud (rice)</t>
  </si>
  <si>
    <t xml:space="preserve">Amendment (press mud)</t>
  </si>
  <si>
    <t xml:space="preserve">T6</t>
  </si>
  <si>
    <t xml:space="preserve">75% NPK + green gram residue before rice</t>
  </si>
  <si>
    <t xml:space="preserve">Green gram residue</t>
  </si>
  <si>
    <t xml:space="preserve">Third crop (green gram) in some treatments only (rule 30); GM only supports CA</t>
  </si>
  <si>
    <t xml:space="preserve">T7</t>
  </si>
  <si>
    <t xml:space="preserve">T6 + 75% NPK + 25% N via FYM (wheat)</t>
  </si>
  <si>
    <t xml:space="preserve">Third crop + FYM</t>
  </si>
  <si>
    <t xml:space="preserve">T8</t>
  </si>
  <si>
    <t xml:space="preserve">75% NPK + 25% N via wheat straw (rice) and rice straw (wheat)</t>
  </si>
  <si>
    <t xml:space="preserve">Dry tillage (straw incorporated)</t>
  </si>
  <si>
    <t xml:space="preserve">Yes (both crops)</t>
  </si>
  <si>
    <t xml:space="preserve">N-equivalent (61.5 + 47.7 Mg C over 18 yr)</t>
  </si>
  <si>
    <t xml:space="preserve">Straw return with fertiliser cut -&gt; CTR FLAGGED (rule 62)</t>
  </si>
  <si>
    <t xml:space="preserve">Naz A. et al.</t>
  </si>
  <si>
    <t xml:space="preserve">Control / NPK / GM100 / GM75 / GM50</t>
  </si>
  <si>
    <t xml:space="preserve">Rice-berseem; berseem GM with 100/75/50% RDF vs NPK and control</t>
  </si>
  <si>
    <t xml:space="preserve">No wheat (berseem)</t>
  </si>
  <si>
    <t xml:space="preserve">Not a rice-wheat tillage/residue study</t>
  </si>
  <si>
    <t xml:space="preserve">Dhaliwal J.K. et al.</t>
  </si>
  <si>
    <t xml:space="preserve">CTW-CTDSR (-M)</t>
  </si>
  <si>
    <t xml:space="preserve">CT wheat (disc + tyne harrow + plank) after CT dry-seeded rice, residue removed</t>
  </si>
  <si>
    <t xml:space="preserve">CT DSR</t>
  </si>
  <si>
    <t xml:space="preserve">Conventional both phases</t>
  </si>
  <si>
    <t xml:space="preserve">CTW+M-CTDSR</t>
  </si>
  <si>
    <t xml:space="preserve">As above + 7 t/ha rice residue mulch in wheat</t>
  </si>
  <si>
    <t xml:space="preserve">Yes (surface mulch)</t>
  </si>
  <si>
    <t xml:space="preserve">Conventional + residue</t>
  </si>
  <si>
    <t xml:space="preserve">ZTW-ZTDSR</t>
  </si>
  <si>
    <t xml:space="preserve">ZT wheat (Turbo Happy Seeder) after ZT DSR, residue removed</t>
  </si>
  <si>
    <t xml:space="preserve">ZT DSR</t>
  </si>
  <si>
    <t xml:space="preserve">Zero till both phases, no residue</t>
  </si>
  <si>
    <t xml:space="preserve">ZTW+M-ZTDSR</t>
  </si>
  <si>
    <t xml:space="preserve">ZT wheat + rice residue mulch after ZT DSR</t>
  </si>
  <si>
    <t xml:space="preserve">Zero till both phases + residue</t>
  </si>
  <si>
    <t xml:space="preserve">Singh V.K. et al.</t>
  </si>
  <si>
    <t xml:space="preserve">RW / PW x N x P</t>
  </si>
  <si>
    <t xml:space="preserve">Rice-wheat vs pigeonpea-wheat with 0/120 kg N and 0/26 kg P to wheat</t>
  </si>
  <si>
    <t xml:space="preserve">Puddled TPR / pigeonpea</t>
  </si>
  <si>
    <t xml:space="preserve">Crop substitution + fertiliser; no tillage/residue contrast</t>
  </si>
  <si>
    <t xml:space="preserve">Jat H.S. et al.</t>
  </si>
  <si>
    <t xml:space="preserve">Sc1</t>
  </si>
  <si>
    <t xml:space="preserve">Conventional rice-wheat, residues removed</t>
  </si>
  <si>
    <t xml:space="preserve">CT (broadcast)</t>
  </si>
  <si>
    <t xml:space="preserve">Sc2</t>
  </si>
  <si>
    <t xml:space="preserve">Partial CA: puddled TPR + ZT wheat + ZT mungbean, rice stubble retained</t>
  </si>
  <si>
    <t xml:space="preserve">ZT (drill)</t>
  </si>
  <si>
    <t xml:space="preserve">Yes (anchored stubble 4.1-12.7)</t>
  </si>
  <si>
    <t xml:space="preserve">4.1-12.7</t>
  </si>
  <si>
    <t xml:space="preserve">Puddled rice + ZT wheat with residue (rule 68); mungbean flag</t>
  </si>
  <si>
    <t xml:space="preserve">Sc3</t>
  </si>
  <si>
    <t xml:space="preserve">Full CA: ZT DSR + ZT wheat + ZT mungbean, residues retained</t>
  </si>
  <si>
    <t xml:space="preserve">Yes (surface)</t>
  </si>
  <si>
    <t xml:space="preserve">3.7-10.2 rice</t>
  </si>
  <si>
    <t xml:space="preserve">Zero till both phases + residue; mungbean flag</t>
  </si>
  <si>
    <t xml:space="preserve">Sc4</t>
  </si>
  <si>
    <t xml:space="preserve">CA maize-wheat-mungbean</t>
  </si>
  <si>
    <t xml:space="preserve">Yes</t>
  </si>
  <si>
    <t xml:space="preserve">Maize-wheat system</t>
  </si>
  <si>
    <t xml:space="preserve">Sc1 / Sc2 / Sc3 / Sc4</t>
  </si>
  <si>
    <t xml:space="preserve">As 23 (companion 3)</t>
  </si>
  <si>
    <t xml:space="preserve">CT / pCA / CA / EXCLUDED</t>
  </si>
  <si>
    <t xml:space="preserve">Same trial</t>
  </si>
  <si>
    <t xml:space="preserve">Meena A.L. et al.</t>
  </si>
  <si>
    <t xml:space="preserve">FYM / VC</t>
  </si>
  <si>
    <t xml:space="preserve">Organic manure only (60 kg N/ha)</t>
  </si>
  <si>
    <t xml:space="preserve">Puddled TPR (project)</t>
  </si>
  <si>
    <t xml:space="preserve">Conventional (project)</t>
  </si>
  <si>
    <t xml:space="preserve">Conventional, no residue</t>
  </si>
  <si>
    <t xml:space="preserve">Medium (tillage from Davari 2012)</t>
  </si>
  <si>
    <t xml:space="preserve">FYM + CR / VC + CR</t>
  </si>
  <si>
    <t xml:space="preserve">Manure + 3 t/ha preceding-crop residue</t>
  </si>
  <si>
    <t xml:space="preserve">Conventional + residue (row a)</t>
  </si>
  <si>
    <t xml:space="preserve">FYM + CR + BF / VC + CR + BF</t>
  </si>
  <si>
    <t xml:space="preserve">As above + biofertilisers (BGA, PSB, Azotobacter, cellulolytic culture)</t>
  </si>
  <si>
    <t xml:space="preserve">Row b, biofertiliser flag (rule 20)</t>
  </si>
  <si>
    <t xml:space="preserve">No organics</t>
  </si>
  <si>
    <t xml:space="preserve">Zhang Y.-P. et al.</t>
  </si>
  <si>
    <t xml:space="preserve">CN</t>
  </si>
  <si>
    <t xml:space="preserve">Continuous no-till dry direct-seeded rice + no-till wheat, full straw return</t>
  </si>
  <si>
    <t xml:space="preserve">full</t>
  </si>
  <si>
    <t xml:space="preserve">Plough + rotary + puddled transplanted rice; no-till wheat; full straw return</t>
  </si>
  <si>
    <t xml:space="preserve">Puddled TPR (plough + rotary)</t>
  </si>
  <si>
    <t xml:space="preserve">Puddled rice + ZT wheat with residue (rule 68)</t>
  </si>
  <si>
    <t xml:space="preserve">RT</t>
  </si>
  <si>
    <t xml:space="preserve">No-till 2017-18, plough 2019 before rice; no-till wheat</t>
  </si>
  <si>
    <t xml:space="preserve">Rotational</t>
  </si>
  <si>
    <t xml:space="preserve">Alternate / rotational tillage</t>
  </si>
  <si>
    <t xml:space="preserve">Notes</t>
  </si>
  <si>
    <t xml:space="preserve">Ludhiana</t>
  </si>
  <si>
    <t xml:space="preserve">India (Uttarakhand (then Uttar Pradesh))</t>
  </si>
  <si>
    <t xml:space="preserve">Pantnagar</t>
  </si>
  <si>
    <t xml:space="preserve">29 deg N</t>
  </si>
  <si>
    <t xml:space="preserve">79 deg 5'E</t>
  </si>
  <si>
    <t xml:space="preserve">GBPUAT Pantnagar ~29.02 N, 79.48 E; printed 79 deg 5'E</t>
  </si>
  <si>
    <t xml:space="preserve">Kanpur</t>
  </si>
  <si>
    <t xml:space="preserve">26 deg 58'N</t>
  </si>
  <si>
    <t xml:space="preserve">80 deg 34'E</t>
  </si>
  <si>
    <t xml:space="preserve">Faizabad</t>
  </si>
  <si>
    <t xml:space="preserve">26 deg 4'N</t>
  </si>
  <si>
    <t xml:space="preserve">82 deg 8'E</t>
  </si>
  <si>
    <t xml:space="preserve">Printed coords ~50 km from NDUAT Kumarganj (26.54 N, 81.84 E) - kept as printed</t>
  </si>
  <si>
    <t xml:space="preserve">India (Bihar)</t>
  </si>
  <si>
    <t xml:space="preserve">Sabour</t>
  </si>
  <si>
    <t xml:space="preserve">25 deg 14'N</t>
  </si>
  <si>
    <t xml:space="preserve">87 deg 4'E</t>
  </si>
  <si>
    <t xml:space="preserve">India (West Bengal)</t>
  </si>
  <si>
    <t xml:space="preserve">Kalyani</t>
  </si>
  <si>
    <t xml:space="preserve">23 deg N</t>
  </si>
  <si>
    <t xml:space="preserve">89 deg E</t>
  </si>
  <si>
    <t xml:space="preserve">Printed to whole degrees; BCKV Kalyani ~22.98 N, 88.43 E</t>
  </si>
  <si>
    <t xml:space="preserve">India (Madhya Pradesh)</t>
  </si>
  <si>
    <t xml:space="preserve">Jabalpur</t>
  </si>
  <si>
    <t xml:space="preserve">23 deg 10'N</t>
  </si>
  <si>
    <t xml:space="preserve">79 deg 57'E</t>
  </si>
  <si>
    <t xml:space="preserve">IARI, New Delhi</t>
  </si>
  <si>
    <t xml:space="preserve">PDFSR Modipuram, Meerut</t>
  </si>
  <si>
    <t xml:space="preserve">Khushab / Faisalabad</t>
  </si>
  <si>
    <t xml:space="preserve">Not given (study excluded)</t>
  </si>
  <si>
    <t xml:space="preserve">EXCLUDED study</t>
  </si>
  <si>
    <t xml:space="preserve">PAU, Ludhiana</t>
  </si>
  <si>
    <t xml:space="preserve">PDCSR Modipuram, Meerut</t>
  </si>
  <si>
    <t xml:space="preserve">Not entered (study excluded)</t>
  </si>
  <si>
    <t xml:space="preserve">ICAR-CSSRI, Karnal</t>
  </si>
  <si>
    <t xml:space="preserve">29 deg 70'N</t>
  </si>
  <si>
    <t xml:space="preserve">76 deg 96'E</t>
  </si>
  <si>
    <t xml:space="preserve">Printed minutes &gt; 59 - read as decimals (as old-master 23)</t>
  </si>
  <si>
    <t xml:space="preserve">76 deg 95'E</t>
  </si>
  <si>
    <t xml:space="preserve">Taoluo Town, Rizhao</t>
  </si>
  <si>
    <t xml:space="preserve">Approximate (town centre)</t>
  </si>
  <si>
    <t xml:space="preserve">Paper gives no coordinates</t>
  </si>
  <si>
    <t xml:space="preserve">BD_DT</t>
  </si>
  <si>
    <t xml:space="preserve">BD_MTR</t>
  </si>
  <si>
    <t xml:space="preserve">BD_MT</t>
  </si>
  <si>
    <t xml:space="preserve">BD_CTR</t>
  </si>
  <si>
    <t xml:space="preserve">BD_DTR</t>
  </si>
  <si>
    <t xml:space="preserve">BD_pCA</t>
  </si>
  <si>
    <t xml:space="preserve">BD_pZT</t>
  </si>
  <si>
    <t xml:space="preserve">BD_pMT</t>
  </si>
  <si>
    <t xml:space="preserve">BD_pMTR</t>
  </si>
  <si>
    <t xml:space="preserve">LATT</t>
  </si>
  <si>
    <t xml:space="preserve">YEAR OF DATA (duration)</t>
  </si>
  <si>
    <t xml:space="preserve">Crop/season of sampling</t>
  </si>
  <si>
    <t xml:space="preserve">Fertilizer dose &amp; other management</t>
  </si>
  <si>
    <t xml:space="preserve">Treatment details (from paper)</t>
  </si>
  <si>
    <t xml:space="preserve">Method used (from paper)</t>
  </si>
  <si>
    <t xml:space="preserve">UNIT FOR THIS SHEET:</t>
  </si>
  <si>
    <t xml:space="preserve">0-15 cm</t>
  </si>
  <si>
    <t xml:space="preserve">CTW-CTDSR (-M) -&gt; CT ; CTW+M-CTDSR -&gt; CTR ; ZTW-ZTDSR -&gt; ZT ; ZTW+M-ZTDSR -&gt; CA</t>
  </si>
  <si>
    <t xml:space="preserve">RICE SEASON - soil sampled in 2016 after rice harvest (no wheat-season sampling in the paper)</t>
  </si>
  <si>
    <t xml:space="preserve">Fertiliser, water and pest management as PAU recommendations (doses not printed; see Gupta et al. 2016 FCR 196:219). Wheat PBW 621, 113 kg/ha, Turbo Happy Seeder, 20 cm rows; rice PR 115 DSR 40 kg/ha, 20 cm rows. +M: 7 t/ha rice residue spread between rows after wheat sowing (2.5 t/ha left at wheat harvest). Wheat straw removed in all plots. Surface soil pH 7.4 (1:2), EC 0.31 dS/m (1:2); Typic Ustochrept, sandy loam to 120 cm.</t>
  </si>
  <si>
    <t xml:space="preserve">Table 5</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</si>
  <si>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LSD (0-15) T 0.02, M 0.02, TxM 0.03; (15-30) T 0.03.</t>
  </si>
  <si>
    <t xml:space="preserve">Core method (Blake &amp; Hartge 1986), steel core 5 cm high x 5 cm i.d., 3 cores/plot</t>
  </si>
  <si>
    <t xml:space="preserve">15-30 CM</t>
  </si>
  <si>
    <t xml:space="preserve">15-30 cm</t>
  </si>
  <si>
    <t xml:space="preserve">2007-08</t>
  </si>
  <si>
    <t xml:space="preserve">RW-RR -&gt; CT ; RW-RI -&gt; CTR</t>
  </si>
  <si>
    <t xml:space="preserve">After completion of two cycles (June 2008, after wheat / fallow)</t>
  </si>
  <si>
    <t xml:space="preserve">ORGANIC: FYM equivalent to 60 kg N/ha to rice and to wheat (FYM ~0.61% N, 22-23 C:N), no mineral fertiliser; BGA 1.5 kg/ha in rice 20 DAT; Azotobacter + PSB seed inoculation of wheat; cellulolytic fungal culture 600 g/t sprayed on residue in RI plots only. RI residue added (Mg DM/ha): RW 14.2 (2006-07), 16.0 (2007-08); RWM 17.8, 19.7. Initial soil: SCL, EC 0.79 dS/m, CEC 14.73 cmol/kg, OC 5.2 g/kg, Kjeldahl N 580 mg/kg, Olsen P 8.42, NH4OAc K 187 mg/kg, BD 1.50, FC 24.57%.</t>
  </si>
  <si>
    <t xml:space="preserve">Table 9</t>
  </si>
  <si>
    <t xml:space="preserve">LSD residue 0.04.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</si>
  <si>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Core method (Veihmeyer &amp; Hendrickson 1948), oven-dry 105 C 48 h</t>
  </si>
  <si>
    <t xml:space="preserve">RWM-RR -&gt; CT ; RWM-RI -&gt; CTR</t>
  </si>
  <si>
    <t xml:space="preserve">After completion of two cycles (June 2008, after wheat and mungbean)</t>
  </si>
  <si>
    <t xml:space="preserve">LSD residue 0.04. GREEN MANURE / 3rd CROP: summer mungbean in BOTH treatments of this row (pods picked, residue incorporated in RI only).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</si>
  <si>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0-10 cm</t>
  </si>
  <si>
    <t xml:space="preserve">CN (NT dry DSR + NT wheat, straw returned) -&gt; CA ; PR (plough + rotary + puddled transplanted rice, NT wheat, straw returned) -&gt; pCA ; RT -&gt; EXCLUDED</t>
  </si>
  <si>
    <t xml:space="preserve">Wheat season - after the 2018 wheat harvest (ring knife 100 cm3)</t>
  </si>
  <si>
    <t xml:space="preserve">Rice: 600 kg/ha slow-release 25-10-10 (deep-placed at sowing in CN; at ploughing in PR) + 300 kg/ha compound 53-10-30 later; KH2PO4 0.3% foliar x2. Wheat: N 225, P2O5 180, K2O 25 kg/ha deep-placed at sowing (all). Rice Linhan 1 (125 d), 127.5 kg seed/ha in 12 cm wide belts (CN); PR transplanted 10 July. CN: intermittent / alternate wet-dry irrigation; PR: traditional flooding. Paddy soil; initial TN 0.95 g/kg, alkali-N 82.43, Olsen P 34.30, K 73.10 mg/kg (0-30 cm), BD 1.423.</t>
  </si>
  <si>
    <t xml:space="preserve">Fig. 3 (digitised)</t>
  </si>
  <si>
    <t xml:space="preserve">Year-wise (rule 37). DIGITISED from Fig. 3a; 2020 values reproduce the printed differences (0-10 cm RT 0.037/0.064 below CN/PR; 20-30 cm 0.056/0.051). 2017 point = before the first treated rice (all ~equal), not entered. RT (excluded) 2018-2020: 1.377/1.378/1.345.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</si>
  <si>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Ring-knife (100 cm3) drying-weighing method</t>
  </si>
  <si>
    <t xml:space="preserve">Wheat season - after the 2019 wheat harvest (ring knife 100 cm3)</t>
  </si>
  <si>
    <t xml:space="preserve">Wheat season - after the 2020 wheat harvest (ring knife 100 cm3)</t>
  </si>
  <si>
    <t xml:space="preserve">10-20 cm</t>
  </si>
  <si>
    <t xml:space="preserve">Year-wise (rule 37). DIGITISED from Fig. 3b; 2020 values reproduce the printed differences (0-10 cm RT 0.037/0.064 below CN/PR; 20-30 cm 0.056/0.051). 2017 point = before the first treated rice (all ~equal), not entered. RT (excluded) 2018-2020: 1.420/1.416/1.412.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</si>
  <si>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20-30 cm</t>
  </si>
  <si>
    <t xml:space="preserve">Year-wise (rule 37). DIGITISED from Fig. 3c; 2020 values reproduce the printed differences (0-10 cm RT 0.037/0.064 below CN/PR; 20-30 cm 0.056/0.051). 2017 point = before the first treated rice (all ~equal), not entered. RT (excluded) 2018-2020: 1.492/1.476/1.478.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</si>
  <si>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2015-16</t>
  </si>
  <si>
    <t xml:space="preserve">RWMCS: FYM -&gt; CT ; FYM + CR -&gt; CTR (row a)</t>
  </si>
  <si>
    <t xml:space="preserve">RICE SEASON - surface soil after rice harvest, after the 12th cropping cycle (2015-16)</t>
  </si>
  <si>
    <t xml:space="preserve">ORGANIC: FYM or vermicompost equivalent to 60 kg N/ha to rice and to wheat; CR = preceding-crop residue 3 t/ha to each crop; mungbean on residual fertility (RWMCS), its residue to the next rice. Varieties: Pusa Basmati 1121, HD 2967, Pusa Vishal. Initial soil SCL, BD 1.50, WHC 36.4%, MWD 0.472, pH 8.45, EC 0.79, CEC 14.7, OC 5.10 g/kg, avail. N 163.7 kg/ha, Olsen P 8.42 mg/kg.</t>
  </si>
  <si>
    <t xml:space="preserve">Table 4</t>
  </si>
  <si>
    <t xml:space="preserve">RICE-SEASON DATA (RED ROW): soil sampled only after rice harvest . ROW a: RWMCS FYM (CT) vs FYM+CR (CTR). Obs = 2 (T=2 paper treatments under CTR: FYM+CR and FYM+CR+BF). GREEN MANURE / 3rd CROP: mungbean in BOTH treatments of this row (residue to rice). Control (excluded): 1.58.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</si>
  <si>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Core method (Veihmeyer &amp; Hendrickson 1948)</t>
  </si>
  <si>
    <t xml:space="preserve">RWMCS: FYM -&gt; CT ; FYM + CR + BF -&gt; CTR (row b, biofertiliser flag)</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</si>
  <si>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1.58.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</si>
  <si>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RWMCS: VC -&gt; CT ; VC + CR -&gt; CTR (row a)</t>
  </si>
  <si>
    <t xml:space="preserve">RICE-SEASON DATA (RED ROW): soil sampled only after rice harvest . ROW a: RWMCS VC (CT) vs VC+CR (CTR). Obs = 2 (T=2 paper treatments under CTR: VC+CR and VC+CR+BF). GREEN MANURE / 3rd CROP: mungbean in BOTH treatments of this row (residue to rice). Control (excluded): 1.58.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</si>
  <si>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RWMCS: VC -&gt; CT ; VC + CR + BF -&gt; CTR (row b, biofertiliser flag)</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</si>
  <si>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1.58.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</si>
  <si>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RWCS: FYM -&gt; CT ; FYM + CR -&gt; CTR (row a)</t>
  </si>
  <si>
    <t xml:space="preserve">RICE-SEASON DATA (RED ROW): soil sampled only after rice harvest . ROW a: RWCS FYM (CT) vs FYM+CR (CTR). Obs = 2 (T=2 paper treatments under CTR: FYM+CR and FYM+CR+BF). Control (excluded): 1.6.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</si>
  <si>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RWCS: FYM -&gt; CT ; FYM + CR + BF -&gt; CTR (row b, biofertiliser flag)</t>
  </si>
  <si>
    <t xml:space="preserve">RICE-SEASON DATA (RED ROW): soil sampled only after rice harvest . ROW b: RWCS FYM (CT) vs FYM+CR+BF (CTR). Obs = 2 (T=2 paper treatments under CTR: FYM+CR and FYM+CR+BF). FLAG: biofertiliser inoculation confounded with residue. Control (excluded): 1.6.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</si>
  <si>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RWCS: VC -&gt; CT ; VC + CR -&gt; CTR (row a)</t>
  </si>
  <si>
    <t xml:space="preserve">RICE-SEASON DATA (RED ROW): soil sampled only after rice harvest . ROW a: RWCS VC (CT) vs VC+CR (CTR). Obs = 2 (T=2 paper treatments under CTR: VC+CR and VC+CR+BF). Control (excluded): 1.6.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</si>
  <si>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RWCS: VC -&gt; CT ; VC + CR + BF -&gt; CTR (row b, biofertiliser flag)</t>
  </si>
  <si>
    <t xml:space="preserve">RICE-SEASON DATA (RED ROW): soil sampled only after rice harvest . ROW b: RWCS VC (CT) vs VC+CR+BF (CTR). Obs = 2 (T=2 paper treatments under CTR: VC+CR and VC+CR+BF). FLAG: biofertiliser inoculation confounded with residue. Control (excluded): 1.6.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</si>
  <si>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PD_CA</t>
  </si>
  <si>
    <t xml:space="preserve">PD_CT</t>
  </si>
  <si>
    <t xml:space="preserve">PD_ZT</t>
  </si>
  <si>
    <t xml:space="preserve">PD_DT</t>
  </si>
  <si>
    <t xml:space="preserve">PD_MTR</t>
  </si>
  <si>
    <t xml:space="preserve">PD_MT</t>
  </si>
  <si>
    <t xml:space="preserve">PD_CTR</t>
  </si>
  <si>
    <t xml:space="preserve">PD_DTR</t>
  </si>
  <si>
    <t xml:space="preserve">PD_pCA</t>
  </si>
  <si>
    <t xml:space="preserve">PD_pZT</t>
  </si>
  <si>
    <t xml:space="preserve">PD_pMT</t>
  </si>
  <si>
    <t xml:space="preserve">PD_pMTR</t>
  </si>
  <si>
    <t xml:space="preserve">Pdi</t>
  </si>
  <si>
    <t xml:space="preserve">POROSITY_CA</t>
  </si>
  <si>
    <t xml:space="preserve">POROSITY_CT</t>
  </si>
  <si>
    <t xml:space="preserve">POROSITY_ZT</t>
  </si>
  <si>
    <t xml:space="preserve">POROSITY_DT</t>
  </si>
  <si>
    <t xml:space="preserve">POROSITY_MTR</t>
  </si>
  <si>
    <t xml:space="preserve">POROSITY_MT</t>
  </si>
  <si>
    <t xml:space="preserve">POROSITY_CTR</t>
  </si>
  <si>
    <t xml:space="preserve">POROSITY_DTR</t>
  </si>
  <si>
    <t xml:space="preserve">POROSITY_pCA</t>
  </si>
  <si>
    <t xml:space="preserve">POROSITY_pZT</t>
  </si>
  <si>
    <t xml:space="preserve">POROSITY_pMT</t>
  </si>
  <si>
    <t xml:space="preserve">POROSITY_pMTR</t>
  </si>
  <si>
    <t xml:space="preserve">DERIVED from Table 5 BD</t>
  </si>
  <si>
    <t xml:space="preserve">DERIVED (rule 73): porosity = (1 - treatment BD / PD) x 100, live link to the BD row; no treatment or initial PD in the paper -&gt; PD = 2.65 Mg/m3 (default, flag).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</si>
  <si>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Porosity = (1 - BD/PD) x 100</t>
  </si>
  <si>
    <t xml:space="preserve">% v/v (printed)</t>
  </si>
  <si>
    <t xml:space="preserve">PRINTED porosity (paper derived it from BD and PD; values reproduce PD = 2.65). LSD residue 1.46.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</si>
  <si>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Porosity = (1 - BD/PD) x 100 (authors' calculation)</t>
  </si>
  <si>
    <t xml:space="preserve">PRINTED porosity (paper derived it from BD and PD; values reproduce PD = 2.65). LSD residue 1.46. GREEN MANURE / 3rd CROP: summer mungbean in BOTH treatments of this row (pods picked, residue incorporated in RI only).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</si>
  <si>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DERIVED from Fig. 3 BD</t>
  </si>
  <si>
    <t xml:space="preserve">DERIVED (rule 73): no PD in the paper -&gt; 2.65 Mg/m3 (flag).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</si>
  <si>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DERIVED from Table 4 BD</t>
  </si>
  <si>
    <t xml:space="preserve">DERIVED (rule 73): PD not reported -&gt; 2.65 (flag). ROW a: RWMCS FYM (CT) vs FYM+CR (CTR). Obs = 2 (T=2 paper treatments under CTR: FYM+CR and FYM+CR+BF). GREEN MANURE / 3rd CROP: mungbean in BOTH treatments of this row (residue to rice).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</si>
  <si>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DERIVED (rule 73): PD not reported -&gt; 2.65 (flag). ROW b: RWMCS FYM (CT) vs FYM+CR+BF (CTR). Obs = 2 (T=2 paper treatments under CTR: FYM+CR and FYM+CR+BF). FLAG: biofertiliser inoculation confounded with residue. GREEN MANURE / 3rd CROP: mungbean in BOTH treatments of this row (residue to rice).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</si>
  <si>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DERIVED (rule 73): PD not reported -&gt; 2.65 (flag). ROW a: RWMCS VC (CT) vs VC+CR (CTR). Obs = 2 (T=2 paper treatments under CTR: VC+CR and VC+CR+BF). GREEN MANURE / 3rd CROP: mungbean in BOTH treatments of this row (residue to rice).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</si>
  <si>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DERIVED (rule 73): PD not reported -&gt; 2.65 (flag). ROW b: RWMCS VC (CT) vs VC+CR+BF (CTR). Obs = 2 (T=2 paper treatments under CTR: VC+CR and VC+CR+BF). FLAG: biofertiliser inoculation confounded with residue. GREEN MANURE / 3rd CROP: mungbean in BOTH treatments of this row (residue to rice).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</si>
  <si>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DERIVED (rule 73): PD not reported -&gt; 2.65 (flag). ROW a: RWCS FYM (CT) vs FYM+CR (CTR). Obs = 2 (T=2 paper treatments under CTR: FYM+CR and FYM+CR+BF).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</si>
  <si>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DERIVED (rule 73): PD not reported -&gt; 2.65 (flag). ROW b: RWCS FYM (CT) vs FYM+CR+BF (CTR). Obs = 2 (T=2 paper treatments under CTR: FYM+CR and FYM+CR+BF). FLAG: biofertiliser inoculation confounded with residue.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</si>
  <si>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DERIVED (rule 73): PD not reported -&gt; 2.65 (flag). ROW a: RWCS VC (CT) vs VC+CR (CTR). Obs = 2 (T=2 paper treatments under CTR: VC+CR and VC+CR+BF).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</si>
  <si>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DERIVED (rule 73): PD not reported -&gt; 2.65 (flag). ROW b: RWCS VC (CT) vs VC+CR+BF (CTR). Obs = 2 (T=2 paper treatments under CTR: VC+CR and VC+CR+BF). FLAG: biofertiliser inoculation confounded with residue.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</si>
  <si>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MACROPORE_CA</t>
  </si>
  <si>
    <t xml:space="preserve">MACROPORE_CT</t>
  </si>
  <si>
    <t xml:space="preserve">MACROPORE_ZT</t>
  </si>
  <si>
    <t xml:space="preserve">MACROPORE_DT</t>
  </si>
  <si>
    <t xml:space="preserve">MACROPORE_MTR</t>
  </si>
  <si>
    <t xml:space="preserve">MACROPORE_MT</t>
  </si>
  <si>
    <t xml:space="preserve">MACROPORE_CTR</t>
  </si>
  <si>
    <t xml:space="preserve">MACROPORE_DTR</t>
  </si>
  <si>
    <t xml:space="preserve">MACROPORE_pCA</t>
  </si>
  <si>
    <t xml:space="preserve">MACROPORE_pZT</t>
  </si>
  <si>
    <t xml:space="preserve">MACROPORE_pMT</t>
  </si>
  <si>
    <t xml:space="preserve">MACROPORE_pMTR</t>
  </si>
  <si>
    <t xml:space="preserve">MESOPORE_CA</t>
  </si>
  <si>
    <t xml:space="preserve">MESOPORE_CT</t>
  </si>
  <si>
    <t xml:space="preserve">MESOPORE_ZT</t>
  </si>
  <si>
    <t xml:space="preserve">MESOPORE_DT</t>
  </si>
  <si>
    <t xml:space="preserve">MESOPORE_MTR</t>
  </si>
  <si>
    <t xml:space="preserve">MESOPORE_MT</t>
  </si>
  <si>
    <t xml:space="preserve">MESOPORE_CTR</t>
  </si>
  <si>
    <t xml:space="preserve">MESOPORE_DTR</t>
  </si>
  <si>
    <t xml:space="preserve">MESOPORE_pCA</t>
  </si>
  <si>
    <t xml:space="preserve">MESOPORE_pZT</t>
  </si>
  <si>
    <t xml:space="preserve">MESOPORE_pMT</t>
  </si>
  <si>
    <t xml:space="preserve">MESOPORE_pMTR</t>
  </si>
  <si>
    <t xml:space="preserve">MICROPORE_CA</t>
  </si>
  <si>
    <t xml:space="preserve">MICROPORE_CT</t>
  </si>
  <si>
    <t xml:space="preserve">MICROPORE_ZT</t>
  </si>
  <si>
    <t xml:space="preserve">MICROPORE_DT</t>
  </si>
  <si>
    <t xml:space="preserve">MICROPORE_MTR</t>
  </si>
  <si>
    <t xml:space="preserve">MICROPORE_MT</t>
  </si>
  <si>
    <t xml:space="preserve">MICROPORE_CTR</t>
  </si>
  <si>
    <t xml:space="preserve">MICROPORE_DTR</t>
  </si>
  <si>
    <t xml:space="preserve">MICROPORE_pCA</t>
  </si>
  <si>
    <t xml:space="preserve">MICROPORE_pZT</t>
  </si>
  <si>
    <t xml:space="preserve">MICROPORE_pMT</t>
  </si>
  <si>
    <t xml:space="preserve">MICROPORE_pMTR</t>
  </si>
  <si>
    <t xml:space="preserve">MWD_CA</t>
  </si>
  <si>
    <t xml:space="preserve">MWD_CT</t>
  </si>
  <si>
    <t xml:space="preserve">MWD_ZT</t>
  </si>
  <si>
    <t xml:space="preserve">MWD_DT</t>
  </si>
  <si>
    <t xml:space="preserve">MWD_MTR</t>
  </si>
  <si>
    <t xml:space="preserve">MWD_MT</t>
  </si>
  <si>
    <t xml:space="preserve">MWD_CTR</t>
  </si>
  <si>
    <t xml:space="preserve">MWD_DTR</t>
  </si>
  <si>
    <t xml:space="preserve">MWD_pCA</t>
  </si>
  <si>
    <t xml:space="preserve">MWD_pZT</t>
  </si>
  <si>
    <t xml:space="preserve">MWD_pMT</t>
  </si>
  <si>
    <t xml:space="preserve">MWD_pMTR</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</si>
  <si>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LSD (0-15) T 0.23, M 0.23, TxM 0.30; (15-30) T 0.09.</t>
  </si>
  <si>
    <t xml:space="preserve">Wet sieving, Yoder apparatus (Kemper &amp; Rosenau 1986): 50 g air-dry 5-8 mm aggregates, capillary pre-wetting 10 min, sieves 2, 1, 0.5, 0.25, 0.1 mm, 30 min at 30 osc/min; sand-corrected (Na-hexametaphosphate); MWD = sum(di*wi)/sum(wi) (Youker &amp; McGuinness 1957)</t>
  </si>
  <si>
    <t xml:space="preserve">0-7.5 cm</t>
  </si>
  <si>
    <t xml:space="preserve">mm (wet sieving, SLAKED pre-treatment)</t>
  </si>
  <si>
    <t xml:space="preserve">T2 (100% NPK, residues removed) -&gt; CT ; T8 (75% NPK + 25% N via crop residue, both crops) -&gt; CTR [FLAG: fertiliser offset]</t>
  </si>
  <si>
    <t xml:space="preserve">Wheat season - sampled 14 May 2011 after wheat harvest (18th year)</t>
  </si>
  <si>
    <t xml:space="preserve">T2: 120-26-33 kg N-P-K/ha to rice and wheat + Zn 5 kg/ha to rice. T8: 75% of NPK + 25% of N through wheat straw (rice) and rice straw (wheat); 1993-2011 organic C added by CR 61.54 (rice) + 47.72 (wheat) Mg C/ha; total C input T2 40.54, T8 154.36 Mg C/ha. Rice continuous submergence; wheat 5 irrigations. Initial soil: SL, EC 0.4 dS/m, Olsen P 16.4, avail. K 96, S 14.5 kg/ha, WHC 42%.</t>
  </si>
  <si>
    <t xml:space="preserve">Fig. 2a (digitised)</t>
  </si>
  <si>
    <t xml:space="preserve">SLAKED aggregates (fast wetting). DIGITISED from the raster Fig. 2a (approx.).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</si>
  <si>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Wet sieving after slaking (rapid immersion), Kemper &amp; Rosenau (1986) MWD</t>
  </si>
  <si>
    <t xml:space="preserve">mm (wet sieving, CAPILLARY-REWETTED pre-treatment)</t>
  </si>
  <si>
    <t xml:space="preserve">Fig. 2b (digitised)</t>
  </si>
  <si>
    <t xml:space="preserve">CAPILLARY-REWETTED (slow-wetting) pre-treatment - second MWD of the same soil; filter on this flag to keep one MWD per study. DIGITISED from Fig. 2b (approx.).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</si>
  <si>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Wet sieving after capillary re-wetting to field capacity (slow wetting)</t>
  </si>
  <si>
    <t xml:space="preserve">7.5-15 cm</t>
  </si>
  <si>
    <t xml:space="preserve">SLAKED aggregates (fast wetting). DIGITISED from the raster Fig. 2a (approx.).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</si>
  <si>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CAPILLARY-REWETTED (slow-wetting) pre-treatment - second MWD of the same soil; filter on this flag to keep one MWD per study. DIGITISED from Fig. 2b (approx.).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</si>
  <si>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Wheat season - after three years of the tillage patterns (2020 wheat harvest assumed)</t>
  </si>
  <si>
    <t xml:space="preserve">Table 2</t>
  </si>
  <si>
    <t xml:space="preserve">Mechanically (dry) stable R&gt;0.25: CN 77.41, PR 64.53 %; aggregate disruption K: CN 59.39, PR 65.32 %.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</si>
  <si>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Wet sieving; MWD</t>
  </si>
  <si>
    <t xml:space="preserve">Mechanically (dry) stable R&gt;0.25: CN 68.62, PR 70.12 %; aggregate disruption K: CN 61.73, PR 60.24 %.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</si>
  <si>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Mechanically (dry) stable R&gt;0.25: CN 63.86, PR 55.76 %; aggregate disruption K: CN 65.19, PR 66.25 %.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</si>
  <si>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Sc1 -&gt; CT ; Sc2 (puddled TPR + ZT wheat + ZT mungbean, residue) -&gt; pCA ; Sc3 (ZT DSR + ZT wheat + ZT mungbean, residue) -&gt; CA ; Sc4 maize -&gt; EXCLUDED</t>
  </si>
  <si>
    <t xml:space="preserve">RICE SEASON - after rice harvest, October 2013 (4 years)</t>
  </si>
  <si>
    <t xml:space="preserve">Sc1: rice 175-58-0, wheat 150-58-0 kg N-P-K/ha (farmers' practice, continuous flooding). Sc2/Sc3: wheat 151-64-32; rice 151-58-60 (Sc2), 162-64-62 (Sc3); tensiometer-based irrigation (Sc2 TPR -40/-50 kPa after 15-20 d flooding; Sc3 DSR -20/-30 kPa). Mungbean unfertilised. Reclaimed alkali loam (Typic Natrustalf).</t>
  </si>
  <si>
    <t xml:space="preserve">RICE-SEASON DATA (RED ROW): soil sampled only after rice harvest (October). Not on a sheet (Sc1/Sc2/Sc3): AS 22.42/32.61/41.54 %, AR 0.79/1.83/4.62.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</si>
  <si>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Wet sieving (Yoder 1936), 100 g of 5-8 mm aggregates, 2 min slaking, 30 min at 50 cycles/min; sand-corrected</t>
  </si>
  <si>
    <t xml:space="preserve">RICE-SEASON DATA (RED ROW): soil sampled only after rice harvest (October). Not on a sheet (Sc1/Sc2/Sc3): AS 18.49/17.69/14.32 %, AR 0.56/0.55/0.39.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</si>
  <si>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RICE SEASON - after rice harvest, October 2015 (6 years)</t>
  </si>
  <si>
    <t xml:space="preserve">RICE-SEASON DATA (RED ROW): soil sampled only after rice harvest (October). Not on a sheet (Sc1/Sc2/Sc3): AS 24.00/42.92/45.74 %, AR 0.89/6.00/7.97.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</si>
  <si>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RICE-SEASON DATA (RED ROW): soil sampled only after rice harvest (October). Not on a sheet (Sc1/Sc2/Sc3): AS 20.88/31.24/25.55 %, AR 0.69/1.64/0.99.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</si>
  <si>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RICE-SEASON DATA (RED ROW): soil sampled only after rice harvest . ROW a: RWMCS FYM (CT) vs FYM+CR (CTR). Obs = 2 (T=2 paper treatments under CTR: FYM+CR and FYM+CR+BF). GREEN MANURE / 3rd CROP: mungbean in BOTH treatments of this row (residue to rice). Control (excluded): 0.52.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</si>
  <si>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Wet sieving, Yoder (1936)</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</si>
  <si>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0.52.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</si>
  <si>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0.52.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</si>
  <si>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0.52.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</si>
  <si>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0.49.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</si>
  <si>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0.49.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</si>
  <si>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0.49.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</si>
  <si>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0.49.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</si>
  <si>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MWDA_CA</t>
  </si>
  <si>
    <t xml:space="preserve">MWDA_CT</t>
  </si>
  <si>
    <t xml:space="preserve">MWDA_ZT</t>
  </si>
  <si>
    <t xml:space="preserve">MWDA_DT</t>
  </si>
  <si>
    <t xml:space="preserve">MWDA_MTR</t>
  </si>
  <si>
    <t xml:space="preserve">MWDA_MT</t>
  </si>
  <si>
    <t xml:space="preserve">MWDA_CTR</t>
  </si>
  <si>
    <t xml:space="preserve">MWDA_DTR</t>
  </si>
  <si>
    <t xml:space="preserve">MWDA_pCA</t>
  </si>
  <si>
    <t xml:space="preserve">MWDA_pZT</t>
  </si>
  <si>
    <t xml:space="preserve">MWDA_pMT</t>
  </si>
  <si>
    <t xml:space="preserve">MWDA_pMTR</t>
  </si>
  <si>
    <t xml:space="preserve">mm (dry sieving, mechanically stable aggregates)</t>
  </si>
  <si>
    <t xml:space="preserve">Dry sieving (mechanical stability); MWD</t>
  </si>
  <si>
    <t xml:space="preserve">GMD_CA</t>
  </si>
  <si>
    <t xml:space="preserve">GMD_CT</t>
  </si>
  <si>
    <t xml:space="preserve">GMD_ZT</t>
  </si>
  <si>
    <t xml:space="preserve">GMD_DT</t>
  </si>
  <si>
    <t xml:space="preserve">GMD_MTR</t>
  </si>
  <si>
    <t xml:space="preserve">GMD_MT</t>
  </si>
  <si>
    <t xml:space="preserve">GMD_CTR</t>
  </si>
  <si>
    <t xml:space="preserve">GMD_DTR</t>
  </si>
  <si>
    <t xml:space="preserve">GMD_pCA</t>
  </si>
  <si>
    <t xml:space="preserve">GMD_pZT</t>
  </si>
  <si>
    <t xml:space="preserve">GMD_pMT</t>
  </si>
  <si>
    <t xml:space="preserve">GMD_pMTR</t>
  </si>
  <si>
    <t xml:space="preserve">RICE-SEASON DATA (RED ROW): soil sampled only after rice harvest . ROW a: RWMCS FYM (CT) vs FYM+CR (CTR). Obs = 2 (T=2 paper treatments under CTR: FYM+CR and FYM+CR+BF). GREEN MANURE / 3rd CROP: mungbean in BOTH treatments of this row (residue to rice). Control (excluded): 1.62.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</si>
  <si>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</si>
  <si>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1.62.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</si>
  <si>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</si>
  <si>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1.57.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</si>
  <si>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1.57.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</si>
  <si>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1.57.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</si>
  <si>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1.57.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</si>
  <si>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WSA_CA</t>
  </si>
  <si>
    <t xml:space="preserve">WSA_CT</t>
  </si>
  <si>
    <t xml:space="preserve">WSA_ZT</t>
  </si>
  <si>
    <t xml:space="preserve">WSA_DT</t>
  </si>
  <si>
    <t xml:space="preserve">WSA_MTR</t>
  </si>
  <si>
    <t xml:space="preserve">WSA_MT</t>
  </si>
  <si>
    <t xml:space="preserve">WSA_CTR</t>
  </si>
  <si>
    <t xml:space="preserve">WSA_DTR</t>
  </si>
  <si>
    <t xml:space="preserve">WSA_pCA</t>
  </si>
  <si>
    <t xml:space="preserve">WSA_pZT</t>
  </si>
  <si>
    <t xml:space="preserve">WSA_pMT</t>
  </si>
  <si>
    <t xml:space="preserve">WSA_pMTR</t>
  </si>
  <si>
    <t xml:space="preserve">g/g soil (sum of water-stable fractions &gt;0.1 mm)</t>
  </si>
  <si>
    <t xml:space="preserve">Table 3 - DERIVED (WSA = macro + micro)</t>
  </si>
  <si>
    <t xml:space="preserve">DERIVED (rule 74): WSA = (WSA-mac + WSA-mic)/100, live links to the MACRO and MICRO rows. FLAG: lowest sieve 0.1 mm, so the sum covers &gt;0.1 mm, not &gt;0.053 mm.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</si>
  <si>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Wet sieving, Yoder apparatus (Kemper &amp; Rosenau 1986): 50 g air-dry 5-8 mm aggregates, capillary pre-wetting 10 min, sieves 2, 1, 0.5, 0.25, 0.1 mm, 30 min at 30 osc/min; sand-corrected (Na-hexametaphosphate)</t>
  </si>
  <si>
    <t xml:space="preserve">g/g soil (LM + SM + mi, all fractions &gt;0.053 mm)</t>
  </si>
  <si>
    <t xml:space="preserve">Table 4 - DERIVED</t>
  </si>
  <si>
    <t xml:space="preserve">DERIVED (rule 74): WSA = (macro + micro)/100, live links.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</si>
  <si>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Wet sieving 2, 0.25, 0.053 mm after slaking (Six et al. 2000); macro = LM (&gt;2 mm) + SM (0.25-2 mm); micro = mi (0.053-0.25 mm)</t>
  </si>
  <si>
    <t xml:space="preserve">DERIVED (rule 74): WSA = (macro + micro)/100, live links.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</si>
  <si>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g/g soil (printed total WSA % / 100; macro + micro &gt;0.05 mm)</t>
  </si>
  <si>
    <t xml:space="preserve">Table 3 - converted</t>
  </si>
  <si>
    <t xml:space="preserve">MACRO_CA</t>
  </si>
  <si>
    <t xml:space="preserve">MACRO_CT</t>
  </si>
  <si>
    <t xml:space="preserve">MACRO_ZT</t>
  </si>
  <si>
    <t xml:space="preserve">MACRO_DT</t>
  </si>
  <si>
    <t xml:space="preserve">MACRO_MTR</t>
  </si>
  <si>
    <t xml:space="preserve">MACRO_MT</t>
  </si>
  <si>
    <t xml:space="preserve">MACRO_CTR</t>
  </si>
  <si>
    <t xml:space="preserve">MACRO_DTR</t>
  </si>
  <si>
    <t xml:space="preserve">MACRO_pCA</t>
  </si>
  <si>
    <t xml:space="preserve">MACRO_pZT</t>
  </si>
  <si>
    <t xml:space="preserve">MACRO_pMT</t>
  </si>
  <si>
    <t xml:space="preserve">MACRO_pMTR</t>
  </si>
  <si>
    <t xml:space="preserve">% (water-stable macro-aggregates &gt;0.25 mm, sand-corrected)</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</si>
  <si>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LSD (0-15) T 2.17, M 2.17, TxM 3.07; (15-30) T 2.40, M 2.40, TxM 3.38.</t>
  </si>
  <si>
    <t xml:space="preserve">% (g/100 g soil, LM &gt;2 mm + SM 0.25-2 mm)</t>
  </si>
  <si>
    <t xml:space="preserve">Table 4 - summed</t>
  </si>
  <si>
    <t xml:space="preserve">Obs = 2 (D=2: 0-7.5 and 7.5-15 cm both in the 0-15 CM class, separate rows). Macro = LM + SM (printed LM 15.33/34.15, SM 55.58/57.72 for T2/T8). Silt+clay (&lt;0.053) T2/T8: 24.39/2.13.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</si>
  <si>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Obs = 2 (D=2: 0-7.5 and 7.5-15 cm both in the 0-15 CM class, separate rows). Macro = LM + SM (printed LM 8.2/18.5, SM 66.6/64.84 for T2/T8). Silt+clay (&lt;0.053) T2/T8: 19.77/5.01.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</si>
  <si>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Obs = 1 (D=1: one layer). Macro = LM + SM (printed LM 5.3/17.4, SM 54.01/65.43 for T2/T8). Silt+clay (&lt;0.053) T2/T8: 1.22/6.59.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</si>
  <si>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 (water-stable aggregates &gt;0.25 mm)</t>
  </si>
  <si>
    <t xml:space="preserve">WSA (&gt;0.053 mm) cannot be derived - only the &gt;0.25 mm fraction is printed. Mechanically (dry) stable R&gt;0.25: CN 77.41, PR 64.53 %; aggregate disruption K: CN 59.39, PR 65.32 %.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</si>
  <si>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Wet sieving in deionised water (R&gt;0.25 water stability)</t>
  </si>
  <si>
    <t xml:space="preserve">WSA (&gt;0.053 mm) cannot be derived - only the &gt;0.25 mm fraction is printed. Mechanically (dry) stable R&gt;0.25: CN 68.62, PR 70.12 %; aggregate disruption K: CN 61.73, PR 60.24 %.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</si>
  <si>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WSA (&gt;0.053 mm) cannot be derived - only the &gt;0.25 mm fraction is printed. Mechanically (dry) stable R&gt;0.25: CN 63.86, PR 55.76 %; aggregate disruption K: CN 65.19, PR 66.25 %.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</si>
  <si>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 (water-stable macro-aggregates &gt;0.25 mm)</t>
  </si>
  <si>
    <t xml:space="preserve">MICRO_CA</t>
  </si>
  <si>
    <t xml:space="preserve">MICRO_CT</t>
  </si>
  <si>
    <t xml:space="preserve">MICRO_ZT</t>
  </si>
  <si>
    <t xml:space="preserve">MICRO_DT</t>
  </si>
  <si>
    <t xml:space="preserve">MICRO_MTR</t>
  </si>
  <si>
    <t xml:space="preserve">MICRO_MT</t>
  </si>
  <si>
    <t xml:space="preserve">MICRO_CTR</t>
  </si>
  <si>
    <t xml:space="preserve">MICRO_DTR</t>
  </si>
  <si>
    <t xml:space="preserve">MICRO_pCA</t>
  </si>
  <si>
    <t xml:space="preserve">MICRO_pZT</t>
  </si>
  <si>
    <t xml:space="preserve">MICRO_pMT</t>
  </si>
  <si>
    <t xml:space="preserve">MICRO_pMTR</t>
  </si>
  <si>
    <t xml:space="preserve">% (water-stable micro-aggregates 0.1-0.25 mm, sand-corrected)</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</si>
  <si>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Smallest sieve 0.1 mm, so this fraction is 0.1-0.25 mm (not 0.053-0.25).</t>
  </si>
  <si>
    <t xml:space="preserve">% (g/100 g soil, mi 0.053-0.25 mm)</t>
  </si>
  <si>
    <t xml:space="preserve">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</si>
  <si>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</si>
  <si>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 (water-stable micro-aggregates 0.05-0.25 mm)</t>
  </si>
  <si>
    <t xml:space="preserve">MACRO c_CA</t>
  </si>
  <si>
    <t xml:space="preserve">MACRO c_CT</t>
  </si>
  <si>
    <t xml:space="preserve">MACRO c_ZT</t>
  </si>
  <si>
    <t xml:space="preserve">MACRO c_DT</t>
  </si>
  <si>
    <t xml:space="preserve">MACRO c_MTR</t>
  </si>
  <si>
    <t xml:space="preserve">MACRO c_MT</t>
  </si>
  <si>
    <t xml:space="preserve">MACRO c_CTR</t>
  </si>
  <si>
    <t xml:space="preserve">MACRO c_DTR</t>
  </si>
  <si>
    <t xml:space="preserve">MACRO c_pCA</t>
  </si>
  <si>
    <t xml:space="preserve">MACRO c_pZT</t>
  </si>
  <si>
    <t xml:space="preserve">MACRO c_pMT</t>
  </si>
  <si>
    <t xml:space="preserve">MACRO c_pMTR</t>
  </si>
  <si>
    <t xml:space="preserve">g/kg (C in &gt;0.25 mm aggregates, mass-weighted LM + SM)</t>
  </si>
  <si>
    <t xml:space="preserve">Tables 4-5 - DERIVED</t>
  </si>
  <si>
    <t xml:space="preserve">DERIVED: macro C = (LM x LM-C + SM x SM-C)/(LM + SM); printed LM-C 10.56/14.58, SM-C 8.02/12.99 g/kg (T2/T8).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</si>
  <si>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C of aggregate fractions by elemental analyser (Vario EL)</t>
  </si>
  <si>
    <t xml:space="preserve">DERIVED: macro C = (LM x LM-C + SM x SM-C)/(LM + SM); printed LM-C 9.02/13.65, SM-C 7.95/9.04 g/kg (T2/T8).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</si>
  <si>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DERIVED: macro C = (LM x LM-C + SM x SM-C)/(LM + SM); printed LM-C 5.24/13.24, SM-C 3.63/8.66 g/kg (T2/T8).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</si>
  <si>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g/kg (C in &gt;0.25 mm aggregates; UNWEIGHTED mean of 4 classes)</t>
  </si>
  <si>
    <t xml:space="preserve">RICE SEASON - after rice harvest, October 2013</t>
  </si>
  <si>
    <t xml:space="preserve">Fig. 2a (vector) - DERIVED</t>
  </si>
  <si>
    <t xml:space="preserve">DERIVED: unweighted mean of the &gt;2, 2-1, 1-0.5, 0.5-0.25 mm classes (class masses not printed - flag). RICE-SEASON DATA (RED ROW): soil sampled only after rice harvest (October). Aggregate-associated C (TOC analyser) READ FROM THE VECTOR Fig. 2a (exact bar geometry; 2015 Sc2 1-0.5 mm = 8.94 as printed in text). Class values g/kg - Sc1: &gt;2 3.93, 2-1 4.27, 1-0.5 5.57, 0.5-0.25 4.94, 0.25-0.1 2.53, 0.1-0.05 2.87, silt+clay 2.9; Sc2: &gt;2 5.73, 2-1 6.4, 1-0.5 7.07, 0.5-0.25 5.83, 0.25-0.1 5.37, 0.1-0.05 3.9, silt+clay 4.4; Sc3: &gt;2 4.53, 2-1 6.07, 1-0.5 8.65, 0.5-0.25 6.47, 0.25-0.1 5.6, 0.1-0.05 3.3, silt+clay 6.5.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</si>
  <si>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Aggregate-associated C by Elementar Vario TOC Cube</t>
  </si>
  <si>
    <t xml:space="preserve">RICE SEASON - after rice harvest, October 2015</t>
  </si>
  <si>
    <t xml:space="preserve">Fig. 2b (vector) - DERIVED</t>
  </si>
  <si>
    <t xml:space="preserve">DERIVED: unweighted mean of the &gt;2, 2-1, 1-0.5, 0.5-0.25 mm classes (class masses not printed - flag). RICE-SEASON DATA (RED ROW): soil sampled only after rice harvest (October). Aggregate-associated C (TOC analyser) READ FROM THE VECTOR Fig. 2b (exact bar geometry; 2015 Sc2 1-0.5 mm = 8.94 as printed in text). Class values g/kg - Sc1: &gt;2 5.93, 2-1 6.51, 1-0.5 6.9, 0.5-0.25 7.44, 0.25-0.1 6.0, 0.1-0.05 5.34, silt+clay 6.95; Sc2: &gt;2 7.51, 2-1 8.06, 1-0.5 8.94, 0.5-0.25 9.79, 0.25-0.1 7.7, 0.1-0.05 5.97, silt+clay 8.25; Sc3: &gt;2 7.62, 2-1 8.28, 1-0.5 9.15, 0.5-0.25 9.13, 0.25-0.1 8.25, 0.1-0.05 6.83, silt+clay 8.35.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</si>
  <si>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Fig. 3a (vector) - DERIVED</t>
  </si>
  <si>
    <t xml:space="preserve">DERIVED: unweighted mean of the &gt;2, 2-1, 1-0.5, 0.5-0.25 mm classes (class masses not printed - flag). RICE-SEASON DATA (RED ROW): soil sampled only after rice harvest (October). Aggregate-associated C (TOC analyser) READ FROM THE VECTOR Fig. 3a (exact bar geometry; 2015 Sc2 1-0.5 mm = 8.94 as printed in text). Class values g/kg - Sc1: &gt;2 2.83, 2-1 4.07, 1-0.5 2.57, 0.5-0.25 4.27, 0.25-0.1 2.17, 0.1-0.05 2.67, silt+clay 3.6; Sc2: &gt;2 3.14, 2-1 5.87, 1-0.5 4.57, 0.5-0.25 5.3, 0.25-0.1 2.2, 0.1-0.05 2.8, silt+clay 5.4; Sc3: &gt;2 3.9, 2-1 4.77, 1-0.5 2.7, 0.5-0.25 2.7, 0.25-0.1 2.4, 0.1-0.05 2.97, silt+clay 3.8.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</si>
  <si>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Fig. 3b (vector) - DERIVED</t>
  </si>
  <si>
    <t xml:space="preserve">DERIVED: unweighted mean of the &gt;2, 2-1, 1-0.5, 0.5-0.25 mm classes (class masses not printed - flag). RICE-SEASON DATA (RED ROW): soil sampled only after rice harvest (October). Aggregate-associated C (TOC analyser) READ FROM THE VECTOR Fig. 3b (exact bar geometry; 2015 Sc2 1-0.5 mm = 8.94 as printed in text). Class values g/kg - Sc1: &gt;2 5.1, 2-1 7.08, 1-0.5 7.3, 0.5-0.25 6.6, 0.25-0.1 5.34, 0.1-0.05 4.7, silt+clay 3.25; Sc2: &gt;2 7.21, 2-1 6.08, 1-0.5 7.8, 0.5-0.25 6.73, 0.25-0.1 5.62, 0.1-0.05 4.17, silt+clay 3.0; Sc3: &gt;2 6.03, 2-1 5.53, 1-0.5 5.44, 0.5-0.25 5.03, 0.25-0.1 4.33, 0.1-0.05 4.33, silt+clay 2.75.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</si>
  <si>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MICRO c_CA</t>
  </si>
  <si>
    <t xml:space="preserve">MICRO c_CT</t>
  </si>
  <si>
    <t xml:space="preserve">MICRO c_ZT</t>
  </si>
  <si>
    <t xml:space="preserve">MICRO c_DT</t>
  </si>
  <si>
    <t xml:space="preserve">MICRO c_MTR</t>
  </si>
  <si>
    <t xml:space="preserve">MICRO c_MT</t>
  </si>
  <si>
    <t xml:space="preserve">MICRO c_CTR</t>
  </si>
  <si>
    <t xml:space="preserve">MICRO c_DTR</t>
  </si>
  <si>
    <t xml:space="preserve">MICRO c_pCA</t>
  </si>
  <si>
    <t xml:space="preserve">MICRO c_pZT</t>
  </si>
  <si>
    <t xml:space="preserve">MICRO c_pMT</t>
  </si>
  <si>
    <t xml:space="preserve">MICRO c_pMTR</t>
  </si>
  <si>
    <t xml:space="preserve">g/kg (C in 0.053-0.25 mm aggregates)</t>
  </si>
  <si>
    <t xml:space="preserve">Elemental analyser (Vario EL)</t>
  </si>
  <si>
    <t xml:space="preserve">g/kg (C in 0.05-0.25 mm aggregates; UNWEIGHTED mean of 2 classes)</t>
  </si>
  <si>
    <t xml:space="preserve">DERIVED: unweighted mean of the 0.25-0.1 and 0.1-0.05 mm classes. RICE-SEASON DATA (RED ROW): soil sampled only after rice harvest (October). Aggregate-associated C (TOC analyser) READ FROM THE VECTOR Fig. 2a (exact bar geometry; 2015 Sc2 1-0.5 mm = 8.94 as printed in text). Class values g/kg - Sc1: &gt;2 3.93, 2-1 4.27, 1-0.5 5.57, 0.5-0.25 4.94, 0.25-0.1 2.53, 0.1-0.05 2.87, silt+clay 2.9; Sc2: &gt;2 5.73, 2-1 6.4, 1-0.5 7.07, 0.5-0.25 5.83, 0.25-0.1 5.37, 0.1-0.05 3.9, silt+clay 4.4; Sc3: &gt;2 4.53, 2-1 6.07, 1-0.5 8.65, 0.5-0.25 6.47, 0.25-0.1 5.6, 0.1-0.05 3.3, silt+clay 6.5.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</si>
  <si>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DERIVED: unweighted mean of the 0.25-0.1 and 0.1-0.05 mm classes. RICE-SEASON DATA (RED ROW): soil sampled only after rice harvest (October). Aggregate-associated C (TOC analyser) READ FROM THE VECTOR Fig. 2b (exact bar geometry; 2015 Sc2 1-0.5 mm = 8.94 as printed in text). Class values g/kg - Sc1: &gt;2 5.93, 2-1 6.51, 1-0.5 6.9, 0.5-0.25 7.44, 0.25-0.1 6.0, 0.1-0.05 5.34, silt+clay 6.95; Sc2: &gt;2 7.51, 2-1 8.06, 1-0.5 8.94, 0.5-0.25 9.79, 0.25-0.1 7.7, 0.1-0.05 5.97, silt+clay 8.25; Sc3: &gt;2 7.62, 2-1 8.28, 1-0.5 9.15, 0.5-0.25 9.13, 0.25-0.1 8.25, 0.1-0.05 6.83, silt+clay 8.35.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</si>
  <si>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DERIVED: unweighted mean of the 0.25-0.1 and 0.1-0.05 mm classes. RICE-SEASON DATA (RED ROW): soil sampled only after rice harvest (October). Aggregate-associated C (TOC analyser) READ FROM THE VECTOR Fig. 3a (exact bar geometry; 2015 Sc2 1-0.5 mm = 8.94 as printed in text). Class values g/kg - Sc1: &gt;2 2.83, 2-1 4.07, 1-0.5 2.57, 0.5-0.25 4.27, 0.25-0.1 2.17, 0.1-0.05 2.67, silt+clay 3.6; Sc2: &gt;2 3.14, 2-1 5.87, 1-0.5 4.57, 0.5-0.25 5.3, 0.25-0.1 2.2, 0.1-0.05 2.8, silt+clay 5.4; Sc3: &gt;2 3.9, 2-1 4.77, 1-0.5 2.7, 0.5-0.25 2.7, 0.25-0.1 2.4, 0.1-0.05 2.97, silt+clay 3.8.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</si>
  <si>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DERIVED: unweighted mean of the 0.25-0.1 and 0.1-0.05 mm classes. RICE-SEASON DATA (RED ROW): soil sampled only after rice harvest (October). Aggregate-associated C (TOC analyser) READ FROM THE VECTOR Fig. 3b (exact bar geometry; 2015 Sc2 1-0.5 mm = 8.94 as printed in text). Class values g/kg - Sc1: &gt;2 5.1, 2-1 7.08, 1-0.5 7.3, 0.5-0.25 6.6, 0.25-0.1 5.34, 0.1-0.05 4.7, silt+clay 3.25; Sc2: &gt;2 7.21, 2-1 6.08, 1-0.5 7.8, 0.5-0.25 6.73, 0.25-0.1 5.62, 0.1-0.05 4.17, silt+clay 3.0; Sc3: &gt;2 6.03, 2-1 5.53, 1-0.5 5.44, 0.5-0.25 5.03, 0.25-0.1 4.33, 0.1-0.05 4.33, silt+clay 2.75.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</si>
  <si>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PR_CA</t>
  </si>
  <si>
    <t xml:space="preserve">PR_CT</t>
  </si>
  <si>
    <t xml:space="preserve">PR_ZT</t>
  </si>
  <si>
    <t xml:space="preserve">PR_DT</t>
  </si>
  <si>
    <t xml:space="preserve">PR_MTR</t>
  </si>
  <si>
    <t xml:space="preserve">PR_MT</t>
  </si>
  <si>
    <t xml:space="preserve">PR_CTR</t>
  </si>
  <si>
    <t xml:space="preserve">PR_DTR</t>
  </si>
  <si>
    <t xml:space="preserve">PR_pCA</t>
  </si>
  <si>
    <t xml:space="preserve">PR_pZT</t>
  </si>
  <si>
    <t xml:space="preserve">PR_pMT</t>
  </si>
  <si>
    <t xml:space="preserve">PR_pMTR</t>
  </si>
  <si>
    <t xml:space="preserve">HC_CA</t>
  </si>
  <si>
    <t xml:space="preserve">HC_CT</t>
  </si>
  <si>
    <t xml:space="preserve">HC_ZT</t>
  </si>
  <si>
    <t xml:space="preserve">HC_DT</t>
  </si>
  <si>
    <t xml:space="preserve">HC_MTR</t>
  </si>
  <si>
    <t xml:space="preserve">HC_MT</t>
  </si>
  <si>
    <t xml:space="preserve">HC_CTR</t>
  </si>
  <si>
    <t xml:space="preserve">HC_DTR</t>
  </si>
  <si>
    <t xml:space="preserve">HC_pCA</t>
  </si>
  <si>
    <t xml:space="preserve">HC_pZT</t>
  </si>
  <si>
    <t xml:space="preserve">HC_pMT</t>
  </si>
  <si>
    <t xml:space="preserve">HC_pMTR</t>
  </si>
  <si>
    <t xml:space="preserve">cm/hr (hydraulic conductivity, method not described)</t>
  </si>
  <si>
    <t xml:space="preserve">FLAG: 'hydraulic conductivity' - saturated/lab method not stated. LSD residue 0.36.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</si>
  <si>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Not described (core samples)</t>
  </si>
  <si>
    <t xml:space="preserve">FLAG: 'hydraulic conductivity' - saturated/lab method not stated. LSD residue 0.36. GREEN MANURE / 3rd CROP: summer mungbean in BOTH treatments of this row (pods picked, residue incorporated in RI only).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</si>
  <si>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cm/hr (saturated, constant head)</t>
  </si>
  <si>
    <t xml:space="preserve">RICE-SEASON DATA (RED ROW): soil sampled only after rice harvest . ROW a: RWMCS FYM (CT) vs FYM+CR (CTR). Obs = 2 (T=2 paper treatments under CTR: FYM+CR and FYM+CR+BF). GREEN MANURE / 3rd CROP: mungbean in BOTH treatments of this row (residue to rice). Control (excluded): 0.21.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</si>
  <si>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Constant head (Klute &amp; Dirksen 1986)</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</si>
  <si>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0.21.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</si>
  <si>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0.21.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</si>
  <si>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0.21.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</si>
  <si>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0.19.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</si>
  <si>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0.19.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</si>
  <si>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0.19.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</si>
  <si>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0.19.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</si>
  <si>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IR_CA</t>
  </si>
  <si>
    <t xml:space="preserve">IR_CT</t>
  </si>
  <si>
    <t xml:space="preserve">IR_ZT</t>
  </si>
  <si>
    <t xml:space="preserve">IR_DT</t>
  </si>
  <si>
    <t xml:space="preserve">IR_MTR</t>
  </si>
  <si>
    <t xml:space="preserve">IR_MT</t>
  </si>
  <si>
    <t xml:space="preserve">IR_CTR</t>
  </si>
  <si>
    <t xml:space="preserve">IR_DTR</t>
  </si>
  <si>
    <t xml:space="preserve">IR_pCA</t>
  </si>
  <si>
    <t xml:space="preserve">IR_pZT</t>
  </si>
  <si>
    <t xml:space="preserve">IR_pMT</t>
  </si>
  <si>
    <t xml:space="preserve">IR_pMTR</t>
  </si>
  <si>
    <t xml:space="preserve">IIR_CA</t>
  </si>
  <si>
    <t xml:space="preserve">IIR_CT</t>
  </si>
  <si>
    <t xml:space="preserve">IIR_ZT</t>
  </si>
  <si>
    <t xml:space="preserve">IIR_DT</t>
  </si>
  <si>
    <t xml:space="preserve">IIR_MTR</t>
  </si>
  <si>
    <t xml:space="preserve">IIR_MT</t>
  </si>
  <si>
    <t xml:space="preserve">IIR_CTR</t>
  </si>
  <si>
    <t xml:space="preserve">IIR_DTR</t>
  </si>
  <si>
    <t xml:space="preserve">IIR_pCA</t>
  </si>
  <si>
    <t xml:space="preserve">IIR_pZT</t>
  </si>
  <si>
    <t xml:space="preserve">IIR_pMT</t>
  </si>
  <si>
    <t xml:space="preserve">IIR_pMTR</t>
  </si>
  <si>
    <t xml:space="preserve">soil surface (double-ring infiltrometer, rings inserted 10 cm)</t>
  </si>
  <si>
    <t xml:space="preserve">cm/hr (IR_ = steady-state, IIR_ = initial)</t>
  </si>
  <si>
    <t xml:space="preserve">Table 6</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</si>
  <si>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Surface infiltration entered in the 0-15 CM class as for other surface rows. LSD residue: initial 8.57, steady 0.17; tillage NS.</t>
  </si>
  <si>
    <t xml:space="preserve">Double-ring infiltrometer (Reynolds et al. 2002), 30/60 cm rings, constant head, readings to 372 min</t>
  </si>
  <si>
    <t xml:space="preserve">AWCW_CA</t>
  </si>
  <si>
    <t xml:space="preserve">AWCW_CT</t>
  </si>
  <si>
    <t xml:space="preserve">AWCW_ZT</t>
  </si>
  <si>
    <t xml:space="preserve">AWCW_DT</t>
  </si>
  <si>
    <t xml:space="preserve">AWCW_MTR</t>
  </si>
  <si>
    <t xml:space="preserve">AWCW_MT</t>
  </si>
  <si>
    <t xml:space="preserve">AWCW_CTR</t>
  </si>
  <si>
    <t xml:space="preserve">AWCW_DTR</t>
  </si>
  <si>
    <t xml:space="preserve">AWCW_pCA</t>
  </si>
  <si>
    <t xml:space="preserve">AWCW_pZT</t>
  </si>
  <si>
    <t xml:space="preserve">AWCW_pMT</t>
  </si>
  <si>
    <t xml:space="preserve">AWCW_pMTR</t>
  </si>
  <si>
    <t xml:space="preserve">% w/w (FC - PWP)</t>
  </si>
  <si>
    <t xml:space="preserve">Table 7 - DERIVED</t>
  </si>
  <si>
    <t xml:space="preserve">DERIVED: AWC = FC - PWP (weight basis, live links). WATER-QUANTITY CHECK: Table 7 'soil moisture characteristics' = water retained at -33, -100, -500, -1500 kPa on pressure-plate extractors (Klute &amp; Dirksen 1986), printed in cm3/cm3 x 100 (% v/v). -33 kPa -&gt; FC, -1500 kPa -&gt; PWP; converted to weight basis with the SAME treatment's 0-15 cm BD (live link). Also printed: -100 kPa CT 27.3, CTR 31.8, ZT 30.4, CA 34.5; -500 kPa CT 20.9, CTR 24.6, ZT 24.6, CA 29.2 (% v/v). LSD T and M: 3.45 (-33), 2.23 (-1500); TxM NS.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</si>
  <si>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Pressure-plate extractor (Soilmoisture Equipment Corp.), Klute &amp; Dirksen (1986)</t>
  </si>
  <si>
    <t xml:space="preserve">% w/w (FC - PWP, 2-5 mm aggregates, bulk-soil basis)</t>
  </si>
  <si>
    <t xml:space="preserve">Table 3 - DERIVED</t>
  </si>
  <si>
    <t xml:space="preserve">DECIDED 2026-10-05: bulk-soil basis. DERIVED: AWC = FC - PWP.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</si>
  <si>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Pressure plate (Soil Moisture Equipment Corp.), 2-5 mm aggregates in 5 x 2.5 cm cylinders, 2-3 wet-dry cycles</t>
  </si>
  <si>
    <t xml:space="preserve">% w/w (FC - PWP, 5-8 mm aggregates, bulk-soil basis)</t>
  </si>
  <si>
    <t xml:space="preserve">DECIDED 2026-10-05: bulk-soil basis. DERIVED: AWC = FC - PWP.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</si>
  <si>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Pressure plate (Soil Moisture Equipment Corp.), 5-8 mm aggregates in 5 x 2.5 cm cylinders, 2-3 wet-dry cycles</t>
  </si>
  <si>
    <t xml:space="preserve">DECIDED 2026-10-05: bulk-soil basis. DERIVED: AWC = FC - PWP.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</si>
  <si>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DECIDED 2026-10-05: bulk-soil basis. DERIVED: AWC = FC - PWP.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</si>
  <si>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AWCV_CA</t>
  </si>
  <si>
    <t xml:space="preserve">AWCV_CT</t>
  </si>
  <si>
    <t xml:space="preserve">AWCV_ZT</t>
  </si>
  <si>
    <t xml:space="preserve">AWCV_DT</t>
  </si>
  <si>
    <t xml:space="preserve">AWCV_MTR</t>
  </si>
  <si>
    <t xml:space="preserve">AWCV_MT</t>
  </si>
  <si>
    <t xml:space="preserve">AWCV_CTR</t>
  </si>
  <si>
    <t xml:space="preserve">AWCV_DTR</t>
  </si>
  <si>
    <t xml:space="preserve">AWCV_pCA</t>
  </si>
  <si>
    <t xml:space="preserve">AWCV_pZT</t>
  </si>
  <si>
    <t xml:space="preserve">AWCV_pMT</t>
  </si>
  <si>
    <t xml:space="preserve">AWCV_pMTR</t>
  </si>
  <si>
    <t xml:space="preserve">% v/v (AWCw x BD = printed -33 minus -1500 kPa)</t>
  </si>
  <si>
    <t xml:space="preserve">DERIVED: AWCv = AWCw x treatment BD (equals the printed v/v difference). WATER-QUANTITY CHECK: Table 7 'soil moisture characteristics' = water retained at -33, -100, -500, -1500 kPa on pressure-plate extractors (Klute &amp; Dirksen 1986), printed in cm3/cm3 x 100 (% v/v). -33 kPa -&gt; FC, -1500 kPa -&gt; PWP; converted to weight basis with the SAME treatment's 0-15 cm BD (live link). Also printed: -100 kPa CT 27.3, CTR 31.8, ZT 30.4, CA 34.5; -500 kPa CT 20.9, CTR 24.6, ZT 24.6, CA 29.2 (% v/v). LSD T and M: 3.45 (-33), 2.23 (-1500); TxM NS.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</si>
  <si>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 v/v (AWCw x bulk-soil BD 1.55, 2-5 mm aggregates, bulk-soil basis)</t>
  </si>
  <si>
    <t xml:space="preserve">DECIDED 2026-10-05: bulk-soil basis. DERIVED: AWCv = AWCw x bulk-soil BD 1.55 Mg/m3 (paper's initial BD; no treatment bulk density printed).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</si>
  <si>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 v/v (AWCw x bulk-soil BD 1.55, 5-8 mm aggregates, bulk-soil basis)</t>
  </si>
  <si>
    <t xml:space="preserve">DECIDED 2026-10-05: bulk-soil basis. DERIVED: AWCv = AWCw x bulk-soil BD 1.55 Mg/m3 (paper's initial BD; no treatment bulk density printed).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</si>
  <si>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DECIDED 2026-10-05: bulk-soil basis. DERIVED: AWCv = AWCw x bulk-soil BD 1.55 Mg/m3 (paper's initial BD; no treatment bulk density printed).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</si>
  <si>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DECIDED 2026-10-05: bulk-soil basis. DERIVED: AWCv = AWCw x bulk-soil BD 1.55 Mg/m3 (paper's initial BD; no treatment bulk density printed).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</si>
  <si>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WHC_CA</t>
  </si>
  <si>
    <t xml:space="preserve">WHC_CT</t>
  </si>
  <si>
    <t xml:space="preserve">WHC_ZT</t>
  </si>
  <si>
    <t xml:space="preserve">WHC_DT</t>
  </si>
  <si>
    <t xml:space="preserve">WHC_MTR</t>
  </si>
  <si>
    <t xml:space="preserve">WHC_MT</t>
  </si>
  <si>
    <t xml:space="preserve">WHC_CTR</t>
  </si>
  <si>
    <t xml:space="preserve">WHC_DTR</t>
  </si>
  <si>
    <t xml:space="preserve">WHC_pCA</t>
  </si>
  <si>
    <t xml:space="preserve">WHC_pZT</t>
  </si>
  <si>
    <t xml:space="preserve">WHC_pMT</t>
  </si>
  <si>
    <t xml:space="preserve">WHC_pMTR</t>
  </si>
  <si>
    <t xml:space="preserve">% (Keen-Raczkowski box)</t>
  </si>
  <si>
    <t xml:space="preserve">RICE-SEASON DATA (RED ROW): soil sampled only after rice harvest . ROW a: RWMCS FYM (CT) vs FYM+CR (CTR). Obs = 2 (T=2 paper treatments under CTR: FYM+CR and FYM+CR+BF). GREEN MANURE / 3rd CROP: mungbean in BOTH treatments of this row (residue to rice). Control (excluded): 47.62.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</si>
  <si>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Keen &amp; Raczkowski (1921) box</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</si>
  <si>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47.62.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</si>
  <si>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47.62.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</si>
  <si>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47.62.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</si>
  <si>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44.78.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</si>
  <si>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44.78.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</si>
  <si>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44.78.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</si>
  <si>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44.78.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</si>
  <si>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FC_CA</t>
  </si>
  <si>
    <t xml:space="preserve">FC_CT</t>
  </si>
  <si>
    <t xml:space="preserve">FC_ZT</t>
  </si>
  <si>
    <t xml:space="preserve">FC_DT</t>
  </si>
  <si>
    <t xml:space="preserve">FC_MTR</t>
  </si>
  <si>
    <t xml:space="preserve">FC_MT</t>
  </si>
  <si>
    <t xml:space="preserve">FC_CTR</t>
  </si>
  <si>
    <t xml:space="preserve">FC_DTR</t>
  </si>
  <si>
    <t xml:space="preserve">FC_pCA</t>
  </si>
  <si>
    <t xml:space="preserve">FC_pZT</t>
  </si>
  <si>
    <t xml:space="preserve">FC_pMT</t>
  </si>
  <si>
    <t xml:space="preserve">FC_pMTR</t>
  </si>
  <si>
    <t xml:space="preserve">% w/w (printed % v/v at -33 kPa / BD)</t>
  </si>
  <si>
    <t xml:space="preserve">Table 7 - converted</t>
  </si>
  <si>
    <t xml:space="preserve">WATER-QUANTITY CHECK: Table 7 'soil moisture characteristics' = water retained at -33, -100, -500, -1500 kPa on pressure-plate extractors (Klute &amp; Dirksen 1986), printed in cm3/cm3 x 100 (% v/v). -33 kPa -&gt; FC, -1500 kPa -&gt; PWP; converted to weight basis with the SAME treatment's 0-15 cm BD (live link). Also printed: -100 kPa CT 27.3, CTR 31.8, ZT 30.4, CA 34.5; -500 kPa CT 20.9, CTR 24.6, ZT 24.6, CA 29.2 (% v/v). LSD T and M: 3.45 (-33), 2.23 (-1500); TxM NS.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</si>
  <si>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 w/w (2-5 mm aggregates, bulk-soil basis, -33 kPa)</t>
  </si>
  <si>
    <t xml:space="preserve">DECIDED 2026-10-05: bulk-soil basis.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</si>
  <si>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 w/w (5-8 mm aggregates, bulk-soil basis, -33 kPa)</t>
  </si>
  <si>
    <t xml:space="preserve">DECIDED 2026-10-05: bulk-soil basis.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</si>
  <si>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DECIDED 2026-10-05: bulk-soil basis.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</si>
  <si>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DECIDED 2026-10-05: bulk-soil basis.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</si>
  <si>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PWP_CA</t>
  </si>
  <si>
    <t xml:space="preserve">PWP_CT</t>
  </si>
  <si>
    <t xml:space="preserve">PWP_ZT</t>
  </si>
  <si>
    <t xml:space="preserve">PWP_DT</t>
  </si>
  <si>
    <t xml:space="preserve">PWP_MTR</t>
  </si>
  <si>
    <t xml:space="preserve">PWP_MT</t>
  </si>
  <si>
    <t xml:space="preserve">PWP_CTR</t>
  </si>
  <si>
    <t xml:space="preserve">PWP_DTR</t>
  </si>
  <si>
    <t xml:space="preserve">PWP_pCA</t>
  </si>
  <si>
    <t xml:space="preserve">PWP_pZT</t>
  </si>
  <si>
    <t xml:space="preserve">PWP_pMT</t>
  </si>
  <si>
    <t xml:space="preserve">PWP_pMTR</t>
  </si>
  <si>
    <t xml:space="preserve">% w/w (printed % v/v at -1500 kPa / BD)</t>
  </si>
  <si>
    <t xml:space="preserve">% w/w (2-5 mm aggregates, bulk-soil basis, -1500 kPa)</t>
  </si>
  <si>
    <t xml:space="preserve">% w/w (5-8 mm aggregates, bulk-soil basis, -1500 kPa)</t>
  </si>
  <si>
    <t xml:space="preserve">SWC_CA</t>
  </si>
  <si>
    <t xml:space="preserve">SWC_CT</t>
  </si>
  <si>
    <t xml:space="preserve">SWC_ZT</t>
  </si>
  <si>
    <t xml:space="preserve">SWC_DT</t>
  </si>
  <si>
    <t xml:space="preserve">SWC_MTR</t>
  </si>
  <si>
    <t xml:space="preserve">SWC_MT</t>
  </si>
  <si>
    <t xml:space="preserve">SWC_CTR</t>
  </si>
  <si>
    <t xml:space="preserve">SWC_DTR</t>
  </si>
  <si>
    <t xml:space="preserve">SWC_pCA</t>
  </si>
  <si>
    <t xml:space="preserve">SWC_pZT</t>
  </si>
  <si>
    <t xml:space="preserve">SWC_pMT</t>
  </si>
  <si>
    <t xml:space="preserve">SWC_pMTR</t>
  </si>
  <si>
    <t xml:space="preserve">GWC_CA</t>
  </si>
  <si>
    <t xml:space="preserve">GWC_CT</t>
  </si>
  <si>
    <t xml:space="preserve">GWC_ZT</t>
  </si>
  <si>
    <t xml:space="preserve">GWC_DT</t>
  </si>
  <si>
    <t xml:space="preserve">GWC_MTR</t>
  </si>
  <si>
    <t xml:space="preserve">GWC_MT</t>
  </si>
  <si>
    <t xml:space="preserve">GWC_CTR</t>
  </si>
  <si>
    <t xml:space="preserve">GWC_DTR</t>
  </si>
  <si>
    <t xml:space="preserve">GWC_pCA</t>
  </si>
  <si>
    <t xml:space="preserve">GWC_pZT</t>
  </si>
  <si>
    <t xml:space="preserve">GWC_pMT</t>
  </si>
  <si>
    <t xml:space="preserve">GWC_pMTR</t>
  </si>
  <si>
    <t xml:space="preserve">SMS_CA</t>
  </si>
  <si>
    <t xml:space="preserve">SMS_CT</t>
  </si>
  <si>
    <t xml:space="preserve">SMS_ZT</t>
  </si>
  <si>
    <t xml:space="preserve">SMS_DT</t>
  </si>
  <si>
    <t xml:space="preserve">SMS_MTR</t>
  </si>
  <si>
    <t xml:space="preserve">SMS_MT</t>
  </si>
  <si>
    <t xml:space="preserve">SMS_CTR</t>
  </si>
  <si>
    <t xml:space="preserve">SMS_DTR</t>
  </si>
  <si>
    <t xml:space="preserve">SMS_pCA</t>
  </si>
  <si>
    <t xml:space="preserve">SMS_pZT</t>
  </si>
  <si>
    <t xml:space="preserve">SMS_pMT</t>
  </si>
  <si>
    <t xml:space="preserve">SMS_pMTR</t>
  </si>
  <si>
    <t xml:space="preserve">SOC_CA</t>
  </si>
  <si>
    <t xml:space="preserve">SOC_CT</t>
  </si>
  <si>
    <t xml:space="preserve">SOC_ZT</t>
  </si>
  <si>
    <t xml:space="preserve">SOC_DT</t>
  </si>
  <si>
    <t xml:space="preserve">SOC_MTR</t>
  </si>
  <si>
    <t xml:space="preserve">SOC_MT</t>
  </si>
  <si>
    <t xml:space="preserve">SOC_CTR</t>
  </si>
  <si>
    <t xml:space="preserve">SOC_DTR</t>
  </si>
  <si>
    <t xml:space="preserve">SOC_pCA</t>
  </si>
  <si>
    <t xml:space="preserve">SOC_pZT</t>
  </si>
  <si>
    <t xml:space="preserve">SOC_pMT</t>
  </si>
  <si>
    <t xml:space="preserve">SOC_pMTR</t>
  </si>
  <si>
    <t xml:space="preserve">BD i</t>
  </si>
  <si>
    <t xml:space="preserve">STOCK</t>
  </si>
  <si>
    <t xml:space="preserve">seq</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</si>
  <si>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SD printed only for main-effect means (0-15: CT 5.30+/-0.06, ZT 5.78+/-0.05, -M 5.08+/-0.03, +M 6.00+/-0.04). LSD tillage 0.40, residue 0.40 (0-15); tillage 0.50 (15-30); TxM NS.</t>
  </si>
  <si>
    <t xml:space="preserve">Walkley &amp; Black (1934) wet oxidation</t>
  </si>
  <si>
    <t xml:space="preserve">2006-07</t>
  </si>
  <si>
    <t xml:space="preserve">0-20 cm</t>
  </si>
  <si>
    <t xml:space="preserve">After completion of the 2006-07 cycle (after wheat / summer fallow, before rice)</t>
  </si>
  <si>
    <t xml:space="preserve">0-20 cm sample -&gt; 0-15 CM class (maximum overlap). LSD residue 0.32 (06-07), 0.44 (07-08); CSxR 0.58/0.66.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</si>
  <si>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Organic C (Prasad et al. 2006 manual; Walkley-Black type)</t>
  </si>
  <si>
    <t xml:space="preserve">After completion of the 2006-07 cycle (after wheat and mungbean, before rice)</t>
  </si>
  <si>
    <t xml:space="preserve">GREEN MANURE / 3rd CROP: summer mungbean in BOTH treatments of this row (pods picked, residue incorporated in RI only). 0-20 cm sample -&gt; 0-15 CM class (maximum overlap). LSD residue 0.32 (06-07), 0.44 (07-08); CSxR 0.58/0.66.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</si>
  <si>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After completion of the 2007-08 cycle (after wheat / summer fallow, before rice)</t>
  </si>
  <si>
    <t xml:space="preserve">After completion of the 2007-08 cycle (after wheat and mungbean, before rice)</t>
  </si>
  <si>
    <t xml:space="preserve">Ludhiana - PDCSR network long-term experiment</t>
  </si>
  <si>
    <t xml:space="preserve">1997-98</t>
  </si>
  <si>
    <t xml:space="preserve">100F -&gt; CT ; 50F+CR -&gt; CTR [FLAG: fertiliser offset]</t>
  </si>
  <si>
    <t xml:space="preserve">Wheat season - final year, after wheat harvest in April (1997-98)</t>
  </si>
  <si>
    <t xml:space="preserve">100F: 120-26-33 kg N-P-K/ha to rice and wheat. 50F+CR: 60-13-16.5 N-P-K + wheat straw 13.0 t/ha/yr to rice (supplying 60 kg N), wheat 120-26-33. Irrigated; rice 5 cm flooding, wheat 5 irrigations. Initial soil (0-15 cm): OC 3.1 g/kg, avail. N 65, P 5.1, K 46 mg/kg.</t>
  </si>
  <si>
    <t xml:space="preserve">Fig. 4 (digitised)</t>
  </si>
  <si>
    <t xml:space="preserve">DIGITISED from Fig. 4 (bar tops; the initial-OC bars reproduce Table 1 within 0.05 g/kg). Initial 3.09 (fig) / 3.1 (Table 1). FLAG: 50F+CR bar at Ludhiana (1.51) is below the unfertilised control (2.11) as plotted - verify.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</si>
  <si>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Walkley &amp; Black OC (Page et al. 1982)</t>
  </si>
  <si>
    <t xml:space="preserve">Pantnagar - PDCSR network long-term experiment</t>
  </si>
  <si>
    <t xml:space="preserve">100F: 120-26-33 kg N-P-K/ha to rice and wheat. 50F+CR: 60-13-16.5 N-P-K + wheat straw 15.8 t/ha/yr to rice (supplying 60 kg N), wheat 120-26-33. Irrigated; rice 5 cm flooding, wheat 5 irrigations. Initial soil (0-15 cm): OC 14.2 g/kg, avail. N 102, P 9.1, K 65 mg/kg.</t>
  </si>
  <si>
    <t xml:space="preserve">DIGITISED from Fig. 4 (bar tops; the initial-OC bars reproduce Table 1 within 0.05 g/kg). Initial 14.17 (fig) / 14.2 (Table 1).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</si>
  <si>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Kanpur - PDCSR network long-term experiment</t>
  </si>
  <si>
    <t xml:space="preserve">100F: 120-26-33 kg N-P-K/ha to rice and wheat. 50F+CR: 60-13-16.5 N-P-K + wheat straw 8.8 t/ha/yr to rice (supplying 60 kg N), wheat 120-26-33. Irrigated; rice 5 cm flooding, wheat 5 irrigations. Initial soil (0-15 cm): OC 2.9 g/kg, avail. N 83, P 6.3, K 82 mg/kg.</t>
  </si>
  <si>
    <t xml:space="preserve">DIGITISED from Fig. 4 (bar tops; the initial-OC bars reproduce Table 1 within 0.05 g/kg). Initial 2.93 (fig) / 2.9 (Table 1).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</si>
  <si>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Faizabad - PDCSR network long-term experiment</t>
  </si>
  <si>
    <t xml:space="preserve">100F: 120-26-33 kg N-P-K/ha to rice and wheat. 50F+CR: 60-13-16.5 N-P-K + wheat straw 10.7 t/ha/yr to rice (supplying 60 kg N), wheat 120-26-33. Irrigated; rice 5 cm flooding, wheat 5 irrigations. Initial soil (0-15 cm): OC 3.7 g/kg, avail. N 46, P 6.3, K 161 mg/kg.</t>
  </si>
  <si>
    <t xml:space="preserve">DIGITISED from Fig. 4 (bar tops; the initial-OC bars reproduce Table 1 within 0.05 g/kg). Initial 3.74 (fig) / 3.7 (Table 1).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</si>
  <si>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Sabour - PDCSR network long-term experiment</t>
  </si>
  <si>
    <t xml:space="preserve">CLAYEY</t>
  </si>
  <si>
    <t xml:space="preserve">100F: 120-26-33 kg N-P-K/ha to rice and wheat. 50F+CR: 60-13-16.5 N-P-K + wheat straw 9.2 t/ha/yr to rice (supplying 60 kg N), wheat 120-26-33. Irrigated; rice 5 cm flooding, wheat 5 irrigations. Initial soil (0-15 cm): OC 4.6 g/kg, avail. N None, P 4.5, K 58 mg/kg.</t>
  </si>
  <si>
    <t xml:space="preserve">DIGITISED from Fig. 4 (bar tops; the initial-OC bars reproduce Table 1 within 0.05 g/kg). Initial 4.62 (fig) / 4.6 (Table 1).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</si>
  <si>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Kalyani - PDCSR network long-term experiment</t>
  </si>
  <si>
    <t xml:space="preserve">1998-99</t>
  </si>
  <si>
    <t xml:space="preserve">Wheat season - final year, after wheat harvest in April (1998-99)</t>
  </si>
  <si>
    <t xml:space="preserve">100F: 120-26-33 kg N-P-K/ha to rice and wheat. 50F+CR: 60-13-16.5 N-P-K + wheat straw 14.1 t/ha/yr to rice (supplying 60 kg N), wheat 120-26-33. Irrigated; rice 5 cm flooding, wheat 5 irrigations. Initial soil (0-15 cm): OC 9.2 g/kg, avail. N 45, P 7.3, K 36 mg/kg.</t>
  </si>
  <si>
    <t xml:space="preserve">DIGITISED from Fig. 4 (bar tops; the initial-OC bars reproduce Table 1 within 0.05 g/kg). Initial 9.71 (fig) / 9.2 (Table 1). Fig. 4 initial bar 9.7 vs Table 1 9.2 g/kg.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</si>
  <si>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Jabalpur - PDCSR network long-term experiment</t>
  </si>
  <si>
    <t xml:space="preserve">100F: 120-26-33 kg N-P-K/ha to rice and wheat. 50F+CR: 60-13-16.5 N-P-K + wheat straw 12.2 t/ha/yr to rice (supplying 60 kg N), wheat 120-26-33. Irrigated; rice 5 cm flooding, wheat 5 irrigations. Initial soil (0-15 cm): OC 6.9 g/kg, avail. N 261, P 9.5, K 408 mg/kg.</t>
  </si>
  <si>
    <t xml:space="preserve">DIGITISED from Fig. 4 (bar tops; the initial-OC bars reproduce Table 1 within 0.05 g/kg). Initial 6.91 (fig) / 6.9 (Table 1).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</si>
  <si>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</si>
  <si>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K2Cr2O7 volumetric (external heating) method</t>
  </si>
  <si>
    <t xml:space="preserve">g/kg (Walkley-Black)</t>
  </si>
  <si>
    <t xml:space="preserve">RICE-SEASON DATA (RED ROW): soil sampled only after rice harvest (October). DUPLICATE SEASON: old-master 23 (companion 2) (Jat et al. 2018, Oct 2013) printed the same WB-C for Sc1/Sc3 - keep one when merging. Sc4 (excluded): 7.7 / 3.6.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</si>
  <si>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Walkley &amp; Black (1934)</t>
  </si>
  <si>
    <t xml:space="preserve">RICE-SEASON DATA (RED ROW): soil sampled only after rice harvest (October). Sc4 (excluded): 8.2 / 3.4.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</si>
  <si>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RICE-SEASON DATA (RED ROW): soil sampled only after rice harvest . ROW a: RWMCS FYM (CT) vs FYM+CR (CTR). Obs = 2 (T=2 paper treatments under CTR: FYM+CR and FYM+CR+BF). GREEN MANURE / 3rd CROP: mungbean in BOTH treatments of this row (residue to rice). Control (excluded): 4.11.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</si>
  <si>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Walkley &amp; Black (1934) rapid titration</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</si>
  <si>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4.11.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</si>
  <si>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4.11.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</si>
  <si>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4.11.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</si>
  <si>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3.68.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</si>
  <si>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3.68.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</si>
  <si>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3.68.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</si>
  <si>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3.68.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</si>
  <si>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TOC_CA</t>
  </si>
  <si>
    <t xml:space="preserve">TOC_CT</t>
  </si>
  <si>
    <t xml:space="preserve">TOC_ZT</t>
  </si>
  <si>
    <t xml:space="preserve">TOC_DT</t>
  </si>
  <si>
    <t xml:space="preserve">TOC_MTR</t>
  </si>
  <si>
    <t xml:space="preserve">TOC_MT</t>
  </si>
  <si>
    <t xml:space="preserve">TOC_CTR</t>
  </si>
  <si>
    <t xml:space="preserve">TOC_DTR</t>
  </si>
  <si>
    <t xml:space="preserve">TOC_pCA</t>
  </si>
  <si>
    <t xml:space="preserve">TOC_pZT</t>
  </si>
  <si>
    <t xml:space="preserve">TOC_pMT</t>
  </si>
  <si>
    <t xml:space="preserve">TOC_pMTR</t>
  </si>
  <si>
    <t xml:space="preserve">g/kg (bulk-soil organic C, elemental analyser after HCl)</t>
  </si>
  <si>
    <t xml:space="preserve">Obs = 2 (D=2: 0-7.5 and 7.5-15 cm both in the 0-15 CM class, separate rows). Bulk-soil organic C measured by DRY COMBUSTION -&gt; TOC sheet (rule 47). Initial Walkley-Black OC 4.1 g/kg in soc (initial).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</si>
  <si>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Total organic C by dry combustion, Vario EL elemental analyser, carbonates removed with 15% HCl</t>
  </si>
  <si>
    <t xml:space="preserve">Obs = 1 (D=1: one layer). Bulk-soil organic C measured by DRY COMBUSTION -&gt; TOC sheet (rule 47). Initial Walkley-Black OC 4.1 g/kg in soc (initial).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</si>
  <si>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g/kg (Elementar Vario TOC cube)</t>
  </si>
  <si>
    <t xml:space="preserve">RICE-SEASON DATA (RED ROW): soil sampled only after rice harvest (October).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</si>
  <si>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Dry combustion, Elementar Vario TOC Cube</t>
  </si>
  <si>
    <t xml:space="preserve">TC_CA</t>
  </si>
  <si>
    <t xml:space="preserve">TC_CT</t>
  </si>
  <si>
    <t xml:space="preserve">TC_ZT</t>
  </si>
  <si>
    <t xml:space="preserve">TC_DT</t>
  </si>
  <si>
    <t xml:space="preserve">TC_MTR</t>
  </si>
  <si>
    <t xml:space="preserve">TC_MT</t>
  </si>
  <si>
    <t xml:space="preserve">TC_CTR</t>
  </si>
  <si>
    <t xml:space="preserve">TC_DTR</t>
  </si>
  <si>
    <t xml:space="preserve">TC_pCA</t>
  </si>
  <si>
    <t xml:space="preserve">TC_pZT</t>
  </si>
  <si>
    <t xml:space="preserve">TC_pMT</t>
  </si>
  <si>
    <t xml:space="preserve">TC_pMTR</t>
  </si>
  <si>
    <t xml:space="preserve">SIC_CA</t>
  </si>
  <si>
    <t xml:space="preserve">SIC_CT</t>
  </si>
  <si>
    <t xml:space="preserve">SIC_ZT</t>
  </si>
  <si>
    <t xml:space="preserve">SIC_DT</t>
  </si>
  <si>
    <t xml:space="preserve">SIC_MTR</t>
  </si>
  <si>
    <t xml:space="preserve">SIC_MT</t>
  </si>
  <si>
    <t xml:space="preserve">SIC_CTR</t>
  </si>
  <si>
    <t xml:space="preserve">SIC_DTR</t>
  </si>
  <si>
    <t xml:space="preserve">SIC_pCA</t>
  </si>
  <si>
    <t xml:space="preserve">SIC_pZT</t>
  </si>
  <si>
    <t xml:space="preserve">SIC_pMT</t>
  </si>
  <si>
    <t xml:space="preserve">SIC_pMTR</t>
  </si>
  <si>
    <t xml:space="preserve">PSOC_CA</t>
  </si>
  <si>
    <t xml:space="preserve">PSOC_CT</t>
  </si>
  <si>
    <t xml:space="preserve">PSOC_ZT</t>
  </si>
  <si>
    <t xml:space="preserve">PSOC_DT</t>
  </si>
  <si>
    <t xml:space="preserve">PSOC_MTR</t>
  </si>
  <si>
    <t xml:space="preserve">PSOC_MT</t>
  </si>
  <si>
    <t xml:space="preserve">PSOC_CTR</t>
  </si>
  <si>
    <t xml:space="preserve">PSOC_DTR</t>
  </si>
  <si>
    <t xml:space="preserve">PSOC_pCA</t>
  </si>
  <si>
    <t xml:space="preserve">PSOC_pZT</t>
  </si>
  <si>
    <t xml:space="preserve">PSOC_pMT</t>
  </si>
  <si>
    <t xml:space="preserve">PSOC_pMTR</t>
  </si>
  <si>
    <t xml:space="preserve">g/kg (particulate organic C, &gt;53 um)</t>
  </si>
  <si>
    <t xml:space="preserve">Fig. 4a (digitised)</t>
  </si>
  <si>
    <t xml:space="preserve">RICE-SEASON DATA (RED ROW): soil sampled only after rice harvest (October). DIGITISED from raster Fig. 4; 2015 0-15 cm increases over Sc1 (Sc3 +83%, Sc2 +68%) match the text. Sc4 (excl.) 5.41.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</si>
  <si>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Cambardella &amp; Elliott (1992)</t>
  </si>
  <si>
    <t xml:space="preserve">Fig. 4b (digitised)</t>
  </si>
  <si>
    <t xml:space="preserve">RICE-SEASON DATA (RED ROW): soil sampled only after rice harvest (October). DIGITISED from raster Fig. 4; 2015 0-15 cm increases over Sc1 (Sc3 +83%, Sc2 +68%) match the text. Sc4 (excl.) 11.11.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</si>
  <si>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RICE-SEASON DATA (RED ROW): soil sampled only after rice harvest (October). DIGITISED from raster Fig. 4; 2015 0-15 cm increases over Sc1 (Sc3 +83%, Sc2 +68%) match the text. Sc4 (excl.) 2.08.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</si>
  <si>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RICE-SEASON DATA (RED ROW): soil sampled only after rice harvest (October). DIGITISED from raster Fig. 4; 2015 0-15 cm increases over Sc1 (Sc3 +83%, Sc2 +68%) match the text. Sc4 (excl.) 2.4.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</si>
  <si>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MOC_CA</t>
  </si>
  <si>
    <t xml:space="preserve">MOC_CT</t>
  </si>
  <si>
    <t xml:space="preserve">MOC_ZT</t>
  </si>
  <si>
    <t xml:space="preserve">MOC_DT</t>
  </si>
  <si>
    <t xml:space="preserve">MOC_MTR</t>
  </si>
  <si>
    <t xml:space="preserve">MOC_MT</t>
  </si>
  <si>
    <t xml:space="preserve">MOC_CTR</t>
  </si>
  <si>
    <t xml:space="preserve">MOC_DTR</t>
  </si>
  <si>
    <t xml:space="preserve">MOC_pCA</t>
  </si>
  <si>
    <t xml:space="preserve">MOC_pZT</t>
  </si>
  <si>
    <t xml:space="preserve">MOC_pMT</t>
  </si>
  <si>
    <t xml:space="preserve">MOC_pMTR</t>
  </si>
  <si>
    <t xml:space="preserve">WSC_CA</t>
  </si>
  <si>
    <t xml:space="preserve">WSC_CT</t>
  </si>
  <si>
    <t xml:space="preserve">WSC_ZT</t>
  </si>
  <si>
    <t xml:space="preserve">WSC_DT</t>
  </si>
  <si>
    <t xml:space="preserve">WSC_MTR</t>
  </si>
  <si>
    <t xml:space="preserve">WSC_MT</t>
  </si>
  <si>
    <t xml:space="preserve">WSC_CTR</t>
  </si>
  <si>
    <t xml:space="preserve">WSC_DTR</t>
  </si>
  <si>
    <t xml:space="preserve">WSC_pCA</t>
  </si>
  <si>
    <t xml:space="preserve">WSC_pZT</t>
  </si>
  <si>
    <t xml:space="preserve">WSC_pMT</t>
  </si>
  <si>
    <t xml:space="preserve">WSC_pMTR</t>
  </si>
  <si>
    <t xml:space="preserve">WHAT THIS SHEET HOLDS:</t>
  </si>
  <si>
    <t xml:space="preserve">WSC = WATER-SOLUBLE CARBON. Organic carbon extracted from soil with deionised water (typically 1:5 soil:water, shaken, filtered, then measured by dichromate digestion or a TOC analyser). The most mobile carbon fraction. Related but NOT identical to dissolved organic carbon (DOC), which is normally extracted with 0.5 M K2SO4 - keep the two apart and say in Notes which one the paper measured.</t>
  </si>
  <si>
    <t xml:space="preserve">DOC_CA</t>
  </si>
  <si>
    <t xml:space="preserve">DOC_CT</t>
  </si>
  <si>
    <t xml:space="preserve">DOC_ZT</t>
  </si>
  <si>
    <t xml:space="preserve">DOC_DT</t>
  </si>
  <si>
    <t xml:space="preserve">DOC_MTR</t>
  </si>
  <si>
    <t xml:space="preserve">DOC_MT</t>
  </si>
  <si>
    <t xml:space="preserve">DOC_CTR</t>
  </si>
  <si>
    <t xml:space="preserve">DOC_DTR</t>
  </si>
  <si>
    <t xml:space="preserve">DOC_pCA</t>
  </si>
  <si>
    <t xml:space="preserve">DOC_pZT</t>
  </si>
  <si>
    <t xml:space="preserve">DOC_pMT</t>
  </si>
  <si>
    <t xml:space="preserve">DOC_pMTR</t>
  </si>
  <si>
    <t xml:space="preserve">LFC_CA</t>
  </si>
  <si>
    <t xml:space="preserve">LFC_CT</t>
  </si>
  <si>
    <t xml:space="preserve">LFC_ZT</t>
  </si>
  <si>
    <t xml:space="preserve">LFC_DT</t>
  </si>
  <si>
    <t xml:space="preserve">LFC_MTR</t>
  </si>
  <si>
    <t xml:space="preserve">LFC_MT</t>
  </si>
  <si>
    <t xml:space="preserve">LFC_CTR</t>
  </si>
  <si>
    <t xml:space="preserve">LFC_DTR</t>
  </si>
  <si>
    <t xml:space="preserve">LFC_pCA</t>
  </si>
  <si>
    <t xml:space="preserve">LFC_pZT</t>
  </si>
  <si>
    <t xml:space="preserve">LFC_pMT</t>
  </si>
  <si>
    <t xml:space="preserve">LFC_pMTR</t>
  </si>
  <si>
    <t xml:space="preserve">LFC / LFOC = LIGHT FRACTION (ORGANIC) CARBON. Carbon in the free light fraction floated off in a heavy liquid (NaI or sodium polytungstate, density about 1.6-1.8 g/cm3). Mostly partly decomposed plant residue, not yet bound to minerals. Papers call it LFC, LFOC or light-fraction C - all go here.</t>
  </si>
  <si>
    <t xml:space="preserve">HFOC_CA</t>
  </si>
  <si>
    <t xml:space="preserve">HFOC_CT</t>
  </si>
  <si>
    <t xml:space="preserve">HFOC_ZT</t>
  </si>
  <si>
    <t xml:space="preserve">HFOC_DT</t>
  </si>
  <si>
    <t xml:space="preserve">HFOC_MTR</t>
  </si>
  <si>
    <t xml:space="preserve">HFOC_MT</t>
  </si>
  <si>
    <t xml:space="preserve">HFOC_CTR</t>
  </si>
  <si>
    <t xml:space="preserve">HFOC_DTR</t>
  </si>
  <si>
    <t xml:space="preserve">HFOC_pCA</t>
  </si>
  <si>
    <t xml:space="preserve">HFOC_pZT</t>
  </si>
  <si>
    <t xml:space="preserve">HFOC_pMT</t>
  </si>
  <si>
    <t xml:space="preserve">HFOC_pMTR</t>
  </si>
  <si>
    <t xml:space="preserve">LFON_CA</t>
  </si>
  <si>
    <t xml:space="preserve">LFON_CT</t>
  </si>
  <si>
    <t xml:space="preserve">LFON_ZT</t>
  </si>
  <si>
    <t xml:space="preserve">LFON_DT</t>
  </si>
  <si>
    <t xml:space="preserve">LFON_MTR</t>
  </si>
  <si>
    <t xml:space="preserve">LFON_MT</t>
  </si>
  <si>
    <t xml:space="preserve">LFON_CTR</t>
  </si>
  <si>
    <t xml:space="preserve">LFON_DTR</t>
  </si>
  <si>
    <t xml:space="preserve">LFON_pCA</t>
  </si>
  <si>
    <t xml:space="preserve">LFON_pZT</t>
  </si>
  <si>
    <t xml:space="preserve">LFON_pMT</t>
  </si>
  <si>
    <t xml:space="preserve">LFON_pMTR</t>
  </si>
  <si>
    <t xml:space="preserve">LFON = LIGHT FRACTION ORGANIC NITROGEN. The nitrogen counterpart of LFC - N in the same density-separated light fraction. Pairs row for row with the LFC-LFOC sheet.</t>
  </si>
  <si>
    <t xml:space="preserve">PON_CA</t>
  </si>
  <si>
    <t xml:space="preserve">PON_CT</t>
  </si>
  <si>
    <t xml:space="preserve">PON_ZT</t>
  </si>
  <si>
    <t xml:space="preserve">PON_DT</t>
  </si>
  <si>
    <t xml:space="preserve">PON_MTR</t>
  </si>
  <si>
    <t xml:space="preserve">PON_MT</t>
  </si>
  <si>
    <t xml:space="preserve">PON_CTR</t>
  </si>
  <si>
    <t xml:space="preserve">PON_DTR</t>
  </si>
  <si>
    <t xml:space="preserve">PON_pCA</t>
  </si>
  <si>
    <t xml:space="preserve">PON_pZT</t>
  </si>
  <si>
    <t xml:space="preserve">PON_pMT</t>
  </si>
  <si>
    <t xml:space="preserve">PON_pMTR</t>
  </si>
  <si>
    <t xml:space="preserve">PON = PARTICULATE ORGANIC NITROGEN. Nitrogen in the 53-2000 um particulate organic matter fraction, separated by dispersion and wet sieving. The nitrogen counterpart of particulate organic carbon, which lives on the PSOC sheet.</t>
  </si>
  <si>
    <t xml:space="preserve">cPOMC_CA</t>
  </si>
  <si>
    <t xml:space="preserve">cPOMC_CT</t>
  </si>
  <si>
    <t xml:space="preserve">cPOMC_ZT</t>
  </si>
  <si>
    <t xml:space="preserve">cPOMC_DT</t>
  </si>
  <si>
    <t xml:space="preserve">cPOMC_MTR</t>
  </si>
  <si>
    <t xml:space="preserve">cPOMC_MT</t>
  </si>
  <si>
    <t xml:space="preserve">cPOMC_CTR</t>
  </si>
  <si>
    <t xml:space="preserve">cPOMC_DTR</t>
  </si>
  <si>
    <t xml:space="preserve">cPOMC_pCA</t>
  </si>
  <si>
    <t xml:space="preserve">cPOMC_pZT</t>
  </si>
  <si>
    <t xml:space="preserve">cPOMC_pMT</t>
  </si>
  <si>
    <t xml:space="preserve">cPOMC_pMTR</t>
  </si>
  <si>
    <t xml:space="preserve">g/kg (C in cPOM + sand &gt;0.25 mm isolated from macroaggregates)</t>
  </si>
  <si>
    <t xml:space="preserve">FLAG: C concentration of the cPOM + sand fraction within macroaggregates (Six et al. 2002), not whole-soil cPOM-C.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</si>
  <si>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Macroaggregates disrupted with glass beads (Six et al. 2002a); &gt;0.25 mm cPOM + sand retained; C by elemental analyser</t>
  </si>
  <si>
    <t xml:space="preserve">FLAG: C concentration of the cPOM + sand fraction within macroaggregates (Six et al. 2002), not whole-soil cPOM-C.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</si>
  <si>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cPOM-C = COARSE PARTICULATE ORGANIC MATTER CARBON. Carbon in the coarse POM fraction, normally 250-2000 um, recovered on the 250 um sieve after dispersion. The younger, plant-derived part of particulate organic matter. cPOM-C + fPOM-C should approximate total POC on the PSOC sheet - check that it does before using all three.</t>
  </si>
  <si>
    <t xml:space="preserve">fPOMC_CA</t>
  </si>
  <si>
    <t xml:space="preserve">fPOMC_CT</t>
  </si>
  <si>
    <t xml:space="preserve">fPOMC_ZT</t>
  </si>
  <si>
    <t xml:space="preserve">fPOMC_DT</t>
  </si>
  <si>
    <t xml:space="preserve">fPOMC_MTR</t>
  </si>
  <si>
    <t xml:space="preserve">fPOMC_MT</t>
  </si>
  <si>
    <t xml:space="preserve">fPOMC_CTR</t>
  </si>
  <si>
    <t xml:space="preserve">fPOMC_DTR</t>
  </si>
  <si>
    <t xml:space="preserve">fPOMC_pCA</t>
  </si>
  <si>
    <t xml:space="preserve">fPOMC_pZT</t>
  </si>
  <si>
    <t xml:space="preserve">fPOMC_pMT</t>
  </si>
  <si>
    <t xml:space="preserve">fPOMC_pMTR</t>
  </si>
  <si>
    <t xml:space="preserve">fPOM-C = FINE PARTICULATE ORGANIC MATTER CARBON. Carbon in the fine POM fraction, normally 53-250 um, recovered on the 53 um sieve. More decomposed and more mineral-associated than cPOM-C, and usually the fraction that responds first to a change in tillage or residue management.</t>
  </si>
  <si>
    <t xml:space="preserve">POXC_CA</t>
  </si>
  <si>
    <t xml:space="preserve">POXC_CT</t>
  </si>
  <si>
    <t xml:space="preserve">POXC_ZT</t>
  </si>
  <si>
    <t xml:space="preserve">POXC_DT</t>
  </si>
  <si>
    <t xml:space="preserve">POXC_MTR</t>
  </si>
  <si>
    <t xml:space="preserve">POXC_MT</t>
  </si>
  <si>
    <t xml:space="preserve">POXC_CTR</t>
  </si>
  <si>
    <t xml:space="preserve">POXC_DTR</t>
  </si>
  <si>
    <t xml:space="preserve">POXC_pCA</t>
  </si>
  <si>
    <t xml:space="preserve">POXC_pZT</t>
  </si>
  <si>
    <t xml:space="preserve">POXC_pMT</t>
  </si>
  <si>
    <t xml:space="preserve">POXC_pMTR</t>
  </si>
  <si>
    <t xml:space="preserve">VLC_CA</t>
  </si>
  <si>
    <t xml:space="preserve">VLC_CT</t>
  </si>
  <si>
    <t xml:space="preserve">VLC_ZT</t>
  </si>
  <si>
    <t xml:space="preserve">VLC_DT</t>
  </si>
  <si>
    <t xml:space="preserve">VLC_MTR</t>
  </si>
  <si>
    <t xml:space="preserve">VLC_MT</t>
  </si>
  <si>
    <t xml:space="preserve">VLC_CTR</t>
  </si>
  <si>
    <t xml:space="preserve">VLC_DTR</t>
  </si>
  <si>
    <t xml:space="preserve">VLC_pCA</t>
  </si>
  <si>
    <t xml:space="preserve">VLC_pZT</t>
  </si>
  <si>
    <t xml:space="preserve">VLC_pMT</t>
  </si>
  <si>
    <t xml:space="preserve">VLC_pMTR</t>
  </si>
  <si>
    <t xml:space="preserve">Catena (accepted manuscript)</t>
  </si>
  <si>
    <t xml:space="preserve">g/kg (very labile C (12 N H2SO4); DERIVED from printed stocks)</t>
  </si>
  <si>
    <t xml:space="preserve">RICE SEASON - after rice harvest, October 2013 (4 cycles)</t>
  </si>
  <si>
    <t xml:space="preserve">Fig. 1 (vector) - DERIVED</t>
  </si>
  <si>
    <t xml:space="preserve">TOC BASIS CONFIRMED by author 2026-10-05 (rule 87): the pools sum to total organic C, so stock shares are scaled by TOC, not by Walkley-Black SOC (active pool). DERIVED (rule 53): pool concentration = pool stock / SOC stock (Fig. 1, Mg C/ha) x TOC concentration of the same Oct-2013 sampling (23 (companion 3) TOC row, live link) - the paper prints only stocks and no BD for Sc2. Stocks Sc1/Sc2/Sc3: 6.97/16.35, 7.64/17.96, 10.73/22.91 (pool/SOC). Lability index (Datta) 1.79/1.66/2.19, RI1 1.54/1.19/2.53, RI2 0.25/0.29/0.21.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</si>
  <si>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Modified Walkley-Black with 5, 10, 20 ml H2SO4 (Chan et al. 2001; Datta et al. 2015)</t>
  </si>
  <si>
    <t xml:space="preserve">Fig. 2 (vector) - DERIVED</t>
  </si>
  <si>
    <t xml:space="preserve">TOC BASIS CONFIRMED by author 2026-10-05 (rule 87): the pools sum to total organic C, so stock shares are scaled by TOC, not by Walkley-Black SOC (active pool). DERIVED (rule 53): pool concentration = pool stock / SOC stock (Fig. 2, Mg C/ha) x TOC concentration of the same Oct-2013 sampling (23 (companion 3) TOC row, live link) - the paper prints only stocks and no BD for Sc2. Stocks Sc1/Sc2/Sc3: 5.79/10.13, 7.67/12.51, 5.64/10.27 (pool/SOC). LI 1.76/1.76/1.89, RI1 3.07/2.23/2.36, RI2 0.11/0.14/0.13.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</si>
  <si>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LC_CA</t>
  </si>
  <si>
    <t xml:space="preserve">LC_CT</t>
  </si>
  <si>
    <t xml:space="preserve">LC_ZT</t>
  </si>
  <si>
    <t xml:space="preserve">LC_DT</t>
  </si>
  <si>
    <t xml:space="preserve">LC_MTR</t>
  </si>
  <si>
    <t xml:space="preserve">LC_MT</t>
  </si>
  <si>
    <t xml:space="preserve">LC_CTR</t>
  </si>
  <si>
    <t xml:space="preserve">LC_DTR</t>
  </si>
  <si>
    <t xml:space="preserve">LC_pCA</t>
  </si>
  <si>
    <t xml:space="preserve">LC_pZT</t>
  </si>
  <si>
    <t xml:space="preserve">LC_pMT</t>
  </si>
  <si>
    <t xml:space="preserve">LC_pMTR</t>
  </si>
  <si>
    <t xml:space="preserve">g/kg (labile C (18-12 N); DERIVED from printed stocks)</t>
  </si>
  <si>
    <t xml:space="preserve">TOC BASIS CONFIRMED by author 2026-10-05 (rule 87): the pools sum to total organic C, so stock shares are scaled by TOC, not by Walkley-Black SOC (active pool). DERIVED (rule 53): pool concentration = pool stock / SOC stock (Fig. 1, Mg C/ha) x TOC concentration of the same Oct-2013 sampling (23 (companion 3) TOC row, live link) - the paper prints only stocks and no BD for Sc2. Stocks Sc1/Sc2/Sc3: 3.09/16.35, 2.42/17.96, 5.77/22.91 (pool/SOC). Lability index (Datta) 1.79/1.66/2.19, RI1 1.54/1.19/2.53, RI2 0.25/0.29/0.21.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</si>
  <si>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TOC BASIS CONFIRMED by author 2026-10-05 (rule 87): the pools sum to total organic C, so stock shares are scaled by TOC, not by Walkley-Black SOC (active pool). DERIVED (rule 53): pool concentration = pool stock / SOC stock (Fig. 2, Mg C/ha) x TOC concentration of the same Oct-2013 sampling (23 (companion 3) TOC row, live link) - the paper prints only stocks and no BD for Sc2. Stocks Sc1/Sc2/Sc3: 1.88/10.13, 1.23/12.51, 1.67/10.27 (pool/SOC). LI 1.76/1.76/1.89, RI1 3.07/2.23/2.36, RI2 0.11/0.14/0.13.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</si>
  <si>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LLC_CA</t>
  </si>
  <si>
    <t xml:space="preserve">LLC_CT</t>
  </si>
  <si>
    <t xml:space="preserve">LLC_ZT</t>
  </si>
  <si>
    <t xml:space="preserve">LLC_DT</t>
  </si>
  <si>
    <t xml:space="preserve">LLC_MTR</t>
  </si>
  <si>
    <t xml:space="preserve">LLC_MT</t>
  </si>
  <si>
    <t xml:space="preserve">LLC_CTR</t>
  </si>
  <si>
    <t xml:space="preserve">LLC_DTR</t>
  </si>
  <si>
    <t xml:space="preserve">LLC_pCA</t>
  </si>
  <si>
    <t xml:space="preserve">LLC_pZT</t>
  </si>
  <si>
    <t xml:space="preserve">LLC_pMT</t>
  </si>
  <si>
    <t xml:space="preserve">LLC_pMTR</t>
  </si>
  <si>
    <t xml:space="preserve">g/kg (less labile C (24-18 N); DERIVED from printed stocks)</t>
  </si>
  <si>
    <t xml:space="preserve">TOC BASIS CONFIRMED by author 2026-10-05 (rule 87): the pools sum to total organic C, so stock shares are scaled by TOC, not by Walkley-Black SOC (active pool). DERIVED (rule 53): pool concentration = pool stock / SOC stock (Fig. 1, Mg C/ha) x TOC concentration of the same Oct-2013 sampling (23 (companion 3) TOC row, live link) - the paper prints only stocks and no BD for Sc2. Stocks Sc1/Sc2/Sc3: 2.42/16.35, 3.22/17.96, 1.74/22.91 (pool/SOC). Lability index (Datta) 1.79/1.66/2.19, RI1 1.54/1.19/2.53, RI2 0.25/0.29/0.21.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</si>
  <si>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TOC BASIS CONFIRMED by author 2026-10-05 (rule 87): the pools sum to total organic C, so stock shares are scaled by TOC, not by Walkley-Black SOC (active pool). DERIVED (rule 53): pool concentration = pool stock / SOC stock (Fig. 2, Mg C/ha) x TOC concentration of the same Oct-2013 sampling (23 (companion 3) TOC row, live link) - the paper prints only stocks and no BD for Sc2. Stocks Sc1/Sc2/Sc3: 1.38/10.13, 2.1/12.51, 1.74/10.27 (pool/SOC). LI 1.76/1.76/1.89, RI1 3.07/2.23/2.36, RI2 0.11/0.14/0.13.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</si>
  <si>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NLC_CA</t>
  </si>
  <si>
    <t xml:space="preserve">NLC_CT</t>
  </si>
  <si>
    <t xml:space="preserve">NLC_ZT</t>
  </si>
  <si>
    <t xml:space="preserve">NLC_DT</t>
  </si>
  <si>
    <t xml:space="preserve">NLC_MTR</t>
  </si>
  <si>
    <t xml:space="preserve">NLC_MT</t>
  </si>
  <si>
    <t xml:space="preserve">NLC_CTR</t>
  </si>
  <si>
    <t xml:space="preserve">NLC_DTR</t>
  </si>
  <si>
    <t xml:space="preserve">NLC_pCA</t>
  </si>
  <si>
    <t xml:space="preserve">NLC_pZT</t>
  </si>
  <si>
    <t xml:space="preserve">NLC_pMT</t>
  </si>
  <si>
    <t xml:space="preserve">NLC_pMTR</t>
  </si>
  <si>
    <t xml:space="preserve">g/kg (non-labile C (TOC - 24 N); DERIVED from printed stocks)</t>
  </si>
  <si>
    <t xml:space="preserve">TOC BASIS CONFIRMED by author 2026-10-05 (rule 87): the pools sum to total organic C, so stock shares are scaled by TOC, not by Walkley-Black SOC (active pool). DERIVED (rule 53): pool concentration = pool stock / SOC stock (Fig. 1, Mg C/ha) x TOC concentration of the same Oct-2013 sampling (23 (companion 3) TOC row, live link) - the paper prints only stocks and no BD for Sc2. Stocks Sc1/Sc2/Sc3: 4.16/16.35, 5.23/17.96, 4.83/22.91 (pool/SOC). Lability index (Datta) 1.79/1.66/2.19, RI1 1.54/1.19/2.53, RI2 0.25/0.29/0.21.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</si>
  <si>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TOC BASIS CONFIRMED by author 2026-10-05 (rule 87): the pools sum to total organic C, so stock shares are scaled by TOC, not by Walkley-Black SOC (active pool). DERIVED (rule 53): pool concentration = pool stock / SOC stock (Fig. 2, Mg C/ha) x TOC concentration of the same Oct-2013 sampling (23 (companion 3) TOC row, live link) - the paper prints only stocks and no BD for Sc2. Stocks Sc1/Sc2/Sc3: 1.16/10.13, 1.81/12.51, 1.38/10.27 (pool/SOC). LI 1.76/1.76/1.89, RI1 3.07/2.23/2.36, RI2 0.11/0.14/0.13.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</si>
  <si>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SOCs_CA</t>
  </si>
  <si>
    <t xml:space="preserve">SOCs_CT</t>
  </si>
  <si>
    <t xml:space="preserve">SOCs_ZT</t>
  </si>
  <si>
    <t xml:space="preserve">SOCs_DT</t>
  </si>
  <si>
    <t xml:space="preserve">SOCs_MTR</t>
  </si>
  <si>
    <t xml:space="preserve">SOCs_MT</t>
  </si>
  <si>
    <t xml:space="preserve">SOCs_CTR</t>
  </si>
  <si>
    <t xml:space="preserve">SOCs_DTR</t>
  </si>
  <si>
    <t xml:space="preserve">SOCs_pCA</t>
  </si>
  <si>
    <t xml:space="preserve">SOCs_pZT</t>
  </si>
  <si>
    <t xml:space="preserve">SOCs_pMT</t>
  </si>
  <si>
    <t xml:space="preserve">SOCs_pMTR</t>
  </si>
  <si>
    <t xml:space="preserve">initial</t>
  </si>
  <si>
    <t xml:space="preserve">change ca</t>
  </si>
  <si>
    <t xml:space="preserve">change ct</t>
  </si>
  <si>
    <t xml:space="preserve">0-20 CM</t>
  </si>
  <si>
    <t xml:space="preserve">0-15 cm (cumulative class 0-20 CM, rule 43)</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</si>
  <si>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Printed stock (equivalent soil mass), not recomputed. 15-30 cm layer stock: CA 9.60, CT 7.86, ZT 8.80, CTR 6.88 Mg/ha.</t>
  </si>
  <si>
    <t xml:space="preserve">SOC stock on equivalent soil mass basis (Ellert &amp; Bettany 1995); SOC by Walkley-Black</t>
  </si>
  <si>
    <t xml:space="preserve">0-30 CM</t>
  </si>
  <si>
    <t xml:space="preserve">0-15 + 15-30 cm summed</t>
  </si>
  <si>
    <t xml:space="preserve">Table 2 - DERIVED (sum of the two printed layer stocks)</t>
  </si>
  <si>
    <t xml:space="preserve">DERIVED: 0-30 cm = printed 0-15 cm stock (row above, live link) + printed 15-30 cm stock.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</si>
  <si>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SOC stock on equivalent soil mass basis (Ellert &amp; Bettany 1995)</t>
  </si>
  <si>
    <t xml:space="preserve">0-10 CM</t>
  </si>
  <si>
    <t xml:space="preserve">0-10 cm summed</t>
  </si>
  <si>
    <t xml:space="preserve">Wheat season - after three years</t>
  </si>
  <si>
    <t xml:space="preserve">DERIVED (Table 3 SOC x Fig. 3 BD)</t>
  </si>
  <si>
    <t xml:space="preserve">DERIVED (rule 48): SOC (g/kg) x same-layer 2020 BD x 10 cm x 0.1, summed cumulatively; 'initial' = paper's 0-30 cm mean OC 5.75 g/kg x BD 1.423.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</si>
  <si>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Stock = SOC x BD x thickness x 0.1</t>
  </si>
  <si>
    <t xml:space="preserve">0-10 + 10-20 cm summed</t>
  </si>
  <si>
    <t xml:space="preserve">0-10 + 10-20 + 20-30 cm summed</t>
  </si>
  <si>
    <t xml:space="preserve">0-15 cm (cumulative class 0-20 CM)</t>
  </si>
  <si>
    <t xml:space="preserve">Fig. 1 (vector, scale-corrected)</t>
  </si>
  <si>
    <t xml:space="preserve">READ FROM VECTOR Fig. 1, x0.989 so that Sc1 = 16.2 Mg/ha (printed). 15-30 cm stocks Sc1/Sc2/Sc3: 10.13, 12.51, 10.27. Sc4 (excl.) 27.61.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</si>
  <si>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Total C by CHNS analyser (Elementar vario EL III) x BD x depth</t>
  </si>
  <si>
    <t xml:space="preserve">Figs 1-2 (vector) - summed</t>
  </si>
  <si>
    <t xml:space="preserve">DERIVED: 0-15 cm stock (live link) + 15-30 cm stock from Fig. 2.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</si>
  <si>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Total C x BD x depth</t>
  </si>
  <si>
    <t xml:space="preserve">RICE-SEASON DATA (RED ROW): soil sampled only after rice harvest (October). ROW a: RWMCS FYM (CT) vs FYM+CR (CTR). Obs = 2 (T=2 paper treatments under CTR: FYM+CR and FYM+CR+BF). GREEN MANURE / 3rd CROP: mungbean in BOTH treatments of this row (residue to rice).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</si>
  <si>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SOC x BD x depth</t>
  </si>
  <si>
    <t xml:space="preserve">RICE-SEASON DATA (RED ROW): soil sampled only after rice harvest (October). ROW b: RWMCS FYM (CT) vs FYM+CR+BF (CTR). Obs = 2 (T=2 paper treatments under CTR: FYM+CR and FYM+CR+BF). FLAG: biofertiliser inoculation confounded with residue. GREEN MANURE / 3rd CROP: mungbean in BOTH treatments of this row (residue to rice).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</si>
  <si>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(October). ROW a: RWMCS VC (CT) vs VC+CR (CTR). Obs = 2 (T=2 paper treatments under CTR: VC+CR and VC+CR+BF). GREEN MANURE / 3rd CROP: mungbean in BOTH treatments of this row (residue to rice).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</si>
  <si>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(October). ROW b: RWMCS VC (CT) vs VC+CR+BF (CTR). Obs = 2 (T=2 paper treatments under CTR: VC+CR and VC+CR+BF). FLAG: biofertiliser inoculation confounded with residue. GREEN MANURE / 3rd CROP: mungbean in BOTH treatments of this row (residue to rice).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</si>
  <si>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(October). ROW a: RWCS FYM (CT) vs FYM+CR (CTR). Obs = 2 (T=2 paper treatments under CTR: FYM+CR and FYM+CR+BF).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</si>
  <si>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(October). ROW b: RWCS FYM (CT) vs FYM+CR+BF (CTR). Obs = 2 (T=2 paper treatments under CTR: FYM+CR and FYM+CR+BF). FLAG: biofertiliser inoculation confounded with residue.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</si>
  <si>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(October). ROW a: RWCS VC (CT) vs VC+CR (CTR). Obs = 2 (T=2 paper treatments under CTR: VC+CR and VC+CR+BF).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</si>
  <si>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(October). ROW b: RWCS VC (CT) vs VC+CR+BF (CTR). Obs = 2 (T=2 paper treatments under CTR: VC+CR and VC+CR+BF). FLAG: biofertiliser inoculation confounded with residue.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</si>
  <si>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SSOC_CA</t>
  </si>
  <si>
    <t xml:space="preserve">SSOC_CT</t>
  </si>
  <si>
    <t xml:space="preserve">SSOC_ZT</t>
  </si>
  <si>
    <t xml:space="preserve">SSOC_DT</t>
  </si>
  <si>
    <t xml:space="preserve">SSOC_MTR</t>
  </si>
  <si>
    <t xml:space="preserve">SSOC_MT</t>
  </si>
  <si>
    <t xml:space="preserve">SSOC_CTR</t>
  </si>
  <si>
    <t xml:space="preserve">SSOC_DTR</t>
  </si>
  <si>
    <t xml:space="preserve">SSOC_pCA</t>
  </si>
  <si>
    <t xml:space="preserve">SSOC_pZT</t>
  </si>
  <si>
    <t xml:space="preserve">SSOC_pMT</t>
  </si>
  <si>
    <t xml:space="preserve">SSOC_pMTR</t>
  </si>
  <si>
    <t xml:space="preserve">0-30 cm</t>
  </si>
  <si>
    <t xml:space="preserve">Mg C/ha/yr</t>
  </si>
  <si>
    <t xml:space="preserve">DERIVED</t>
  </si>
  <si>
    <t xml:space="preserve">DERIVED (rule 48) from the 0-30 cm stock row and the initial stock (5.75 g/kg x 1.423 Mg/m3 x 30 cm); 3 years. Initial OC is a 0-30 cm mean, not layer-wise (flag).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</si>
  <si>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(stock 0-30 cm - initial stock)/3 yr</t>
  </si>
  <si>
    <t xml:space="preserve">CL_CA</t>
  </si>
  <si>
    <t xml:space="preserve">CL_CT</t>
  </si>
  <si>
    <t xml:space="preserve">CL_ZT</t>
  </si>
  <si>
    <t xml:space="preserve">CL_DT</t>
  </si>
  <si>
    <t xml:space="preserve">CL_MTR</t>
  </si>
  <si>
    <t xml:space="preserve">CL_MT</t>
  </si>
  <si>
    <t xml:space="preserve">CL_CTR</t>
  </si>
  <si>
    <t xml:space="preserve">CL_DTR</t>
  </si>
  <si>
    <t xml:space="preserve">CL_pCA</t>
  </si>
  <si>
    <t xml:space="preserve">CL_pZT</t>
  </si>
  <si>
    <t xml:space="preserve">CL_pMT</t>
  </si>
  <si>
    <t xml:space="preserve">CL_pMTR</t>
  </si>
  <si>
    <t xml:space="preserve">LI_CA</t>
  </si>
  <si>
    <t xml:space="preserve">LI_CT</t>
  </si>
  <si>
    <t xml:space="preserve">LI_ZT</t>
  </si>
  <si>
    <t xml:space="preserve">LI_DT</t>
  </si>
  <si>
    <t xml:space="preserve">LI_MTR</t>
  </si>
  <si>
    <t xml:space="preserve">LI_MT</t>
  </si>
  <si>
    <t xml:space="preserve">LI_CTR</t>
  </si>
  <si>
    <t xml:space="preserve">LI_DTR</t>
  </si>
  <si>
    <t xml:space="preserve">LI_pCA</t>
  </si>
  <si>
    <t xml:space="preserve">LI_pZT</t>
  </si>
  <si>
    <t xml:space="preserve">LI_pMT</t>
  </si>
  <si>
    <t xml:space="preserve">LI_pMTR</t>
  </si>
  <si>
    <t xml:space="preserve">CPI_CA</t>
  </si>
  <si>
    <t xml:space="preserve">CPI_CT</t>
  </si>
  <si>
    <t xml:space="preserve">CPI_ZT</t>
  </si>
  <si>
    <t xml:space="preserve">CPI_DT</t>
  </si>
  <si>
    <t xml:space="preserve">CPI_MTR</t>
  </si>
  <si>
    <t xml:space="preserve">CPI_MT</t>
  </si>
  <si>
    <t xml:space="preserve">CPI_CTR</t>
  </si>
  <si>
    <t xml:space="preserve">CPI_DTR</t>
  </si>
  <si>
    <t xml:space="preserve">CPI_pCA</t>
  </si>
  <si>
    <t xml:space="preserve">CPI_pZT</t>
  </si>
  <si>
    <t xml:space="preserve">CPI_pMT</t>
  </si>
  <si>
    <t xml:space="preserve">CPI_pMTR</t>
  </si>
  <si>
    <t xml:space="preserve">CMI_CA</t>
  </si>
  <si>
    <t xml:space="preserve">CMI_CT</t>
  </si>
  <si>
    <t xml:space="preserve">CMI_ZT</t>
  </si>
  <si>
    <t xml:space="preserve">CMI_DT</t>
  </si>
  <si>
    <t xml:space="preserve">CMI_MTR</t>
  </si>
  <si>
    <t xml:space="preserve">CMI_MT</t>
  </si>
  <si>
    <t xml:space="preserve">CMI_CTR</t>
  </si>
  <si>
    <t xml:space="preserve">CMI_DTR</t>
  </si>
  <si>
    <t xml:space="preserve">CMI_pCA</t>
  </si>
  <si>
    <t xml:space="preserve">CMI_pZT</t>
  </si>
  <si>
    <t xml:space="preserve">CMI_pMT</t>
  </si>
  <si>
    <t xml:space="preserve">CMI_pMTR</t>
  </si>
  <si>
    <t xml:space="preserve">RESP_CA</t>
  </si>
  <si>
    <t xml:space="preserve">RESP_CT</t>
  </si>
  <si>
    <t xml:space="preserve">RESP_ZT</t>
  </si>
  <si>
    <t xml:space="preserve">RESP_DT</t>
  </si>
  <si>
    <t xml:space="preserve">RESP_MTR</t>
  </si>
  <si>
    <t xml:space="preserve">RESP_MT</t>
  </si>
  <si>
    <t xml:space="preserve">RESP_CTR</t>
  </si>
  <si>
    <t xml:space="preserve">RESP_DTR</t>
  </si>
  <si>
    <t xml:space="preserve">RESP_pCA</t>
  </si>
  <si>
    <t xml:space="preserve">RESP_pZT</t>
  </si>
  <si>
    <t xml:space="preserve">RESP_pMT</t>
  </si>
  <si>
    <t xml:space="preserve">RESP_pMTR</t>
  </si>
  <si>
    <t xml:space="preserve">mg CO2/kg soil/day (printed 'mg CO2 g-1 day-1', read as ug/g/day)</t>
  </si>
  <si>
    <t xml:space="preserve">Table 8</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</si>
  <si>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FLAG unit: printed 'mg CO2 g-1 day-1'; taken as ug/g/day = mg/kg/day. LSD T and M 4.43.</t>
  </si>
  <si>
    <t xml:space="preserve">Basal soil respiration: 50 g moist soil incubated 7 d at 30 C, CO2 trapped in 0.5 N NaOH, back-titrated with HCl</t>
  </si>
  <si>
    <t xml:space="preserve">mg CO2/kg soil/day (printed 'mg g-1 soil 24 h-1', read as ug/g/day)</t>
  </si>
  <si>
    <t xml:space="preserve">After completion of two cycles (2007-08)</t>
  </si>
  <si>
    <t xml:space="preserve">FLAG unit: printed mg/g/24 h; read as ug/g/day = mg/kg/day; CO2 vs CO2-C not stated. LSD R 7.8.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</si>
  <si>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CO2 evolution, 24 h</t>
  </si>
  <si>
    <t xml:space="preserve">FLAG unit: printed mg/g/24 h; read as ug/g/day = mg/kg/day; CO2 vs CO2-C not stated. LSD R 7.8.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</si>
  <si>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mg CO2-C/kg soil/day (printed ug CO2(-C)/g/day)</t>
  </si>
  <si>
    <t xml:space="preserve">FLAG: expressed as CO2-C (methods) - sheet unit is CO2. Mineralisable C 0-23 d: 61.4/91.5/70.7 ug C/g; MQ x100 0.07/0.13/0.06; qCO2 0.0061/0.0038/0.0049.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</si>
  <si>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Linear CO2-C evolution rate, days 10-23 of incubation (alkali trap)</t>
  </si>
  <si>
    <t xml:space="preserve">PH_CA</t>
  </si>
  <si>
    <t xml:space="preserve">PH_CT</t>
  </si>
  <si>
    <t xml:space="preserve">PH_ZT</t>
  </si>
  <si>
    <t xml:space="preserve">PH_DT</t>
  </si>
  <si>
    <t xml:space="preserve">PH_MTR</t>
  </si>
  <si>
    <t xml:space="preserve">PH_MT</t>
  </si>
  <si>
    <t xml:space="preserve">PH_CTR</t>
  </si>
  <si>
    <t xml:space="preserve">PH_DTR</t>
  </si>
  <si>
    <t xml:space="preserve">PH_pCA</t>
  </si>
  <si>
    <t xml:space="preserve">PH_pZT</t>
  </si>
  <si>
    <t xml:space="preserve">PH_pMT</t>
  </si>
  <si>
    <t xml:space="preserve">PH_pMTR</t>
  </si>
  <si>
    <t xml:space="preserve">RICE-SEASON DATA (RED ROW): soil sampled only after rice harvest . ROW a: RWMCS FYM (CT) vs FYM+CR (CTR). Obs = 2 (T=2 paper treatments under CTR: FYM+CR and FYM+CR+BF). GREEN MANURE / 3rd CROP: mungbean in BOTH treatments of this row (residue to rice). Control (excluded): 8.29.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</si>
  <si>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Jackson (1973)</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</si>
  <si>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8.29.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</si>
  <si>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8.29.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</si>
  <si>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8.29.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</si>
  <si>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8.24.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</si>
  <si>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8.24.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</si>
  <si>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8.24.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</si>
  <si>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8.24.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</si>
  <si>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EC_CA</t>
  </si>
  <si>
    <t xml:space="preserve">EC_CT</t>
  </si>
  <si>
    <t xml:space="preserve">EC_ZT</t>
  </si>
  <si>
    <t xml:space="preserve">EC_DT</t>
  </si>
  <si>
    <t xml:space="preserve">EC_MTR</t>
  </si>
  <si>
    <t xml:space="preserve">EC_MT</t>
  </si>
  <si>
    <t xml:space="preserve">EC_CTR</t>
  </si>
  <si>
    <t xml:space="preserve">EC_DTR</t>
  </si>
  <si>
    <t xml:space="preserve">EC_pCA</t>
  </si>
  <si>
    <t xml:space="preserve">EC_pZT</t>
  </si>
  <si>
    <t xml:space="preserve">EC_pMT</t>
  </si>
  <si>
    <t xml:space="preserve">EC_pMTR</t>
  </si>
  <si>
    <t xml:space="preserve">dS/m (1:2.5)</t>
  </si>
  <si>
    <t xml:space="preserve">RICE-SEASON DATA (RED ROW): soil sampled only after rice harvest . ROW a: RWMCS FYM (CT) vs FYM+CR (CTR). Obs = 2 (T=2 paper treatments under CTR: FYM+CR and FYM+CR+BF). GREEN MANURE / 3rd CROP: mungbean in BOTH treatments of this row (residue to rice). Control (excluded): 0.47.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</si>
  <si>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0.47.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</si>
  <si>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0.47.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</si>
  <si>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0.47.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</si>
  <si>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0.483.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</si>
  <si>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0.483.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</si>
  <si>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0.483.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</si>
  <si>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0.483.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</si>
  <si>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CEC_CA</t>
  </si>
  <si>
    <t xml:space="preserve">CEC_CT</t>
  </si>
  <si>
    <t xml:space="preserve">CEC_ZT</t>
  </si>
  <si>
    <t xml:space="preserve">CEC_DT</t>
  </si>
  <si>
    <t xml:space="preserve">CEC_MTR</t>
  </si>
  <si>
    <t xml:space="preserve">CEC_MT</t>
  </si>
  <si>
    <t xml:space="preserve">CEC_CTR</t>
  </si>
  <si>
    <t xml:space="preserve">CEC_DTR</t>
  </si>
  <si>
    <t xml:space="preserve">CEC_pCA</t>
  </si>
  <si>
    <t xml:space="preserve">CEC_pZT</t>
  </si>
  <si>
    <t xml:space="preserve">CEC_pMT</t>
  </si>
  <si>
    <t xml:space="preserve">CEC_pMTR</t>
  </si>
  <si>
    <t xml:space="preserve">N_CA</t>
  </si>
  <si>
    <t xml:space="preserve">N_CT</t>
  </si>
  <si>
    <t xml:space="preserve">N_ZT</t>
  </si>
  <si>
    <t xml:space="preserve">N_DT</t>
  </si>
  <si>
    <t xml:space="preserve">N_MTR</t>
  </si>
  <si>
    <t xml:space="preserve">N_MT</t>
  </si>
  <si>
    <t xml:space="preserve">N_CTR</t>
  </si>
  <si>
    <t xml:space="preserve">N_DTR</t>
  </si>
  <si>
    <t xml:space="preserve">N_pCA</t>
  </si>
  <si>
    <t xml:space="preserve">N_pZT</t>
  </si>
  <si>
    <t xml:space="preserve">N_pMT</t>
  </si>
  <si>
    <t xml:space="preserve">N_pMTR</t>
  </si>
  <si>
    <t xml:space="preserve">kg/ha (digitised mg/kg x 2.24)</t>
  </si>
  <si>
    <t xml:space="preserve">Fig. 5 (digitised) - converted</t>
  </si>
  <si>
    <t xml:space="preserve">DIGITISED from Fig. 5 (mg/kg) and x 2.24 (0-15 cm). Fig. 5 shows only Ludhiana, Faizabad, Kalyani and Jabalpur.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</si>
  <si>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Alkaline KMnO4 available N</t>
  </si>
  <si>
    <t xml:space="preserve">DIGITISED from Fig. 5 (mg/kg) and x 2.24 (0-15 cm). Fig. 5 shows only Ludhiana, Faizabad, Kalyani and Jabalpur.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</si>
  <si>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5 (mg/kg) and x 2.24 (0-15 cm). Fig. 5 shows only Ludhiana, Faizabad, Kalyani and Jabalpur.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</si>
  <si>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5 (mg/kg) and x 2.24 (0-15 cm). Fig. 5 shows only Ludhiana, Faizabad, Kalyani and Jabalpur.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</si>
  <si>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kg/ha (alkali-hydrolysable N: printed mg/kg x treatment BD x 10 cm x 0.1)</t>
  </si>
  <si>
    <t xml:space="preserve">CONVERTED with the same treatment's 2020 BD of this layer (live link): printed CN 93.21, PR 91.42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</si>
  <si>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Alkali-hydrolysis diffusion</t>
  </si>
  <si>
    <t xml:space="preserve">CONVERTED with the same treatment's 2020 BD of this layer (live link): printed CN 87.05, PR 88.0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</si>
  <si>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CONVERTED with the same treatment's 2020 BD of this layer (live link): printed CN 75.05, PR 60.0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</si>
  <si>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kg/ha (available N, alkaline KMnO4, as printed)</t>
  </si>
  <si>
    <t xml:space="preserve">RICE-SEASON DATA (RED ROW): soil sampled only after rice harvest . ROW a: RWMCS FYM (CT) vs FYM+CR (CTR). Obs = 2 (T=2 paper treatments under CTR: FYM+CR and FYM+CR+BF). GREEN MANURE / 3rd CROP: mungbean in BOTH treatments of this row (residue to rice). Control (excluded): 217.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</si>
  <si>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Subbiah &amp; Asija (1956)</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</si>
  <si>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217.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</si>
  <si>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217.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</si>
  <si>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217.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</si>
  <si>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226.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</si>
  <si>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226.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</si>
  <si>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226.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</si>
  <si>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226.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</si>
  <si>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P_CA</t>
  </si>
  <si>
    <t xml:space="preserve">P_CT</t>
  </si>
  <si>
    <t xml:space="preserve">P_ZT</t>
  </si>
  <si>
    <t xml:space="preserve">P_DT</t>
  </si>
  <si>
    <t xml:space="preserve">P_MTR</t>
  </si>
  <si>
    <t xml:space="preserve">P_MT</t>
  </si>
  <si>
    <t xml:space="preserve">P_CTR</t>
  </si>
  <si>
    <t xml:space="preserve">P_DTR</t>
  </si>
  <si>
    <t xml:space="preserve">P_pCA</t>
  </si>
  <si>
    <t xml:space="preserve">P_pZT</t>
  </si>
  <si>
    <t xml:space="preserve">P_pMT</t>
  </si>
  <si>
    <t xml:space="preserve">P_pMTR</t>
  </si>
  <si>
    <t xml:space="preserve">kg/ha (printed Olsen P mg/kg x 2.24)</t>
  </si>
  <si>
    <t xml:space="preserve">CONVERTED: printed 8.6 (RR) / 9.1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</si>
  <si>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0.5 M NaHCO3-extractable P (Olsen)</t>
  </si>
  <si>
    <t xml:space="preserve">GREEN MANURE / 3rd CROP: summer mungbean in BOTH treatments of this row (pods picked, residue incorporated in RI only). CONVERTED: printed 8.8 (RR) / 9.5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</si>
  <si>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CONVERTED: printed 8.8 (RR) / 9.4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</si>
  <si>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GREEN MANURE / 3rd CROP: summer mungbean in BOTH treatments of this row (pods picked, residue incorporated in RI only). CONVERTED: printed 9.1 (RR) / 9.9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</si>
  <si>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kg/ha (digitised Olsen P mg/kg x 2.24)</t>
  </si>
  <si>
    <t xml:space="preserve">Fig. 6 (digitised) - converted</t>
  </si>
  <si>
    <t xml:space="preserve">DIGITISED from Fig. 6 (initial bars reproduce Table 1) and x 2.24.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</si>
  <si>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0.5 M NaHCO3 (pH 8.5) extractable P</t>
  </si>
  <si>
    <t xml:space="preserve">DIGITISED from Fig. 6 (initial bars reproduce Table 1) and x 2.24.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</si>
  <si>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6 (initial bars reproduce Table 1) and x 2.24.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</si>
  <si>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6 (initial bars reproduce Table 1) and x 2.24.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</si>
  <si>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6 (initial bars reproduce Table 1) and x 2.24.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</si>
  <si>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6 (initial bars reproduce Table 1) and x 2.24.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</si>
  <si>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6 (initial bars reproduce Table 1) and x 2.24.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</si>
  <si>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kg/ha (available P: printed mg/kg x treatment BD x 10 cm x 0.1)</t>
  </si>
  <si>
    <t xml:space="preserve">CONVERTED with the same treatment's 2020 BD of this layer (live link): printed CN 36.28, PR 32.54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</si>
  <si>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Available P (Olsen-type)</t>
  </si>
  <si>
    <t xml:space="preserve">CONVERTED with the same treatment's 2020 BD of this layer (live link): printed CN 32.6, PR 35.68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</si>
  <si>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CONVERTED with the same treatment's 2020 BD of this layer (live link): printed CN 26.4, PR 23.68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</si>
  <si>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kg/ha (Olsen P mg/kg x treatment BD x 15 cm x 0.1)</t>
  </si>
  <si>
    <t xml:space="preserve">Table 5 - converted</t>
  </si>
  <si>
    <t xml:space="preserve">CONVERTED with the same treatment's BD (live link): printed 16.7 / 19.2 mg/kg. RICE-SEASON DATA (RED ROW): soil sampled only after rice harvest . ROW a: RWMCS FYM (CT) vs FYM+CR (CTR). Obs = 2 (T=2 paper treatments under CTR: FYM+CR and FYM+CR+BF). GREEN MANURE / 3rd CROP: mungbean in BOTH treatments of this row (residue to rice). Control (excluded): 14.7.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</si>
  <si>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Olsen et al. (1954)</t>
  </si>
  <si>
    <t xml:space="preserve">CONVERTED with the same treatment's BD (live link): printed 16.7 / 20.6 mg/kg. 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</si>
  <si>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CONVERTED with the same treatment's BD (live link): printed 17.9 / 20.0 mg/kg. RICE-SEASON DATA (RED ROW): soil sampled only after rice harvest . ROW a: RWMCS VC (CT) vs VC+CR (CTR). Obs = 2 (T=2 paper treatments under CTR: VC+CR and VC+CR+BF). GREEN MANURE / 3rd CROP: mungbean in BOTH treatments of this row (residue to rice). Control (excluded): 14.7.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</si>
  <si>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CONVERTED with the same treatment's BD (live link): printed 17.9 / 23.2 mg/kg. 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</si>
  <si>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CONVERTED with the same treatment's BD (live link): printed 15.7 / 18.3 mg/kg. RICE-SEASON DATA (RED ROW): soil sampled only after rice harvest . ROW a: RWCS FYM (CT) vs FYM+CR (CTR). Obs = 2 (T=2 paper treatments under CTR: FYM+CR and FYM+CR+BF). Control (excluded): 12.7.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</si>
  <si>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CONVERTED with the same treatment's BD (live link): printed 15.7 / 20.2 mg/kg. RICE-SEASON DATA (RED ROW): soil sampled only after rice harvest . ROW b: RWCS FYM (CT) vs FYM+CR+BF (CTR). Obs = 2 (T=2 paper treatments under CTR: FYM+CR and FYM+CR+BF). FLAG: biofertiliser inoculation confounded with residue. Control (excluded): 12.7.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</si>
  <si>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CONVERTED with the same treatment's BD (live link): printed 17.1 / 19.2 mg/kg. RICE-SEASON DATA (RED ROW): soil sampled only after rice harvest . ROW a: RWCS VC (CT) vs VC+CR (CTR). Obs = 2 (T=2 paper treatments under CTR: VC+CR and VC+CR+BF). Control (excluded): 12.7.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</si>
  <si>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CONVERTED with the same treatment's BD (live link): printed 17.1 / 22.4 mg/kg. RICE-SEASON DATA (RED ROW): soil sampled only after rice harvest . ROW b: RWCS VC (CT) vs VC+CR+BF (CTR). Obs = 2 (T=2 paper treatments under CTR: VC+CR and VC+CR+BF). FLAG: biofertiliser inoculation confounded with residue. Control (excluded): 12.7.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</si>
  <si>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K_CA</t>
  </si>
  <si>
    <t xml:space="preserve">K_CT</t>
  </si>
  <si>
    <t xml:space="preserve">K_ZT</t>
  </si>
  <si>
    <t xml:space="preserve">K_DT</t>
  </si>
  <si>
    <t xml:space="preserve">K_MTR</t>
  </si>
  <si>
    <t xml:space="preserve">K_MT</t>
  </si>
  <si>
    <t xml:space="preserve">K_CTR</t>
  </si>
  <si>
    <t xml:space="preserve">K_DTR</t>
  </si>
  <si>
    <t xml:space="preserve">K_pCA</t>
  </si>
  <si>
    <t xml:space="preserve">K_pZT</t>
  </si>
  <si>
    <t xml:space="preserve">K_pMT</t>
  </si>
  <si>
    <t xml:space="preserve">K_pMTR</t>
  </si>
  <si>
    <t xml:space="preserve">kg/ha (printed NH4OAc-K mg/kg x 2.24)</t>
  </si>
  <si>
    <t xml:space="preserve">CONVERTED: printed 195 (RR) / 223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</si>
  <si>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Neutral 1 N NH4OAc-extractable K</t>
  </si>
  <si>
    <t xml:space="preserve">GREEN MANURE / 3rd CROP: summer mungbean in BOTH treatments of this row (pods picked, residue incorporated in RI only). CONVERTED: printed 204 (RR) / 234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</si>
  <si>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CONVERTED: printed 197 (RR) / 227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</si>
  <si>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GREEN MANURE / 3rd CROP: summer mungbean in BOTH treatments of this row (pods picked, residue incorporated in RI only). CONVERTED: printed 207 (RR) / 241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</si>
  <si>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kg/ha (digitised NH4OAc-K mg/kg x 2.24)</t>
  </si>
  <si>
    <t xml:space="preserve">Fig. 7 (digitised) - converted</t>
  </si>
  <si>
    <t xml:space="preserve">DIGITISED from Fig. 7 (initial bars reproduce Table 1) and x 2.24.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</si>
  <si>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1 N NH4OAc extractable K</t>
  </si>
  <si>
    <t xml:space="preserve">DIGITISED from Fig. 7 (initial bars reproduce Table 1) and x 2.24.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</si>
  <si>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7 (initial bars reproduce Table 1) and x 2.24.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</si>
  <si>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7 (initial bars reproduce Table 1) and x 2.24.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</si>
  <si>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7 (initial bars reproduce Table 1) and x 2.24.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</si>
  <si>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7 (initial bars reproduce Table 1) and x 2.24.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</si>
  <si>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7 (initial bars reproduce Table 1) and x 2.24.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</si>
  <si>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kg/ha (available K: printed mg/kg x treatment BD x 10 cm x 0.1)</t>
  </si>
  <si>
    <t xml:space="preserve">CONVERTED with the same treatment's 2020 BD of this layer (live link): printed CN 106.36, PR 102.55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</si>
  <si>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Available (rapidly available) K</t>
  </si>
  <si>
    <t xml:space="preserve">CONVERTED with the same treatment's 2020 BD of this layer (live link): printed CN 90.56, PR 99.47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</si>
  <si>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CONVERTED with the same treatment's 2020 BD of this layer (live link): printed CN 80.56, PR 69.47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</si>
  <si>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S_CA</t>
  </si>
  <si>
    <t xml:space="preserve">S_CT</t>
  </si>
  <si>
    <t xml:space="preserve">S_ZT</t>
  </si>
  <si>
    <t xml:space="preserve">S_DT</t>
  </si>
  <si>
    <t xml:space="preserve">S_MTR</t>
  </si>
  <si>
    <t xml:space="preserve">S_MT</t>
  </si>
  <si>
    <t xml:space="preserve">S_CTR</t>
  </si>
  <si>
    <t xml:space="preserve">S_DTR</t>
  </si>
  <si>
    <t xml:space="preserve">S_pCA</t>
  </si>
  <si>
    <t xml:space="preserve">S_pZT</t>
  </si>
  <si>
    <t xml:space="preserve">S_pMT</t>
  </si>
  <si>
    <t xml:space="preserve">S_pMTR</t>
  </si>
  <si>
    <t xml:space="preserve">TN_CA</t>
  </si>
  <si>
    <t xml:space="preserve">TN_CT</t>
  </si>
  <si>
    <t xml:space="preserve">TN_ZT</t>
  </si>
  <si>
    <t xml:space="preserve">TN_DT</t>
  </si>
  <si>
    <t xml:space="preserve">TN_MTR</t>
  </si>
  <si>
    <t xml:space="preserve">TN_MT</t>
  </si>
  <si>
    <t xml:space="preserve">TN_CTR</t>
  </si>
  <si>
    <t xml:space="preserve">TN_DTR</t>
  </si>
  <si>
    <t xml:space="preserve">TN_pCA</t>
  </si>
  <si>
    <t xml:space="preserve">TN_pZT</t>
  </si>
  <si>
    <t xml:space="preserve">TN_pMT</t>
  </si>
  <si>
    <t xml:space="preserve">TN_pMTR</t>
  </si>
  <si>
    <t xml:space="preserve">mg/kg (Kjeldahl N)</t>
  </si>
  <si>
    <t xml:space="preserve">Printed RW-RR '6.35' and RI '70.2' in 2006-07 are typesetting errors for 635 and 702 (row mean 669 confirms). LSD residue 43.2 (06-07), 46.8 (07-08).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</si>
  <si>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Total Kjeldahl N</t>
  </si>
  <si>
    <t xml:space="preserve">GREEN MANURE / 3rd CROP: summer mungbean in BOTH treatments of this row (pods picked, residue incorporated in RI only). LSD residue 43.2 (06-07), 46.8 (07-08).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</si>
  <si>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LSD residue 43.2 (06-07), 46.8 (07-08).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</si>
  <si>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mg/kg (printed g/kg x 1000)</t>
  </si>
  <si>
    <t xml:space="preserve">Total N</t>
  </si>
  <si>
    <t xml:space="preserve">TP_CA</t>
  </si>
  <si>
    <t xml:space="preserve">TP_CT</t>
  </si>
  <si>
    <t xml:space="preserve">TP_ZT</t>
  </si>
  <si>
    <t xml:space="preserve">TP_DT</t>
  </si>
  <si>
    <t xml:space="preserve">TP_MTR</t>
  </si>
  <si>
    <t xml:space="preserve">TP_MT</t>
  </si>
  <si>
    <t xml:space="preserve">TP_CTR</t>
  </si>
  <si>
    <t xml:space="preserve">TP_DTR</t>
  </si>
  <si>
    <t xml:space="preserve">TP_pCA</t>
  </si>
  <si>
    <t xml:space="preserve">TP_pZT</t>
  </si>
  <si>
    <t xml:space="preserve">TP_pMT</t>
  </si>
  <si>
    <t xml:space="preserve">TP_pMTR</t>
  </si>
  <si>
    <t xml:space="preserve">TK_CA</t>
  </si>
  <si>
    <t xml:space="preserve">TK_CT</t>
  </si>
  <si>
    <t xml:space="preserve">TK_ZT</t>
  </si>
  <si>
    <t xml:space="preserve">TK_DT</t>
  </si>
  <si>
    <t xml:space="preserve">TK_MTR</t>
  </si>
  <si>
    <t xml:space="preserve">TK_MT</t>
  </si>
  <si>
    <t xml:space="preserve">TK_CTR</t>
  </si>
  <si>
    <t xml:space="preserve">TK_DTR</t>
  </si>
  <si>
    <t xml:space="preserve">TK_pCA</t>
  </si>
  <si>
    <t xml:space="preserve">TK_pZT</t>
  </si>
  <si>
    <t xml:space="preserve">TK_pMT</t>
  </si>
  <si>
    <t xml:space="preserve">TK_pMTR</t>
  </si>
  <si>
    <t xml:space="preserve">WSK_CA</t>
  </si>
  <si>
    <t xml:space="preserve">WSK_CT</t>
  </si>
  <si>
    <t xml:space="preserve">WSK_ZT</t>
  </si>
  <si>
    <t xml:space="preserve">WSK_DT</t>
  </si>
  <si>
    <t xml:space="preserve">WSK_MTR</t>
  </si>
  <si>
    <t xml:space="preserve">WSK_MT</t>
  </si>
  <si>
    <t xml:space="preserve">WSK_CTR</t>
  </si>
  <si>
    <t xml:space="preserve">WSK_DTR</t>
  </si>
  <si>
    <t xml:space="preserve">WSK_pCA</t>
  </si>
  <si>
    <t xml:space="preserve">WSK_pZT</t>
  </si>
  <si>
    <t xml:space="preserve">WSK_pMT</t>
  </si>
  <si>
    <t xml:space="preserve">WSK_pMTR</t>
  </si>
  <si>
    <t xml:space="preserve">EXK_CA</t>
  </si>
  <si>
    <t xml:space="preserve">EXK_CT</t>
  </si>
  <si>
    <t xml:space="preserve">EXK_ZT</t>
  </si>
  <si>
    <t xml:space="preserve">EXK_DT</t>
  </si>
  <si>
    <t xml:space="preserve">EXK_MTR</t>
  </si>
  <si>
    <t xml:space="preserve">EXK_MT</t>
  </si>
  <si>
    <t xml:space="preserve">EXK_CTR</t>
  </si>
  <si>
    <t xml:space="preserve">EXK_DTR</t>
  </si>
  <si>
    <t xml:space="preserve">EXK_pCA</t>
  </si>
  <si>
    <t xml:space="preserve">EXK_pZT</t>
  </si>
  <si>
    <t xml:space="preserve">EXK_pMT</t>
  </si>
  <si>
    <t xml:space="preserve">EXK_pMTR</t>
  </si>
  <si>
    <t xml:space="preserve">NEXK_CA</t>
  </si>
  <si>
    <t xml:space="preserve">NEXK_CT</t>
  </si>
  <si>
    <t xml:space="preserve">NEXK_ZT</t>
  </si>
  <si>
    <t xml:space="preserve">NEXK_DT</t>
  </si>
  <si>
    <t xml:space="preserve">NEXK_MTR</t>
  </si>
  <si>
    <t xml:space="preserve">NEXK_MT</t>
  </si>
  <si>
    <t xml:space="preserve">NEXK_CTR</t>
  </si>
  <si>
    <t xml:space="preserve">NEXK_DTR</t>
  </si>
  <si>
    <t xml:space="preserve">NEXK_pCA</t>
  </si>
  <si>
    <t xml:space="preserve">NEXK_pZT</t>
  </si>
  <si>
    <t xml:space="preserve">NEXK_pMT</t>
  </si>
  <si>
    <t xml:space="preserve">NEXK_pMTR</t>
  </si>
  <si>
    <t xml:space="preserve">NO3_CA</t>
  </si>
  <si>
    <t xml:space="preserve">NO3_CT</t>
  </si>
  <si>
    <t xml:space="preserve">NO3_ZT</t>
  </si>
  <si>
    <t xml:space="preserve">NO3_DT</t>
  </si>
  <si>
    <t xml:space="preserve">NO3_MTR</t>
  </si>
  <si>
    <t xml:space="preserve">NO3_MT</t>
  </si>
  <si>
    <t xml:space="preserve">NO3_CTR</t>
  </si>
  <si>
    <t xml:space="preserve">NO3_DTR</t>
  </si>
  <si>
    <t xml:space="preserve">NO3_pCA</t>
  </si>
  <si>
    <t xml:space="preserve">NO3_pZT</t>
  </si>
  <si>
    <t xml:space="preserve">NO3_pMT</t>
  </si>
  <si>
    <t xml:space="preserve">NO3_pMTR</t>
  </si>
  <si>
    <t xml:space="preserve">NH4_CA</t>
  </si>
  <si>
    <t xml:space="preserve">NH4_CT</t>
  </si>
  <si>
    <t xml:space="preserve">NH4_ZT</t>
  </si>
  <si>
    <t xml:space="preserve">NH4_DT</t>
  </si>
  <si>
    <t xml:space="preserve">NH4_MTR</t>
  </si>
  <si>
    <t xml:space="preserve">NH4_MT</t>
  </si>
  <si>
    <t xml:space="preserve">NH4_CTR</t>
  </si>
  <si>
    <t xml:space="preserve">NH4_DTR</t>
  </si>
  <si>
    <t xml:space="preserve">NH4_pCA</t>
  </si>
  <si>
    <t xml:space="preserve">NH4_pZT</t>
  </si>
  <si>
    <t xml:space="preserve">NH4_pMT</t>
  </si>
  <si>
    <t xml:space="preserve">NH4_pMTR</t>
  </si>
  <si>
    <t xml:space="preserve">SIN_CA</t>
  </si>
  <si>
    <t xml:space="preserve">SIN_CT</t>
  </si>
  <si>
    <t xml:space="preserve">SIN_ZT</t>
  </si>
  <si>
    <t xml:space="preserve">SIN_DT</t>
  </si>
  <si>
    <t xml:space="preserve">SIN_MTR</t>
  </si>
  <si>
    <t xml:space="preserve">SIN_MT</t>
  </si>
  <si>
    <t xml:space="preserve">SIN_CTR</t>
  </si>
  <si>
    <t xml:space="preserve">SIN_DTR</t>
  </si>
  <si>
    <t xml:space="preserve">SIN_pCA</t>
  </si>
  <si>
    <t xml:space="preserve">SIN_pZT</t>
  </si>
  <si>
    <t xml:space="preserve">SIN_pMT</t>
  </si>
  <si>
    <t xml:space="preserve">SIN_pMTR</t>
  </si>
  <si>
    <t xml:space="preserve">PMN_CA</t>
  </si>
  <si>
    <t xml:space="preserve">PMN_CT</t>
  </si>
  <si>
    <t xml:space="preserve">PMN_ZT</t>
  </si>
  <si>
    <t xml:space="preserve">PMN_DT</t>
  </si>
  <si>
    <t xml:space="preserve">PMN_MTR</t>
  </si>
  <si>
    <t xml:space="preserve">PMN_MT</t>
  </si>
  <si>
    <t xml:space="preserve">PMN_CTR</t>
  </si>
  <si>
    <t xml:space="preserve">PMN_DTR</t>
  </si>
  <si>
    <t xml:space="preserve">PMN_pCA</t>
  </si>
  <si>
    <t xml:space="preserve">PMN_pZT</t>
  </si>
  <si>
    <t xml:space="preserve">PMN_pMT</t>
  </si>
  <si>
    <t xml:space="preserve">PMN_pMTR</t>
  </si>
  <si>
    <t xml:space="preserve">NO3L_CA</t>
  </si>
  <si>
    <t xml:space="preserve">NO3L_CT</t>
  </si>
  <si>
    <t xml:space="preserve">NO3L_ZT</t>
  </si>
  <si>
    <t xml:space="preserve">NO3L_DT</t>
  </si>
  <si>
    <t xml:space="preserve">NO3L_MTR</t>
  </si>
  <si>
    <t xml:space="preserve">NO3L_MT</t>
  </si>
  <si>
    <t xml:space="preserve">NO3L_CTR</t>
  </si>
  <si>
    <t xml:space="preserve">NO3L_DTR</t>
  </si>
  <si>
    <t xml:space="preserve">NO3L_pCA</t>
  </si>
  <si>
    <t xml:space="preserve">NO3L_pZT</t>
  </si>
  <si>
    <t xml:space="preserve">NO3L_pMT</t>
  </si>
  <si>
    <t xml:space="preserve">NO3L_pMTR</t>
  </si>
  <si>
    <t xml:space="preserve">N15R_CA</t>
  </si>
  <si>
    <t xml:space="preserve">N15R_CT</t>
  </si>
  <si>
    <t xml:space="preserve">N15R_ZT</t>
  </si>
  <si>
    <t xml:space="preserve">N15R_DT</t>
  </si>
  <si>
    <t xml:space="preserve">N15R_MTR</t>
  </si>
  <si>
    <t xml:space="preserve">N15R_MT</t>
  </si>
  <si>
    <t xml:space="preserve">N15R_CTR</t>
  </si>
  <si>
    <t xml:space="preserve">N15R_DTR</t>
  </si>
  <si>
    <t xml:space="preserve">N15R_pCA</t>
  </si>
  <si>
    <t xml:space="preserve">N15R_pZT</t>
  </si>
  <si>
    <t xml:space="preserve">N15R_pMT</t>
  </si>
  <si>
    <t xml:space="preserve">N15R_pMTR</t>
  </si>
  <si>
    <t xml:space="preserve">B_CA</t>
  </si>
  <si>
    <t xml:space="preserve">B_CT</t>
  </si>
  <si>
    <t xml:space="preserve">B_ZT</t>
  </si>
  <si>
    <t xml:space="preserve">B_DT</t>
  </si>
  <si>
    <t xml:space="preserve">B_MTR</t>
  </si>
  <si>
    <t xml:space="preserve">B_MT</t>
  </si>
  <si>
    <t xml:space="preserve">B_CTR</t>
  </si>
  <si>
    <t xml:space="preserve">B_DTR</t>
  </si>
  <si>
    <t xml:space="preserve">B_pCA</t>
  </si>
  <si>
    <t xml:space="preserve">B_pZT</t>
  </si>
  <si>
    <t xml:space="preserve">B_pMT</t>
  </si>
  <si>
    <t xml:space="preserve">B_pMTR</t>
  </si>
  <si>
    <t xml:space="preserve">Fe_CA</t>
  </si>
  <si>
    <t xml:space="preserve">Fe_CT</t>
  </si>
  <si>
    <t xml:space="preserve">Fe_ZT</t>
  </si>
  <si>
    <t xml:space="preserve">Fe_DT</t>
  </si>
  <si>
    <t xml:space="preserve">Fe_MTR</t>
  </si>
  <si>
    <t xml:space="preserve">Fe_MT</t>
  </si>
  <si>
    <t xml:space="preserve">Fe_CTR</t>
  </si>
  <si>
    <t xml:space="preserve">Fe_DTR</t>
  </si>
  <si>
    <t xml:space="preserve">Fe_pCA</t>
  </si>
  <si>
    <t xml:space="preserve">Fe_pZT</t>
  </si>
  <si>
    <t xml:space="preserve">Fe_pMT</t>
  </si>
  <si>
    <t xml:space="preserve">Fe_pMTR</t>
  </si>
  <si>
    <t xml:space="preserve">ppm (DTPA)</t>
  </si>
  <si>
    <t xml:space="preserve">RICE-SEASON DATA (RED ROW): soil sampled only after rice harvest . ROW a: RWMCS FYM (CT) vs FYM+CR (CTR). Obs = 2 (T=2 paper treatments under CTR: FYM+CR and FYM+CR+BF). GREEN MANURE / 3rd CROP: mungbean in BOTH treatments of this row (residue to rice). Control (excluded): 31.2.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</si>
  <si>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DTPA (Lindsay &amp; Norvell 1978)</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</si>
  <si>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31.2.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</si>
  <si>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31.2.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</si>
  <si>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31.2.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</si>
  <si>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26.1.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</si>
  <si>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26.1.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</si>
  <si>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26.1.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</si>
  <si>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26.1.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</si>
  <si>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Mn_CA</t>
  </si>
  <si>
    <t xml:space="preserve">Mn_CT</t>
  </si>
  <si>
    <t xml:space="preserve">Mn_ZT</t>
  </si>
  <si>
    <t xml:space="preserve">Mn_DT</t>
  </si>
  <si>
    <t xml:space="preserve">Mn_MTR</t>
  </si>
  <si>
    <t xml:space="preserve">Mn_MT</t>
  </si>
  <si>
    <t xml:space="preserve">Mn_CTR</t>
  </si>
  <si>
    <t xml:space="preserve">Mn_DTR</t>
  </si>
  <si>
    <t xml:space="preserve">Mn_pCA</t>
  </si>
  <si>
    <t xml:space="preserve">Mn_pZT</t>
  </si>
  <si>
    <t xml:space="preserve">Mn_pMT</t>
  </si>
  <si>
    <t xml:space="preserve">Mn_pMTR</t>
  </si>
  <si>
    <t xml:space="preserve">RICE-SEASON DATA (RED ROW): soil sampled only after rice harvest . ROW a: RWMCS FYM (CT) vs FYM+CR (CTR). Obs = 2 (T=2 paper treatments under CTR: FYM+CR and FYM+CR+BF). GREEN MANURE / 3rd CROP: mungbean in BOTH treatments of this row (residue to rice). Control (excluded): 12.15.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</si>
  <si>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12.15.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</si>
  <si>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12.15.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</si>
  <si>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12.15.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</si>
  <si>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13.42.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</si>
  <si>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13.42.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</si>
  <si>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13.42.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</si>
  <si>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13.42.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</si>
  <si>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Cu_CA</t>
  </si>
  <si>
    <t xml:space="preserve">Cu_CT</t>
  </si>
  <si>
    <t xml:space="preserve">Cu_ZT</t>
  </si>
  <si>
    <t xml:space="preserve">Cu_DT</t>
  </si>
  <si>
    <t xml:space="preserve">Cu_MTR</t>
  </si>
  <si>
    <t xml:space="preserve">Cu_MT</t>
  </si>
  <si>
    <t xml:space="preserve">Cu_CTR</t>
  </si>
  <si>
    <t xml:space="preserve">Cu_DTR</t>
  </si>
  <si>
    <t xml:space="preserve">Cu_pCA</t>
  </si>
  <si>
    <t xml:space="preserve">Cu_pZT</t>
  </si>
  <si>
    <t xml:space="preserve">Cu_pMT</t>
  </si>
  <si>
    <t xml:space="preserve">Cu_pMTR</t>
  </si>
  <si>
    <t xml:space="preserve">RICE-SEASON DATA (RED ROW): soil sampled only after rice harvest . ROW a: RWMCS FYM (CT) vs FYM+CR (CTR). Obs = 2 (T=2 paper treatments under CTR: FYM+CR and FYM+CR+BF). GREEN MANURE / 3rd CROP: mungbean in BOTH treatments of this row (residue to rice). Control (excluded): 4.18.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</si>
  <si>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4.18.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</si>
  <si>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4.18.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</si>
  <si>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4.18.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</si>
  <si>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3.91.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</si>
  <si>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3.91.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</si>
  <si>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3.91.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</si>
  <si>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3.91.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</si>
  <si>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Zn_CA</t>
  </si>
  <si>
    <t xml:space="preserve">Zn_CT</t>
  </si>
  <si>
    <t xml:space="preserve">Zn_ZT</t>
  </si>
  <si>
    <t xml:space="preserve">Zn_DT</t>
  </si>
  <si>
    <t xml:space="preserve">Zn_MTR</t>
  </si>
  <si>
    <t xml:space="preserve">Zn_MT</t>
  </si>
  <si>
    <t xml:space="preserve">Zn_CTR</t>
  </si>
  <si>
    <t xml:space="preserve">Zn_DTR</t>
  </si>
  <si>
    <t xml:space="preserve">Zn_pCA</t>
  </si>
  <si>
    <t xml:space="preserve">Zn_pZT</t>
  </si>
  <si>
    <t xml:space="preserve">Zn_pMT</t>
  </si>
  <si>
    <t xml:space="preserve">Zn_pMTR</t>
  </si>
  <si>
    <t xml:space="preserve">RICE-SEASON DATA (RED ROW): soil sampled only after rice harvest . ROW a: RWMCS FYM (CT) vs FYM+CR (CTR). Obs = 2 (T=2 paper treatments under CTR: FYM+CR and FYM+CR+BF). GREEN MANURE / 3rd CROP: mungbean in BOTH treatments of this row (residue to rice). Control (excluded): 1.75.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</si>
  <si>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1.75.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</si>
  <si>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1.75.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</si>
  <si>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1.75.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</si>
  <si>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1.53.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</si>
  <si>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1.53.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</si>
  <si>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1.53.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</si>
  <si>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1.53.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</si>
  <si>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MBC_CA</t>
  </si>
  <si>
    <t xml:space="preserve">MBC_CT</t>
  </si>
  <si>
    <t xml:space="preserve">MBC_ZT</t>
  </si>
  <si>
    <t xml:space="preserve">MBC_DT</t>
  </si>
  <si>
    <t xml:space="preserve">MBC_MTR</t>
  </si>
  <si>
    <t xml:space="preserve">MBC_MT</t>
  </si>
  <si>
    <t xml:space="preserve">MBC_CTR</t>
  </si>
  <si>
    <t xml:space="preserve">MBC_DTR</t>
  </si>
  <si>
    <t xml:space="preserve">MBC_pCA</t>
  </si>
  <si>
    <t xml:space="preserve">MBC_pZT</t>
  </si>
  <si>
    <t xml:space="preserve">MBC_pMT</t>
  </si>
  <si>
    <t xml:space="preserve">MBC_pMTR</t>
  </si>
  <si>
    <t xml:space="preserve">ug C/g soil (printed 'mg g-1', mu lost in typesetting)</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</si>
  <si>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Unit printed as 'mg g-1 soil' - values (84-333) are ug/g; LSD T and M 37.1, TxM NS.</t>
  </si>
  <si>
    <t xml:space="preserve">Chloroform fumigation-extraction (Vance et al. 1987), 0.5 M K2SO4, kEC 0.41</t>
  </si>
  <si>
    <t xml:space="preserve">ug C/g soil (printed 'mg g-1', read as ug/g)</t>
  </si>
  <si>
    <t xml:space="preserve">FLAG: 'microbial biomass' printed in mg/g; values 205-261 are ug/g; biomass C assumed. LSD R 13.8.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</si>
  <si>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Fumigation method (Jenkinson &amp; Ladd 1981)</t>
  </si>
  <si>
    <t xml:space="preserve">FLAG: 'microbial biomass' printed in mg/g; values 205-261 are ug/g; biomass C assumed. LSD R 13.8.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</si>
  <si>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ug C/g soil</t>
  </si>
  <si>
    <t xml:space="preserve">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</si>
  <si>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Fumigation-extraction (Vance et al. 1987), kEC 0.38</t>
  </si>
  <si>
    <t xml:space="preserve">MBN_CA</t>
  </si>
  <si>
    <t xml:space="preserve">MBN_CT</t>
  </si>
  <si>
    <t xml:space="preserve">MBN_ZT</t>
  </si>
  <si>
    <t xml:space="preserve">MBN_DT</t>
  </si>
  <si>
    <t xml:space="preserve">MBN_MTR</t>
  </si>
  <si>
    <t xml:space="preserve">MBN_MT</t>
  </si>
  <si>
    <t xml:space="preserve">MBN_CTR</t>
  </si>
  <si>
    <t xml:space="preserve">MBN_DTR</t>
  </si>
  <si>
    <t xml:space="preserve">MBN_pCA</t>
  </si>
  <si>
    <t xml:space="preserve">MBN_pZT</t>
  </si>
  <si>
    <t xml:space="preserve">MBN_pMT</t>
  </si>
  <si>
    <t xml:space="preserve">MBN_pMTR</t>
  </si>
  <si>
    <t xml:space="preserve">ug N/g soil</t>
  </si>
  <si>
    <t xml:space="preserve">Fumigation-extraction (Jenkinson et al. 1988), kEN 0.45</t>
  </si>
  <si>
    <t xml:space="preserve">GLO_CA</t>
  </si>
  <si>
    <t xml:space="preserve">GLO_CT</t>
  </si>
  <si>
    <t xml:space="preserve">GLO_ZT</t>
  </si>
  <si>
    <t xml:space="preserve">GLO_DT</t>
  </si>
  <si>
    <t xml:space="preserve">GLO_MTR</t>
  </si>
  <si>
    <t xml:space="preserve">GLO_MT</t>
  </si>
  <si>
    <t xml:space="preserve">GLO_CTR</t>
  </si>
  <si>
    <t xml:space="preserve">GLO_DTR</t>
  </si>
  <si>
    <t xml:space="preserve">GLO_pCA</t>
  </si>
  <si>
    <t xml:space="preserve">GLO_pZT</t>
  </si>
  <si>
    <t xml:space="preserve">GLO_pMT</t>
  </si>
  <si>
    <t xml:space="preserve">GLO_pMTR</t>
  </si>
  <si>
    <t xml:space="preserve">SPORE_CA</t>
  </si>
  <si>
    <t xml:space="preserve">SPORE_CT</t>
  </si>
  <si>
    <t xml:space="preserve">SPORE_ZT</t>
  </si>
  <si>
    <t xml:space="preserve">SPORE_DT</t>
  </si>
  <si>
    <t xml:space="preserve">SPORE_MTR</t>
  </si>
  <si>
    <t xml:space="preserve">SPORE_MT</t>
  </si>
  <si>
    <t xml:space="preserve">SPORE_CTR</t>
  </si>
  <si>
    <t xml:space="preserve">SPORE_DTR</t>
  </si>
  <si>
    <t xml:space="preserve">SPORE_pCA</t>
  </si>
  <si>
    <t xml:space="preserve">SPORE_pZT</t>
  </si>
  <si>
    <t xml:space="preserve">SPORE_pMT</t>
  </si>
  <si>
    <t xml:space="preserve">SPORE_pMTR</t>
  </si>
  <si>
    <t xml:space="preserve">DHA_CA</t>
  </si>
  <si>
    <t xml:space="preserve">DHA_CT</t>
  </si>
  <si>
    <t xml:space="preserve">DHA_ZT</t>
  </si>
  <si>
    <t xml:space="preserve">DHA_DT</t>
  </si>
  <si>
    <t xml:space="preserve">DHA_MTR</t>
  </si>
  <si>
    <t xml:space="preserve">DHA_MT</t>
  </si>
  <si>
    <t xml:space="preserve">DHA_CTR</t>
  </si>
  <si>
    <t xml:space="preserve">DHA_DTR</t>
  </si>
  <si>
    <t xml:space="preserve">DHA_pCA</t>
  </si>
  <si>
    <t xml:space="preserve">DHA_pZT</t>
  </si>
  <si>
    <t xml:space="preserve">DHA_pMT</t>
  </si>
  <si>
    <t xml:space="preserve">DHA_pMTR</t>
  </si>
  <si>
    <t xml:space="preserve">CT main effect (CT -M and CT +M pooled) -&gt; CT ; ZT main effect (ZT -M and ZT +M pooled) -&gt; ZT</t>
  </si>
  <si>
    <t xml:space="preserve">Fig. 1a (digitised)</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</si>
  <si>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6.76, +M 8.1. Text: ZT +13% vs CT, +M +24.6% vs -M (digitised gives +9% and +20%).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</si>
  <si>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Tabatabai (1982): TTC + 1% glucose, 24 h at 30 C, TPF in methanol at 485 nm</t>
  </si>
  <si>
    <t xml:space="preserve">ug TPF/g soil/h (printed per 24 h / 24)</t>
  </si>
  <si>
    <t xml:space="preserve">Table 8 - converted</t>
  </si>
  <si>
    <t xml:space="preserve">CONVERTED: printed 106.2 / 124.0 'mg' (read as ug) TPF/g/24 h, divided by 24. LSD R 15.3.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</si>
  <si>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Dehydrogenase (TPF), 24 h incubation</t>
  </si>
  <si>
    <t xml:space="preserve">CONVERTED: printed 114.3 / 136.9 'mg' (read as ug) TPF/g/24 h, divided by 24. LSD R 15.3.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</si>
  <si>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CONVERTED: printed (467, 843, 539) ug TPF/g/24 h.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</si>
  <si>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TTC reduction to TPF over 24 h (Dick et al. 1996)</t>
  </si>
  <si>
    <t xml:space="preserve">CONVERTED: printed (202.0, 309.6, 212.8) ug TPF/g/24 h.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</si>
  <si>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BGL_CA</t>
  </si>
  <si>
    <t xml:space="preserve">BGL_CT</t>
  </si>
  <si>
    <t xml:space="preserve">BGL_ZT</t>
  </si>
  <si>
    <t xml:space="preserve">BGL_DT</t>
  </si>
  <si>
    <t xml:space="preserve">BGL_MTR</t>
  </si>
  <si>
    <t xml:space="preserve">BGL_MT</t>
  </si>
  <si>
    <t xml:space="preserve">BGL_CTR</t>
  </si>
  <si>
    <t xml:space="preserve">BGL_DTR</t>
  </si>
  <si>
    <t xml:space="preserve">BGL_pCA</t>
  </si>
  <si>
    <t xml:space="preserve">BGL_pZT</t>
  </si>
  <si>
    <t xml:space="preserve">BGL_pMT</t>
  </si>
  <si>
    <t xml:space="preserve">BGL_pMTR</t>
  </si>
  <si>
    <t xml:space="preserve">ACP_CA</t>
  </si>
  <si>
    <t xml:space="preserve">ACP_CT</t>
  </si>
  <si>
    <t xml:space="preserve">ACP_ZT</t>
  </si>
  <si>
    <t xml:space="preserve">ACP_DT</t>
  </si>
  <si>
    <t xml:space="preserve">ACP_MTR</t>
  </si>
  <si>
    <t xml:space="preserve">ACP_MT</t>
  </si>
  <si>
    <t xml:space="preserve">ACP_CTR</t>
  </si>
  <si>
    <t xml:space="preserve">ACP_DTR</t>
  </si>
  <si>
    <t xml:space="preserve">ACP_pCA</t>
  </si>
  <si>
    <t xml:space="preserve">ACP_pZT</t>
  </si>
  <si>
    <t xml:space="preserve">ACP_pMT</t>
  </si>
  <si>
    <t xml:space="preserve">ACP_pMTR</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</si>
  <si>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17.54, +M 23.05. Text: ZT +24.8%, +M +31.8%.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</si>
  <si>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Tabatabai &amp; Bremner (1969), p-nitrophenyl phosphate, pH 6.5, 1 h at 30 C, 420 nm</t>
  </si>
  <si>
    <t xml:space="preserve">ALP_CA</t>
  </si>
  <si>
    <t xml:space="preserve">ALP_CT</t>
  </si>
  <si>
    <t xml:space="preserve">ALP_ZT</t>
  </si>
  <si>
    <t xml:space="preserve">ALP_DT</t>
  </si>
  <si>
    <t xml:space="preserve">ALP_MTR</t>
  </si>
  <si>
    <t xml:space="preserve">ALP_MT</t>
  </si>
  <si>
    <t xml:space="preserve">ALP_CTR</t>
  </si>
  <si>
    <t xml:space="preserve">ALP_DTR</t>
  </si>
  <si>
    <t xml:space="preserve">ALP_pCA</t>
  </si>
  <si>
    <t xml:space="preserve">ALP_pZT</t>
  </si>
  <si>
    <t xml:space="preserve">ALP_pMT</t>
  </si>
  <si>
    <t xml:space="preserve">ALP_pMTR</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</si>
  <si>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22.02, +M 27.5. Text: ZT +15.6%, +M +24.4%.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</si>
  <si>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Tabatabai &amp; Bremner (1969), p-nitrophenyl phosphate, pH 11, 1 h at 30 C, 420 nm</t>
  </si>
  <si>
    <t xml:space="preserve">Dick et al. (1996)</t>
  </si>
  <si>
    <t xml:space="preserve">GAP_CA</t>
  </si>
  <si>
    <t xml:space="preserve">GAP_CT</t>
  </si>
  <si>
    <t xml:space="preserve">GAP_ZT</t>
  </si>
  <si>
    <t xml:space="preserve">GAP_DT</t>
  </si>
  <si>
    <t xml:space="preserve">GAP_MTR</t>
  </si>
  <si>
    <t xml:space="preserve">GAP_MT</t>
  </si>
  <si>
    <t xml:space="preserve">GAP_CTR</t>
  </si>
  <si>
    <t xml:space="preserve">GAP_DTR</t>
  </si>
  <si>
    <t xml:space="preserve">GAP_pCA</t>
  </si>
  <si>
    <t xml:space="preserve">GAP_pZT</t>
  </si>
  <si>
    <t xml:space="preserve">GAP_pMT</t>
  </si>
  <si>
    <t xml:space="preserve">GAP_pMTR</t>
  </si>
  <si>
    <t xml:space="preserve">LAP_CA</t>
  </si>
  <si>
    <t xml:space="preserve">LAP_CT</t>
  </si>
  <si>
    <t xml:space="preserve">LAP_ZT</t>
  </si>
  <si>
    <t xml:space="preserve">LAP_DT</t>
  </si>
  <si>
    <t xml:space="preserve">LAP_MTR</t>
  </si>
  <si>
    <t xml:space="preserve">LAP_MT</t>
  </si>
  <si>
    <t xml:space="preserve">LAP_CTR</t>
  </si>
  <si>
    <t xml:space="preserve">LAP_DTR</t>
  </si>
  <si>
    <t xml:space="preserve">LAP_pCA</t>
  </si>
  <si>
    <t xml:space="preserve">LAP_pZT</t>
  </si>
  <si>
    <t xml:space="preserve">LAP_pMT</t>
  </si>
  <si>
    <t xml:space="preserve">LAP_pMTR</t>
  </si>
  <si>
    <t xml:space="preserve">NAG_CA</t>
  </si>
  <si>
    <t xml:space="preserve">NAG_CT</t>
  </si>
  <si>
    <t xml:space="preserve">NAG_ZT</t>
  </si>
  <si>
    <t xml:space="preserve">NAG_DT</t>
  </si>
  <si>
    <t xml:space="preserve">NAG_MTR</t>
  </si>
  <si>
    <t xml:space="preserve">NAG_MT</t>
  </si>
  <si>
    <t xml:space="preserve">NAG_CTR</t>
  </si>
  <si>
    <t xml:space="preserve">NAG_DTR</t>
  </si>
  <si>
    <t xml:space="preserve">NAG_pCA</t>
  </si>
  <si>
    <t xml:space="preserve">NAG_pZT</t>
  </si>
  <si>
    <t xml:space="preserve">NAG_pMT</t>
  </si>
  <si>
    <t xml:space="preserve">NAG_pMTR</t>
  </si>
  <si>
    <t xml:space="preserve">BGAL_CA</t>
  </si>
  <si>
    <t xml:space="preserve">BGAL_CT</t>
  </si>
  <si>
    <t xml:space="preserve">BGAL_ZT</t>
  </si>
  <si>
    <t xml:space="preserve">BGAL_DT</t>
  </si>
  <si>
    <t xml:space="preserve">BGAL_MTR</t>
  </si>
  <si>
    <t xml:space="preserve">BGAL_MT</t>
  </si>
  <si>
    <t xml:space="preserve">BGAL_CTR</t>
  </si>
  <si>
    <t xml:space="preserve">BGAL_DTR</t>
  </si>
  <si>
    <t xml:space="preserve">BGAL_pCA</t>
  </si>
  <si>
    <t xml:space="preserve">BGAL_pZT</t>
  </si>
  <si>
    <t xml:space="preserve">BGAL_pMT</t>
  </si>
  <si>
    <t xml:space="preserve">BGAL_pMTR</t>
  </si>
  <si>
    <t xml:space="preserve">CELL_CA</t>
  </si>
  <si>
    <t xml:space="preserve">CELL_CT</t>
  </si>
  <si>
    <t xml:space="preserve">CELL_ZT</t>
  </si>
  <si>
    <t xml:space="preserve">CELL_DT</t>
  </si>
  <si>
    <t xml:space="preserve">CELL_MTR</t>
  </si>
  <si>
    <t xml:space="preserve">CELL_MT</t>
  </si>
  <si>
    <t xml:space="preserve">CELL_CTR</t>
  </si>
  <si>
    <t xml:space="preserve">CELL_DTR</t>
  </si>
  <si>
    <t xml:space="preserve">CELL_pCA</t>
  </si>
  <si>
    <t xml:space="preserve">CELL_pZT</t>
  </si>
  <si>
    <t xml:space="preserve">CELL_pMT</t>
  </si>
  <si>
    <t xml:space="preserve">CELL_pMTR</t>
  </si>
  <si>
    <t xml:space="preserve">URE_CA</t>
  </si>
  <si>
    <t xml:space="preserve">URE_CT</t>
  </si>
  <si>
    <t xml:space="preserve">URE_ZT</t>
  </si>
  <si>
    <t xml:space="preserve">URE_DT</t>
  </si>
  <si>
    <t xml:space="preserve">URE_MTR</t>
  </si>
  <si>
    <t xml:space="preserve">URE_MT</t>
  </si>
  <si>
    <t xml:space="preserve">URE_CTR</t>
  </si>
  <si>
    <t xml:space="preserve">URE_DTR</t>
  </si>
  <si>
    <t xml:space="preserve">URE_pCA</t>
  </si>
  <si>
    <t xml:space="preserve">URE_pZT</t>
  </si>
  <si>
    <t xml:space="preserve">URE_pMT</t>
  </si>
  <si>
    <t xml:space="preserve">URE_pMTR</t>
  </si>
  <si>
    <t xml:space="preserve">ug urea/g soil/h (axis printed ug urea g-1 MIN-1 x 60)</t>
  </si>
  <si>
    <t xml:space="preserve">Fig. 1b (digitised) - converted</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</si>
  <si>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4.72, +M 5.17. Digitised per-minute values CT 4.80, ZT 5.04, -M 4.72, +M 5.17 ug urea/g/min; FLAG: the axis label reads 'per min' although the assay is a 5-h incubation - verify unit.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</si>
  <si>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Douglas &amp; Bremner (1970): 2000 ppm urea, 5 h at 37 C, KCl-PMA extraction, colour at 527 nm</t>
  </si>
  <si>
    <t xml:space="preserve">PHY_CA</t>
  </si>
  <si>
    <t xml:space="preserve">PHY_CT</t>
  </si>
  <si>
    <t xml:space="preserve">PHY_ZT</t>
  </si>
  <si>
    <t xml:space="preserve">PHY_DT</t>
  </si>
  <si>
    <t xml:space="preserve">PHY_MTR</t>
  </si>
  <si>
    <t xml:space="preserve">PHY_MT</t>
  </si>
  <si>
    <t xml:space="preserve">PHY_CTR</t>
  </si>
  <si>
    <t xml:space="preserve">PHY_DTR</t>
  </si>
  <si>
    <t xml:space="preserve">PHY_pCA</t>
  </si>
  <si>
    <t xml:space="preserve">PHY_pZT</t>
  </si>
  <si>
    <t xml:space="preserve">PHY_pMT</t>
  </si>
  <si>
    <t xml:space="preserve">PHY_pMTR</t>
  </si>
  <si>
    <t xml:space="preserve">INV_CA</t>
  </si>
  <si>
    <t xml:space="preserve">INV_CT</t>
  </si>
  <si>
    <t xml:space="preserve">INV_ZT</t>
  </si>
  <si>
    <t xml:space="preserve">INV_DT</t>
  </si>
  <si>
    <t xml:space="preserve">INV_MTR</t>
  </si>
  <si>
    <t xml:space="preserve">INV_MT</t>
  </si>
  <si>
    <t xml:space="preserve">INV_CTR</t>
  </si>
  <si>
    <t xml:space="preserve">INV_DTR</t>
  </si>
  <si>
    <t xml:space="preserve">INV_pCA</t>
  </si>
  <si>
    <t xml:space="preserve">INV_pZT</t>
  </si>
  <si>
    <t xml:space="preserve">INV_pMT</t>
  </si>
  <si>
    <t xml:space="preserve">INV_pMTR</t>
  </si>
  <si>
    <t xml:space="preserve">CAT_CA</t>
  </si>
  <si>
    <t xml:space="preserve">CAT_CT</t>
  </si>
  <si>
    <t xml:space="preserve">CAT_ZT</t>
  </si>
  <si>
    <t xml:space="preserve">CAT_DT</t>
  </si>
  <si>
    <t xml:space="preserve">CAT_MTR</t>
  </si>
  <si>
    <t xml:space="preserve">CAT_MT</t>
  </si>
  <si>
    <t xml:space="preserve">CAT_CTR</t>
  </si>
  <si>
    <t xml:space="preserve">CAT_DTR</t>
  </si>
  <si>
    <t xml:space="preserve">CAT_pCA</t>
  </si>
  <si>
    <t xml:space="preserve">CAT_pZT</t>
  </si>
  <si>
    <t xml:space="preserve">CAT_pMT</t>
  </si>
  <si>
    <t xml:space="preserve">CAT_pMTR</t>
  </si>
  <si>
    <t xml:space="preserve">ASP_CA</t>
  </si>
  <si>
    <t xml:space="preserve">ASP_CT</t>
  </si>
  <si>
    <t xml:space="preserve">ASP_ZT</t>
  </si>
  <si>
    <t xml:space="preserve">ASP_DT</t>
  </si>
  <si>
    <t xml:space="preserve">ASP_MTR</t>
  </si>
  <si>
    <t xml:space="preserve">ASP_MT</t>
  </si>
  <si>
    <t xml:space="preserve">ASP_CTR</t>
  </si>
  <si>
    <t xml:space="preserve">ASP_DTR</t>
  </si>
  <si>
    <t xml:space="preserve">ASP_pCA</t>
  </si>
  <si>
    <t xml:space="preserve">ASP_pZT</t>
  </si>
  <si>
    <t xml:space="preserve">ASP_pMT</t>
  </si>
  <si>
    <t xml:space="preserve">ASP_pMTR</t>
  </si>
  <si>
    <t xml:space="preserve">XYL_CA</t>
  </si>
  <si>
    <t xml:space="preserve">XYL_CT</t>
  </si>
  <si>
    <t xml:space="preserve">XYL_ZT</t>
  </si>
  <si>
    <t xml:space="preserve">XYL_DT</t>
  </si>
  <si>
    <t xml:space="preserve">XYL_MTR</t>
  </si>
  <si>
    <t xml:space="preserve">XYL_MT</t>
  </si>
  <si>
    <t xml:space="preserve">XYL_CTR</t>
  </si>
  <si>
    <t xml:space="preserve">XYL_DTR</t>
  </si>
  <si>
    <t xml:space="preserve">XYL_pCA</t>
  </si>
  <si>
    <t xml:space="preserve">XYL_pZT</t>
  </si>
  <si>
    <t xml:space="preserve">XYL_pMT</t>
  </si>
  <si>
    <t xml:space="preserve">XYL_pMTR</t>
  </si>
  <si>
    <t xml:space="preserve">PHOX_CA</t>
  </si>
  <si>
    <t xml:space="preserve">PHOX_CT</t>
  </si>
  <si>
    <t xml:space="preserve">PHOX_ZT</t>
  </si>
  <si>
    <t xml:space="preserve">PHOX_DT</t>
  </si>
  <si>
    <t xml:space="preserve">PHOX_MTR</t>
  </si>
  <si>
    <t xml:space="preserve">PHOX_MT</t>
  </si>
  <si>
    <t xml:space="preserve">PHOX_CTR</t>
  </si>
  <si>
    <t xml:space="preserve">PHOX_DTR</t>
  </si>
  <si>
    <t xml:space="preserve">PHOX_pCA</t>
  </si>
  <si>
    <t xml:space="preserve">PHOX_pZT</t>
  </si>
  <si>
    <t xml:space="preserve">PHOX_pMT</t>
  </si>
  <si>
    <t xml:space="preserve">PHOX_pMTR</t>
  </si>
  <si>
    <t xml:space="preserve">PEROX_CA</t>
  </si>
  <si>
    <t xml:space="preserve">PEROX_CT</t>
  </si>
  <si>
    <t xml:space="preserve">PEROX_ZT</t>
  </si>
  <si>
    <t xml:space="preserve">PEROX_DT</t>
  </si>
  <si>
    <t xml:space="preserve">PEROX_MTR</t>
  </si>
  <si>
    <t xml:space="preserve">PEROX_MT</t>
  </si>
  <si>
    <t xml:space="preserve">PEROX_CTR</t>
  </si>
  <si>
    <t xml:space="preserve">PEROX_DTR</t>
  </si>
  <si>
    <t xml:space="preserve">PEROX_pCA</t>
  </si>
  <si>
    <t xml:space="preserve">PEROX_pZT</t>
  </si>
  <si>
    <t xml:space="preserve">PEROX_pMT</t>
  </si>
  <si>
    <t xml:space="preserve">PEROX_pMTR</t>
  </si>
  <si>
    <t xml:space="preserve">PPO_CA</t>
  </si>
  <si>
    <t xml:space="preserve">PPO_CT</t>
  </si>
  <si>
    <t xml:space="preserve">PPO_ZT</t>
  </si>
  <si>
    <t xml:space="preserve">PPO_DT</t>
  </si>
  <si>
    <t xml:space="preserve">PPO_MTR</t>
  </si>
  <si>
    <t xml:space="preserve">PPO_MT</t>
  </si>
  <si>
    <t xml:space="preserve">PPO_CTR</t>
  </si>
  <si>
    <t xml:space="preserve">PPO_DTR</t>
  </si>
  <si>
    <t xml:space="preserve">PPO_pCA</t>
  </si>
  <si>
    <t xml:space="preserve">PPO_pZT</t>
  </si>
  <si>
    <t xml:space="preserve">PPO_pMT</t>
  </si>
  <si>
    <t xml:space="preserve">PPO_pMTR</t>
  </si>
  <si>
    <t xml:space="preserve">FDA_CA</t>
  </si>
  <si>
    <t xml:space="preserve">FDA_CT</t>
  </si>
  <si>
    <t xml:space="preserve">FDA_ZT</t>
  </si>
  <si>
    <t xml:space="preserve">FDA_DT</t>
  </si>
  <si>
    <t xml:space="preserve">FDA_MTR</t>
  </si>
  <si>
    <t xml:space="preserve">FDA_MT</t>
  </si>
  <si>
    <t xml:space="preserve">FDA_CTR</t>
  </si>
  <si>
    <t xml:space="preserve">FDA_DTR</t>
  </si>
  <si>
    <t xml:space="preserve">FDA_pCA</t>
  </si>
  <si>
    <t xml:space="preserve">FDA_pZT</t>
  </si>
  <si>
    <t xml:space="preserve">FDA_pMT</t>
  </si>
  <si>
    <t xml:space="preserve">FDA_pMTR</t>
  </si>
  <si>
    <t xml:space="preserve">NR_CA</t>
  </si>
  <si>
    <t xml:space="preserve">NR_CT</t>
  </si>
  <si>
    <t xml:space="preserve">NR_ZT</t>
  </si>
  <si>
    <t xml:space="preserve">NR_DT</t>
  </si>
  <si>
    <t xml:space="preserve">NR_MTR</t>
  </si>
  <si>
    <t xml:space="preserve">NR_MT</t>
  </si>
  <si>
    <t xml:space="preserve">NR_CTR</t>
  </si>
  <si>
    <t xml:space="preserve">NR_DTR</t>
  </si>
  <si>
    <t xml:space="preserve">NR_pCA</t>
  </si>
  <si>
    <t xml:space="preserve">NR_pZT</t>
  </si>
  <si>
    <t xml:space="preserve">NR_pMT</t>
  </si>
  <si>
    <t xml:space="preserve">NR_pMTR</t>
  </si>
  <si>
    <t xml:space="preserve">AM_CA</t>
  </si>
  <si>
    <t xml:space="preserve">AM_CT</t>
  </si>
  <si>
    <t xml:space="preserve">AM_ZT</t>
  </si>
  <si>
    <t xml:space="preserve">AM_DT</t>
  </si>
  <si>
    <t xml:space="preserve">AM_MTR</t>
  </si>
  <si>
    <t xml:space="preserve">AM_MT</t>
  </si>
  <si>
    <t xml:space="preserve">AM_CTR</t>
  </si>
  <si>
    <t xml:space="preserve">AM_DTR</t>
  </si>
  <si>
    <t xml:space="preserve">AM_pCA</t>
  </si>
  <si>
    <t xml:space="preserve">AM_pZT</t>
  </si>
  <si>
    <t xml:space="preserve">AM_pMT</t>
  </si>
  <si>
    <t xml:space="preserve">AM_pMTR</t>
  </si>
  <si>
    <t xml:space="preserve">10^5 cfu/g soil (printed x10^4 cells/g / 10)</t>
  </si>
  <si>
    <t xml:space="preserve">CONVERTED: printed 9.2 / 19.2 x10^4 cells/g. LSD R 1.7, CSxR 2.5.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</si>
  <si>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Serial dilution, Ken Knight's medium</t>
  </si>
  <si>
    <t xml:space="preserve">CONVERTED: printed 12.4 / 21.6 x10^4 cells/g. LSD R 1.7, CSxR 2.5.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</si>
  <si>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Actinomycetes isolation agar + nalidixic acid, 7 d at 28 C</t>
  </si>
  <si>
    <t xml:space="preserve">SMC_CA</t>
  </si>
  <si>
    <t xml:space="preserve">SMC_CT</t>
  </si>
  <si>
    <t xml:space="preserve">SMC_ZT</t>
  </si>
  <si>
    <t xml:space="preserve">SMC_DT</t>
  </si>
  <si>
    <t xml:space="preserve">SMC_MTR</t>
  </si>
  <si>
    <t xml:space="preserve">SMC_MT</t>
  </si>
  <si>
    <t xml:space="preserve">SMC_CTR</t>
  </si>
  <si>
    <t xml:space="preserve">SMC_DTR</t>
  </si>
  <si>
    <t xml:space="preserve">SMC_pCA</t>
  </si>
  <si>
    <t xml:space="preserve">SMC_pZT</t>
  </si>
  <si>
    <t xml:space="preserve">SMC_pMT</t>
  </si>
  <si>
    <t xml:space="preserve">SMC_pMTR</t>
  </si>
  <si>
    <t xml:space="preserve">10^7 cfu/g soil (printed bacteria x10^6 cells/g / 10)</t>
  </si>
  <si>
    <t xml:space="preserve">BACTERIA. CONVERTED: printed 4.8 / 6.5 x10^6 cells/g. LSD R 0.5, CSxR 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</si>
  <si>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Serial dilution agar plate, nutrient agar (bacteria)</t>
  </si>
  <si>
    <t xml:space="preserve">BACTERIA. CONVERTED: printed 5.7 / 7.1 x10^6 cells/g. LSD R 0.5, CSxR 0.8.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</si>
  <si>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10^7 cfu/g soil (printed bacteria x10^5 / 100)</t>
  </si>
  <si>
    <t xml:space="preserve">Table 6 - converted</t>
  </si>
  <si>
    <t xml:space="preserve">BACTERIA. CONVERTED: printed (11.4, 14.9, 12.3) x10^5 CFU/g.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</si>
  <si>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Nutrient agar, 3 d at 32 C</t>
  </si>
  <si>
    <t xml:space="preserve">BACTERIA. CONVERTED: printed (5.5, 6.3, 5.8) x10^5 CFU/g.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</si>
  <si>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FUN_CA</t>
  </si>
  <si>
    <t xml:space="preserve">FUN_CT</t>
  </si>
  <si>
    <t xml:space="preserve">FUN_ZT</t>
  </si>
  <si>
    <t xml:space="preserve">FUN_DT</t>
  </si>
  <si>
    <t xml:space="preserve">FUN_MTR</t>
  </si>
  <si>
    <t xml:space="preserve">FUN_MT</t>
  </si>
  <si>
    <t xml:space="preserve">FUN_CTR</t>
  </si>
  <si>
    <t xml:space="preserve">FUN_DTR</t>
  </si>
  <si>
    <t xml:space="preserve">FUN_pCA</t>
  </si>
  <si>
    <t xml:space="preserve">FUN_pZT</t>
  </si>
  <si>
    <t xml:space="preserve">FUN_pMT</t>
  </si>
  <si>
    <t xml:space="preserve">FUN_pMTR</t>
  </si>
  <si>
    <t xml:space="preserve">x10^4 CFU/g soil</t>
  </si>
  <si>
    <t xml:space="preserve">Table 7</t>
  </si>
  <si>
    <t xml:space="preserve">LSD R 0.7, CSxR 1.0.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</si>
  <si>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Serial dilution, Rose Bengal agar (Ottow &amp; Glathe 1968)</t>
  </si>
  <si>
    <t xml:space="preserve">LSD R 0.7, CSxR 1.0.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</si>
  <si>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x10^3 CFU/g soil</t>
  </si>
  <si>
    <t xml:space="preserve">Rose bengal agar + streptomycin, 5 d at 30 C</t>
  </si>
  <si>
    <t xml:space="preserve">EW_CA</t>
  </si>
  <si>
    <t xml:space="preserve">EW_CT</t>
  </si>
  <si>
    <t xml:space="preserve">EW_ZT</t>
  </si>
  <si>
    <t xml:space="preserve">EW_DT</t>
  </si>
  <si>
    <t xml:space="preserve">EW_MTR</t>
  </si>
  <si>
    <t xml:space="preserve">EW_MT</t>
  </si>
  <si>
    <t xml:space="preserve">EW_CTR</t>
  </si>
  <si>
    <t xml:space="preserve">EW_DTR</t>
  </si>
  <si>
    <t xml:space="preserve">EW_pCA</t>
  </si>
  <si>
    <t xml:space="preserve">EW_pZT</t>
  </si>
  <si>
    <t xml:space="preserve">EW_pMT</t>
  </si>
  <si>
    <t xml:space="preserve">EW_pMTR</t>
  </si>
  <si>
    <t xml:space="preserve">CDM_CA</t>
  </si>
  <si>
    <t xml:space="preserve">CDM_CT</t>
  </si>
  <si>
    <t xml:space="preserve">CDM_ZT</t>
  </si>
  <si>
    <t xml:space="preserve">CDM_DT</t>
  </si>
  <si>
    <t xml:space="preserve">CDM_MTR</t>
  </si>
  <si>
    <t xml:space="preserve">CDM_MT</t>
  </si>
  <si>
    <t xml:space="preserve">CDM_CTR</t>
  </si>
  <si>
    <t xml:space="preserve">CDM_DTR</t>
  </si>
  <si>
    <t xml:space="preserve">CDM_pCA</t>
  </si>
  <si>
    <t xml:space="preserve">CDM_pZT</t>
  </si>
  <si>
    <t xml:space="preserve">CDM_pMT</t>
  </si>
  <si>
    <t xml:space="preserve">CDM_pMTR</t>
  </si>
  <si>
    <t xml:space="preserve">RLD_WCA</t>
  </si>
  <si>
    <t xml:space="preserve">RLD_WCT</t>
  </si>
  <si>
    <t xml:space="preserve">RLD_WZT</t>
  </si>
  <si>
    <t xml:space="preserve">RLD_WDT</t>
  </si>
  <si>
    <t xml:space="preserve">RLD_WMTR</t>
  </si>
  <si>
    <t xml:space="preserve">RLD_WMT</t>
  </si>
  <si>
    <t xml:space="preserve">RLD_WCTR</t>
  </si>
  <si>
    <t xml:space="preserve">RLD_WDTR</t>
  </si>
  <si>
    <t xml:space="preserve">RLD_WpCA</t>
  </si>
  <si>
    <t xml:space="preserve">RLD_WpZT</t>
  </si>
  <si>
    <t xml:space="preserve">RLD_WpMT</t>
  </si>
  <si>
    <t xml:space="preserve">RLD_WpMTR</t>
  </si>
  <si>
    <t xml:space="preserve">RLD_RCA</t>
  </si>
  <si>
    <t xml:space="preserve">RLD_RCT</t>
  </si>
  <si>
    <t xml:space="preserve">RLD_RZT</t>
  </si>
  <si>
    <t xml:space="preserve">RLD_RDT</t>
  </si>
  <si>
    <t xml:space="preserve">RLD_RMTR</t>
  </si>
  <si>
    <t xml:space="preserve">RLD_RMT</t>
  </si>
  <si>
    <t xml:space="preserve">RLD_RCTR</t>
  </si>
  <si>
    <t xml:space="preserve">RLD_RDTR</t>
  </si>
  <si>
    <t xml:space="preserve">RLD_RpCA</t>
  </si>
  <si>
    <t xml:space="preserve">RLD_RpZT</t>
  </si>
  <si>
    <t xml:space="preserve">RLD_RpMT</t>
  </si>
  <si>
    <t xml:space="preserve">RLD_RpMTR</t>
  </si>
  <si>
    <t xml:space="preserve">PLH_WCA</t>
  </si>
  <si>
    <t xml:space="preserve">PLH_WCT</t>
  </si>
  <si>
    <t xml:space="preserve">PLH_WZT</t>
  </si>
  <si>
    <t xml:space="preserve">PLH_WDT</t>
  </si>
  <si>
    <t xml:space="preserve">PLH_WMTR</t>
  </si>
  <si>
    <t xml:space="preserve">PLH_WMT</t>
  </si>
  <si>
    <t xml:space="preserve">PLH_WCTR</t>
  </si>
  <si>
    <t xml:space="preserve">PLH_WDTR</t>
  </si>
  <si>
    <t xml:space="preserve">PLH_WpCA</t>
  </si>
  <si>
    <t xml:space="preserve">PLH_WpZT</t>
  </si>
  <si>
    <t xml:space="preserve">PLH_WpMT</t>
  </si>
  <si>
    <t xml:space="preserve">PLH_WpMTR</t>
  </si>
  <si>
    <t xml:space="preserve">PLH_RCA</t>
  </si>
  <si>
    <t xml:space="preserve">PLH_RCT</t>
  </si>
  <si>
    <t xml:space="preserve">PLH_RZT</t>
  </si>
  <si>
    <t xml:space="preserve">PLH_RDT</t>
  </si>
  <si>
    <t xml:space="preserve">PLH_RMTR</t>
  </si>
  <si>
    <t xml:space="preserve">PLH_RMT</t>
  </si>
  <si>
    <t xml:space="preserve">PLH_RCTR</t>
  </si>
  <si>
    <t xml:space="preserve">PLH_RDTR</t>
  </si>
  <si>
    <t xml:space="preserve">PLH_RpCA</t>
  </si>
  <si>
    <t xml:space="preserve">PLH_RpZT</t>
  </si>
  <si>
    <t xml:space="preserve">PLH_RpMT</t>
  </si>
  <si>
    <t xml:space="preserve">PLH_RpMTR</t>
  </si>
  <si>
    <t xml:space="preserve">RMD_WCA</t>
  </si>
  <si>
    <t xml:space="preserve">RMD_WCT</t>
  </si>
  <si>
    <t xml:space="preserve">RMD_WZT</t>
  </si>
  <si>
    <t xml:space="preserve">RMD_WDT</t>
  </si>
  <si>
    <t xml:space="preserve">RMD_WMTR</t>
  </si>
  <si>
    <t xml:space="preserve">RMD_WMT</t>
  </si>
  <si>
    <t xml:space="preserve">RMD_WCTR</t>
  </si>
  <si>
    <t xml:space="preserve">RMD_WDTR</t>
  </si>
  <si>
    <t xml:space="preserve">RMD_WpCA</t>
  </si>
  <si>
    <t xml:space="preserve">RMD_WpZT</t>
  </si>
  <si>
    <t xml:space="preserve">RMD_WpMT</t>
  </si>
  <si>
    <t xml:space="preserve">RMD_WpMTR</t>
  </si>
  <si>
    <t xml:space="preserve">RMD_RCA</t>
  </si>
  <si>
    <t xml:space="preserve">RMD_RCT</t>
  </si>
  <si>
    <t xml:space="preserve">RMD_RZT</t>
  </si>
  <si>
    <t xml:space="preserve">RMD_RDT</t>
  </si>
  <si>
    <t xml:space="preserve">RMD_RMTR</t>
  </si>
  <si>
    <t xml:space="preserve">RMD_RMT</t>
  </si>
  <si>
    <t xml:space="preserve">RMD_RCTR</t>
  </si>
  <si>
    <t xml:space="preserve">RMD_RDTR</t>
  </si>
  <si>
    <t xml:space="preserve">RMD_RpCA</t>
  </si>
  <si>
    <t xml:space="preserve">RMD_RpZT</t>
  </si>
  <si>
    <t xml:space="preserve">RMD_RpMT</t>
  </si>
  <si>
    <t xml:space="preserve">RMD_RpMTR</t>
  </si>
  <si>
    <t xml:space="preserve">RVD_WCA</t>
  </si>
  <si>
    <t xml:space="preserve">RVD_WCT</t>
  </si>
  <si>
    <t xml:space="preserve">RVD_WZT</t>
  </si>
  <si>
    <t xml:space="preserve">RVD_WDT</t>
  </si>
  <si>
    <t xml:space="preserve">RVD_WMTR</t>
  </si>
  <si>
    <t xml:space="preserve">RVD_WMT</t>
  </si>
  <si>
    <t xml:space="preserve">RVD_WCTR</t>
  </si>
  <si>
    <t xml:space="preserve">RVD_WDTR</t>
  </si>
  <si>
    <t xml:space="preserve">RVD_WpCA</t>
  </si>
  <si>
    <t xml:space="preserve">RVD_WpZT</t>
  </si>
  <si>
    <t xml:space="preserve">RVD_WpMT</t>
  </si>
  <si>
    <t xml:space="preserve">RVD_WpMTR</t>
  </si>
  <si>
    <t xml:space="preserve">RVD_RCA</t>
  </si>
  <si>
    <t xml:space="preserve">RVD_RCT</t>
  </si>
  <si>
    <t xml:space="preserve">RVD_RZT</t>
  </si>
  <si>
    <t xml:space="preserve">RVD_RDT</t>
  </si>
  <si>
    <t xml:space="preserve">RVD_RMTR</t>
  </si>
  <si>
    <t xml:space="preserve">RVD_RMT</t>
  </si>
  <si>
    <t xml:space="preserve">RVD_RCTR</t>
  </si>
  <si>
    <t xml:space="preserve">RVD_RDTR</t>
  </si>
  <si>
    <t xml:space="preserve">RVD_RpCA</t>
  </si>
  <si>
    <t xml:space="preserve">RVD_RpZT</t>
  </si>
  <si>
    <t xml:space="preserve">RVD_RpMT</t>
  </si>
  <si>
    <t xml:space="preserve">RVD_RpMTR</t>
  </si>
  <si>
    <t xml:space="preserve">RSD_WCA</t>
  </si>
  <si>
    <t xml:space="preserve">RSD_WCT</t>
  </si>
  <si>
    <t xml:space="preserve">RSD_WZT</t>
  </si>
  <si>
    <t xml:space="preserve">RSD_WDT</t>
  </si>
  <si>
    <t xml:space="preserve">RSD_WMTR</t>
  </si>
  <si>
    <t xml:space="preserve">RSD_WMT</t>
  </si>
  <si>
    <t xml:space="preserve">RSD_WCTR</t>
  </si>
  <si>
    <t xml:space="preserve">RSD_WDTR</t>
  </si>
  <si>
    <t xml:space="preserve">RSD_WpCA</t>
  </si>
  <si>
    <t xml:space="preserve">RSD_WpZT</t>
  </si>
  <si>
    <t xml:space="preserve">RSD_WpMT</t>
  </si>
  <si>
    <t xml:space="preserve">RSD_WpMTR</t>
  </si>
  <si>
    <t xml:space="preserve">RSD_RCA</t>
  </si>
  <si>
    <t xml:space="preserve">RSD_RCT</t>
  </si>
  <si>
    <t xml:space="preserve">RSD_RZT</t>
  </si>
  <si>
    <t xml:space="preserve">RSD_RDT</t>
  </si>
  <si>
    <t xml:space="preserve">RSD_RMTR</t>
  </si>
  <si>
    <t xml:space="preserve">RSD_RMT</t>
  </si>
  <si>
    <t xml:space="preserve">RSD_RCTR</t>
  </si>
  <si>
    <t xml:space="preserve">RSD_RDTR</t>
  </si>
  <si>
    <t xml:space="preserve">RSD_RpCA</t>
  </si>
  <si>
    <t xml:space="preserve">RSD_RpZT</t>
  </si>
  <si>
    <t xml:space="preserve">RSD_RpMT</t>
  </si>
  <si>
    <t xml:space="preserve">RSD_RpMTR</t>
  </si>
  <si>
    <t xml:space="preserve">RDIA_WCA</t>
  </si>
  <si>
    <t xml:space="preserve">RDIA_WCT</t>
  </si>
  <si>
    <t xml:space="preserve">RDIA_WZT</t>
  </si>
  <si>
    <t xml:space="preserve">RDIA_WDT</t>
  </si>
  <si>
    <t xml:space="preserve">RDIA_WMTR</t>
  </si>
  <si>
    <t xml:space="preserve">RDIA_WMT</t>
  </si>
  <si>
    <t xml:space="preserve">RDIA_WCTR</t>
  </si>
  <si>
    <t xml:space="preserve">RDIA_WDTR</t>
  </si>
  <si>
    <t xml:space="preserve">RDIA_WpCA</t>
  </si>
  <si>
    <t xml:space="preserve">RDIA_WpZT</t>
  </si>
  <si>
    <t xml:space="preserve">RDIA_WpMT</t>
  </si>
  <si>
    <t xml:space="preserve">RDIA_WpMTR</t>
  </si>
  <si>
    <t xml:space="preserve">RDIA_RCA</t>
  </si>
  <si>
    <t xml:space="preserve">RDIA_RCT</t>
  </si>
  <si>
    <t xml:space="preserve">RDIA_RZT</t>
  </si>
  <si>
    <t xml:space="preserve">RDIA_RDT</t>
  </si>
  <si>
    <t xml:space="preserve">RDIA_RMTR</t>
  </si>
  <si>
    <t xml:space="preserve">RDIA_RMT</t>
  </si>
  <si>
    <t xml:space="preserve">RDIA_RCTR</t>
  </si>
  <si>
    <t xml:space="preserve">RDIA_RDTR</t>
  </si>
  <si>
    <t xml:space="preserve">RDIA_RpCA</t>
  </si>
  <si>
    <t xml:space="preserve">RDIA_RpZT</t>
  </si>
  <si>
    <t xml:space="preserve">RDIA_RpMT</t>
  </si>
  <si>
    <t xml:space="preserve">RDIA_RpMTR</t>
  </si>
  <si>
    <t xml:space="preserve">WYIELD_CA</t>
  </si>
  <si>
    <t xml:space="preserve">WYIELD_CT</t>
  </si>
  <si>
    <t xml:space="preserve">WYIELD_ZT</t>
  </si>
  <si>
    <t xml:space="preserve">WYIELD_DT</t>
  </si>
  <si>
    <t xml:space="preserve">WYIELD_MTR</t>
  </si>
  <si>
    <t xml:space="preserve">WYIELD_MT</t>
  </si>
  <si>
    <t xml:space="preserve">WYIELD_CTR</t>
  </si>
  <si>
    <t xml:space="preserve">WYIELD_DTR</t>
  </si>
  <si>
    <t xml:space="preserve">WYIELD_pCA</t>
  </si>
  <si>
    <t xml:space="preserve">WYIELD_pZT</t>
  </si>
  <si>
    <t xml:space="preserve">WYIELD_pMT</t>
  </si>
  <si>
    <t xml:space="preserve">WYIELD_pMTR</t>
  </si>
  <si>
    <t xml:space="preserve">W STRAW_CA</t>
  </si>
  <si>
    <t xml:space="preserve">W STRAW_CT</t>
  </si>
  <si>
    <t xml:space="preserve">W STRAW_ZT</t>
  </si>
  <si>
    <t xml:space="preserve">W STRAW_DT</t>
  </si>
  <si>
    <t xml:space="preserve">W STRAW_MTR</t>
  </si>
  <si>
    <t xml:space="preserve">W STRAW_MT</t>
  </si>
  <si>
    <t xml:space="preserve">W STRAW_CTR</t>
  </si>
  <si>
    <t xml:space="preserve">W STRAW_DTR</t>
  </si>
  <si>
    <t xml:space="preserve">W STRAW_pCA</t>
  </si>
  <si>
    <t xml:space="preserve">W STRAW_pZT</t>
  </si>
  <si>
    <t xml:space="preserve">W STRAW_pMT</t>
  </si>
  <si>
    <t xml:space="preserve">W STRAW_pMTR</t>
  </si>
  <si>
    <t xml:space="preserve">RICE YIELD_CA</t>
  </si>
  <si>
    <t xml:space="preserve">RICE YIELD_CT</t>
  </si>
  <si>
    <t xml:space="preserve">RICE YIELD_ZT</t>
  </si>
  <si>
    <t xml:space="preserve">RICE YIELD_DT</t>
  </si>
  <si>
    <t xml:space="preserve">RICE YIELD_MTR</t>
  </si>
  <si>
    <t xml:space="preserve">RICE YIELD_MT</t>
  </si>
  <si>
    <t xml:space="preserve">RICE YIELD_CTR</t>
  </si>
  <si>
    <t xml:space="preserve">RICE YIELD_DTR</t>
  </si>
  <si>
    <t xml:space="preserve">RICE YIELD_pCA</t>
  </si>
  <si>
    <t xml:space="preserve">RICE YIELD_pZT</t>
  </si>
  <si>
    <t xml:space="preserve">RICE YIELD_pMT</t>
  </si>
  <si>
    <t xml:space="preserve">RICE YIELD_pMTR</t>
  </si>
  <si>
    <t xml:space="preserve">RSTRAW_CA</t>
  </si>
  <si>
    <t xml:space="preserve">RSTRAW_CT</t>
  </si>
  <si>
    <t xml:space="preserve">RSTRAW_ZT</t>
  </si>
  <si>
    <t xml:space="preserve">RSTRAW_DT</t>
  </si>
  <si>
    <t xml:space="preserve">RSTRAW_MTR</t>
  </si>
  <si>
    <t xml:space="preserve">RSTRAW_MT</t>
  </si>
  <si>
    <t xml:space="preserve">RSTRAW_CTR</t>
  </si>
  <si>
    <t xml:space="preserve">RSTRAW_DTR</t>
  </si>
  <si>
    <t xml:space="preserve">RSTRAW_pCA</t>
  </si>
  <si>
    <t xml:space="preserve">RSTRAW_pZT</t>
  </si>
  <si>
    <t xml:space="preserve">RSTRAW_pMT</t>
  </si>
  <si>
    <t xml:space="preserve">RSTRAW_pMTR</t>
  </si>
  <si>
    <t xml:space="preserve">SYS YIELD_CA</t>
  </si>
  <si>
    <t xml:space="preserve">SYS YIELD_CT</t>
  </si>
  <si>
    <t xml:space="preserve">SYS YIELD_ZT</t>
  </si>
  <si>
    <t xml:space="preserve">SYS YIELD_DT</t>
  </si>
  <si>
    <t xml:space="preserve">SYS YIELD_MTR</t>
  </si>
  <si>
    <t xml:space="preserve">SYS YIELD_MT</t>
  </si>
  <si>
    <t xml:space="preserve">SYS YIELD_CTR</t>
  </si>
  <si>
    <t xml:space="preserve">SYS YIELD_DTR</t>
  </si>
  <si>
    <t xml:space="preserve">SYS YIELD_pCA</t>
  </si>
  <si>
    <t xml:space="preserve">SYS YIELD_pZT</t>
  </si>
  <si>
    <t xml:space="preserve">SYS YIELD_pMT</t>
  </si>
  <si>
    <t xml:space="preserve">SYS YIELD_pMTR</t>
  </si>
  <si>
    <t xml:space="preserve">t/ha grain (economic yield, Mg/ha)</t>
  </si>
  <si>
    <t xml:space="preserve">Rice (kharif) and wheat (rabi) 2006-07</t>
  </si>
  <si>
    <t xml:space="preserve">Cropping system RW (rice-wheat, summer fallow), year 2006-07. SYS YIELD = paper's rice-equivalent yield of the system.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</si>
  <si>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Grain harvested from plots; rice equivalent = sum(Ya x Pa/Pr)</t>
  </si>
  <si>
    <t xml:space="preserve">GREEN MANURE / 3rd CROP: summer mungbean in BOTH treatments of this row (pods picked, residue incorporated in RI only). Cropping system RWM (rice-wheat-mungbean), year 2006-07. SYS YIELD = paper's rice-equivalent yield of the system (INCLUDES MUNGBEAN, flagged). Mungbean grain RR 0.7, RI 1.0 Mg/ha.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</si>
  <si>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Rice (kharif) and wheat (rabi) 2007-08</t>
  </si>
  <si>
    <t xml:space="preserve">Cropping system RW (rice-wheat, summer fallow), year 2007-08. SYS YIELD = paper's rice-equivalent yield of the system.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</si>
  <si>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GREEN MANURE / 3rd CROP: summer mungbean in BOTH treatments of this row (pods picked, residue incorporated in RI only). Cropping system RWM (rice-wheat-mungbean), year 2007-08. SYS YIELD = paper's rice-equivalent yield of the system (INCLUDES MUNGBEAN, flagged). Mungbean grain RR 0.8, RI 1.1 Mg/ha.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</si>
  <si>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1993-96</t>
  </si>
  <si>
    <t xml:space="preserve">t/ha grain (3-year moving average)</t>
  </si>
  <si>
    <t xml:space="preserve">Rice and wheat, initial 1993-94 to 1995-96</t>
  </si>
  <si>
    <t xml:space="preserve">Fig. 1 (digitised) + text</t>
  </si>
  <si>
    <t xml:space="preserve">3-YEAR MEAN (initial 1993-94 to 1995-96); year-wise values not printed. T2 rice 4.89 printed in text; others digitised. Obs = 3 (Y). Sustainability index T2/T8: rice 0.61/0.72, wheat 0.72/0.83. Aggregate properties not on a sheet (Table 3, T2/T8): density 0-7.5 cm 1.77/1.60, 7.5-15 1.81/1.65, 15-30 1.89/1.73 Mg/m3; tensile strength 113.4/79.6, 122.1/81.2, 163.4/117.2 kPa; friability 0.18/0.34, 0.15/0.31, 0.13/0.27. NSI (Fig. 3) not digitised.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</si>
  <si>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Grain yield; 3-year moving averages</t>
  </si>
  <si>
    <t xml:space="preserve">2008-11</t>
  </si>
  <si>
    <t xml:space="preserve">Rice and wheat, final 2008-09 to 2010-11</t>
  </si>
  <si>
    <t xml:space="preserve">3-YEAR MEAN (final 2008-09 to 2010-11); year-wise values not printed. T2 rice = 4.89 - 1.47 (printed decline); others digitised. Obs = 3 (Y). Sustainability index T2/T8: rice 0.61/0.72, wheat 0.72/0.83. Aggregate properties not on a sheet (Table 3, T2/T8): density 0-7.5 cm 1.77/1.60, 7.5-15 1.81/1.65, 15-30 1.89/1.73 Mg/m3; tensile strength 113.4/79.6, 122.1/81.2, 163.4/117.2 kPa; friability 0.18/0.34, 0.15/0.31, 0.13/0.27. NSI (Fig. 3) not digitised.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</si>
  <si>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1983-84</t>
  </si>
  <si>
    <t xml:space="preserve">t/ha grain</t>
  </si>
  <si>
    <t xml:space="preserve">Rice (kharif) and wheat (rabi) 1983-84</t>
  </si>
  <si>
    <t xml:space="preserve">Fig. 2a (digitised, year-wise)</t>
  </si>
  <si>
    <t xml:space="preserve">YEAR-WISE (rule 37). DIGITISED from the vector-rasterised Fig. 2 (markers located automatically; site means reproduce Table 3 within ~1-3%). Table 3 site means (kg/ha) 100F/50F+CR: rice 6083/5059, wheat 4459/4400.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</si>
  <si>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Grain yield from 5 x 4 m net plot, crops harvested at ground level</t>
  </si>
  <si>
    <t xml:space="preserve">1984-85</t>
  </si>
  <si>
    <t xml:space="preserve">Rice (kharif) and wheat (rabi) 1984-85</t>
  </si>
  <si>
    <t xml:space="preserve">1985-86</t>
  </si>
  <si>
    <t xml:space="preserve">Rice (kharif) and wheat (rabi) 1985-86</t>
  </si>
  <si>
    <t xml:space="preserve">1986-87</t>
  </si>
  <si>
    <t xml:space="preserve">Rice (kharif) and wheat (rabi) 1986-87</t>
  </si>
  <si>
    <t xml:space="preserve">1987-88</t>
  </si>
  <si>
    <t xml:space="preserve">Rice (kharif) and wheat (rabi) 1987-88</t>
  </si>
  <si>
    <t xml:space="preserve">1988-89</t>
  </si>
  <si>
    <t xml:space="preserve">Rice (kharif) and wheat (rabi) 1988-89</t>
  </si>
  <si>
    <t xml:space="preserve">1989-90</t>
  </si>
  <si>
    <t xml:space="preserve">Rice (kharif) and wheat (rabi) 1989-90</t>
  </si>
  <si>
    <t xml:space="preserve">1990-91</t>
  </si>
  <si>
    <t xml:space="preserve">Rice (kharif) and wheat (rabi) 1990-91</t>
  </si>
  <si>
    <t xml:space="preserve">1991-92</t>
  </si>
  <si>
    <t xml:space="preserve">Rice (kharif) and wheat (rabi) 1991-92</t>
  </si>
  <si>
    <t xml:space="preserve">1992-93</t>
  </si>
  <si>
    <t xml:space="preserve">Rice (kharif) and wheat (rabi) 1992-93</t>
  </si>
  <si>
    <t xml:space="preserve">1993-94</t>
  </si>
  <si>
    <t xml:space="preserve">Rice (kharif) and wheat (rabi) 1993-94</t>
  </si>
  <si>
    <t xml:space="preserve">1994-95</t>
  </si>
  <si>
    <t xml:space="preserve">Rice (kharif) and wheat (rabi) 1994-95</t>
  </si>
  <si>
    <t xml:space="preserve">1995-96</t>
  </si>
  <si>
    <t xml:space="preserve">Rice (kharif) and wheat (rabi) 1995-96</t>
  </si>
  <si>
    <t xml:space="preserve">1996-97</t>
  </si>
  <si>
    <t xml:space="preserve">Rice (kharif) and wheat (rabi) 1996-97</t>
  </si>
  <si>
    <t xml:space="preserve">Rice (kharif) and wheat (rabi) 1997-98</t>
  </si>
  <si>
    <t xml:space="preserve">Fig. 2b (digitised, year-wise)</t>
  </si>
  <si>
    <t xml:space="preserve">YEAR-WISE (rule 37). DIGITISED from the vector-rasterised Fig. 2 (markers located automatically; site means reproduce Table 3 within ~1-3%). Table 3 site means (kg/ha) 100F/50F+CR: rice 4564/3841, wheat 3753/3449.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</si>
  <si>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Fig. 2c (digitised, year-wise)</t>
  </si>
  <si>
    <t xml:space="preserve">YEAR-WISE (rule 37). DIGITISED from the vector-rasterised Fig. 2 (markers located automatically; site means reproduce Table 3 within ~1-3%). Table 3 site means (kg/ha) 100F/50F+CR: rice 4470/3658, wheat 4532/4384.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</si>
  <si>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Fig. 2d (digitised, year-wise)</t>
  </si>
  <si>
    <t xml:space="preserve">YEAR-WISE (rule 37). DIGITISED from the vector-rasterised Fig. 2 (markers located automatically; site means reproduce Table 3 within ~1-3%). Table 3 site means (kg/ha) 100F/50F+CR: rice 4205/3780, wheat 3449/3310.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</si>
  <si>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YEAR-WISE (rule 37). DIGITISED from the vector-rasterised Fig. 2 (markers located automatically; site means reproduce Table 3 within ~1-3%). Wheat 50F+CR not plotted for this season (Fig. 2d shows 12 CR points, 14 for 100F); 100F wheat 3.91 t/ha kept in notes only. Table 3 site means (kg/ha) 100F/50F+CR: rice 4205/3780, wheat 3449/3310.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</si>
  <si>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YEAR-WISE (rule 37). DIGITISED from the vector-rasterised Fig. 2 (markers located automatically; site means reproduce Table 3 within ~1-3%). Wheat 50F+CR not plotted for this season (Fig. 2d shows 12 CR points, 14 for 100F); 100F wheat 1.84 t/ha kept in notes only. Table 3 site means (kg/ha) 100F/50F+CR: rice 4205/3780, wheat 3449/3310.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</si>
  <si>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Fig. 2e (digitised, year-wise)</t>
  </si>
  <si>
    <t xml:space="preserve">YEAR-WISE (rule 37). DIGITISED from the vector-rasterised Fig. 2 (markers located automatically; site means reproduce Table 3 within ~1-3%). Table 3 site means (kg/ha) 100F/50F+CR: rice 4111/3873, wheat 3128/3154.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</si>
  <si>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one season 1993-94 to 1995-96 (unlabelled)</t>
  </si>
  <si>
    <t xml:space="preserve">Rice (kharif) and wheat (rabi) one season 1993-94 to 1995-96 (unlabelled)</t>
  </si>
  <si>
    <t xml:space="preserve">Fig. 2f (digitised, year-wise)</t>
  </si>
  <si>
    <t xml:space="preserve">YEAR-WISE (rule 37). DIGITISED from the vector-rasterised Fig. 2 (markers located automatically; site means reproduce Table 3 within ~1-3%). Table 3 site means (kg/ha) 100F/50F+CR: rice 3328/3467, wheat 2671/3093.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</si>
  <si>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Rice (kharif) and wheat (rabi) 1998-99</t>
  </si>
  <si>
    <t xml:space="preserve">Fig. 2g (digitised, year-wise)</t>
  </si>
  <si>
    <t xml:space="preserve">YEAR-WISE (rule 37). DIGITISED from the vector-rasterised Fig. 2 (markers located automatically; site means reproduce Table 3 within ~1-3%). Table 3 site means (kg/ha) 100F/50F+CR: rice 5094/4371, wheat 2553/2483.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</si>
  <si>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YEAR-WISE (rule 37). DIGITISED from the vector-rasterised Fig. 2 (markers located automatically; site means reproduce Table 3 within ~1-3%). Wheat season attribution uncertain (1988-89 or 1989-90: the Fig. 2g wheat axis has 12 seasons and skips one of them). Table 3 site means (kg/ha) 100F/50F+CR: rice 5094/4371, wheat 2553/2483.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</si>
  <si>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YEAR-WISE (rule 37). DIGITISED from the vector-rasterised Fig. 2 (markers located automatically; site means reproduce Table 3 within ~1-3%). No wheat value attributed to this season (see 1988-89 row). Table 3 site means (kg/ha) 100F/50F+CR: rice 5094/4371, wheat 2553/2483.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</si>
  <si>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2019-20 (assumed)</t>
  </si>
  <si>
    <t xml:space="preserve">t/ha (printed kg/ha / 1000)</t>
  </si>
  <si>
    <t xml:space="preserve">Rice and wheat (year not stated; final cycle assumed)</t>
  </si>
  <si>
    <t xml:space="preserve">Tables 4-5</t>
  </si>
  <si>
    <t xml:space="preserve">Year not stated (paper reports one set of yields after the 3-year comparison) - assumed final cycle. RT (excluded): rice 8.970, wheat 7.818 t/ha. Rice spike length CN 12.8 / PR 13.9 cm, seed setting 92 / 96 %. Wheat basic seedlings 1.63 / 1.62 x10^6/ha, tillers per plant 3.59 / 3.42.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</si>
  <si>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5 x 1 m2 quadrats; yield from components</t>
  </si>
  <si>
    <t xml:space="preserve">2009-10</t>
  </si>
  <si>
    <t xml:space="preserve">t/ha rice-equivalent system yield (incl. mungbean in Sc2/Sc3)</t>
  </si>
  <si>
    <t xml:space="preserve">System 2009-10</t>
  </si>
  <si>
    <t xml:space="preserve">Fig. 6 (digitised)</t>
  </si>
  <si>
    <t xml:space="preserve">Year-wise (rule 37). DIGITISED from raster Fig. 6 (2009-10 Sc2 16.77 vs 16.76 in text). SYS value INCLUDES MUNGBEAN in Sc2/Sc3 (flag, rule 54). Sc4 (excl.) 12.29.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</si>
  <si>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REY = sum(yield x MSP)/MSP rice; grain at 14% moisture</t>
  </si>
  <si>
    <t xml:space="preserve">2010-11</t>
  </si>
  <si>
    <t xml:space="preserve">System 2010-11</t>
  </si>
  <si>
    <t xml:space="preserve">Year-wise (rule 37). DIGITISED from raster Fig. 6 (2009-10 Sc2 16.77 vs 16.76 in text). SYS value INCLUDES MUNGBEAN in Sc2/Sc3 (flag, rule 54). Sc4 (excl.) 14.68.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</si>
  <si>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2011-12</t>
  </si>
  <si>
    <t xml:space="preserve">System 2011-12</t>
  </si>
  <si>
    <t xml:space="preserve">Year-wise (rule 37). DIGITISED from raster Fig. 6 (2009-10 Sc2 16.77 vs 16.76 in text). SYS value INCLUDES MUNGBEAN in Sc2/Sc3 (flag, rule 54). Sc4 (excl.) 15.69.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</si>
  <si>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2012-13</t>
  </si>
  <si>
    <t xml:space="preserve">System 2012-13</t>
  </si>
  <si>
    <t xml:space="preserve">Year-wise (rule 37). DIGITISED from raster Fig. 6 (2009-10 Sc2 16.77 vs 16.76 in text). SYS value INCLUDES MUNGBEAN in Sc2/Sc3 (flag, rule 54). Sc4 (excl.) 15.05.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</si>
  <si>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2013-14</t>
  </si>
  <si>
    <t xml:space="preserve">System 2013-14</t>
  </si>
  <si>
    <t xml:space="preserve">Year-wise (rule 37). DIGITISED from raster Fig. 6 (2009-10 Sc2 16.77 vs 16.76 in text). SYS value INCLUDES MUNGBEAN in Sc2/Sc3 (flag, rule 54). Sc4 (excl.) 13.87.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</si>
  <si>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2014-15</t>
  </si>
  <si>
    <t xml:space="preserve">System 2014-15</t>
  </si>
  <si>
    <t xml:space="preserve">Year-wise (rule 37). DIGITISED from raster Fig. 6 (2009-10 Sc2 16.77 vs 16.76 in text). SYS value INCLUDES MUNGBEAN in Sc2/Sc3 (flag, rule 54). Sc4 (excl.) 13.09.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</si>
  <si>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2009-2015 (mean)</t>
  </si>
  <si>
    <t xml:space="preserve">t/ha (rice grain and straw)</t>
  </si>
  <si>
    <t xml:space="preserve">Rice, long-term mean (Table 8: 2009-2015)</t>
  </si>
  <si>
    <t xml:space="preserve">MEAN of 2009-2015 (7 seasons; year-wise values not printed) -&gt; Obs = 7 (Y) + 2 (T) = 9. ROW a: RWMCS FYM (CT) vs FYM+CR (CTR). Obs = 2 (T=2 paper treatments under CTR: FYM+CR and FYM+CR+BF). GREEN MANURE / 3rd CROP: mungbean in BOTH treatments of this row (residue to rice). Wheat yield not reported. Control (excl.) grain 2.92, straw 6.5.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</si>
  <si>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 grain and straw yield</t>
  </si>
  <si>
    <t xml:space="preserve">MEAN of 2009-2015 (7 seasons; year-wise values not printed) -&gt; Obs = 7 (Y) + 2 (T) = 9. ROW b: RWMCS FYM (CT) vs FYM+CR+BF (CTR). Obs = 2 (T=2 paper treatments under CTR: FYM+CR and FYM+CR+BF). FLAG: biofertiliser inoculation confounded with residue. GREEN MANURE / 3rd CROP: mungbean in BOTH treatments of this row (residue to rice). Wheat yield not reported. Control (excl.) grain 2.92, straw 6.5.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</si>
  <si>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MEAN of 2009-2015 (7 seasons; year-wise values not printed) -&gt; Obs = 7 (Y) + 2 (T) = 9. ROW a: RWMCS VC (CT) vs VC+CR (CTR). Obs = 2 (T=2 paper treatments under CTR: VC+CR and VC+CR+BF). GREEN MANURE / 3rd CROP: mungbean in BOTH treatments of this row (residue to rice). Wheat yield not reported. Control (excl.) grain 2.92, straw 6.5.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</si>
  <si>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MEAN of 2009-2015 (7 seasons; year-wise values not printed) -&gt; Obs = 7 (Y) + 2 (T) = 9. ROW b: RWMCS VC (CT) vs VC+CR+BF (CTR). Obs = 2 (T=2 paper treatments under CTR: VC+CR and VC+CR+BF). FLAG: biofertiliser inoculation confounded with residue. GREEN MANURE / 3rd CROP: mungbean in BOTH treatments of this row (residue to rice). Wheat yield not reported. Control (excl.) grain 2.92, straw 6.5.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</si>
  <si>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MEAN of 2009-2015 (7 seasons; year-wise values not printed) -&gt; Obs = 7 (Y) + 2 (T) = 9. ROW a: RWCS FYM (CT) vs FYM+CR (CTR). Obs = 2 (T=2 paper treatments under CTR: FYM+CR and FYM+CR+BF). Wheat yield not reported. Control (excl.) grain 2.8, straw 6.07.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</si>
  <si>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MEAN of 2009-2015 (7 seasons; year-wise values not printed) -&gt; Obs = 7 (Y) + 2 (T) = 9. ROW b: RWCS FYM (CT) vs FYM+CR+BF (CTR). Obs = 2 (T=2 paper treatments under CTR: FYM+CR and FYM+CR+BF). FLAG: biofertiliser inoculation confounded with residue. Wheat yield not reported. Control (excl.) grain 2.8, straw 6.07.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</si>
  <si>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MEAN of 2009-2015 (7 seasons; year-wise values not printed) -&gt; Obs = 7 (Y) + 2 (T) = 9. ROW a: RWCS VC (CT) vs VC+CR (CTR). Obs = 2 (T=2 paper treatments under CTR: VC+CR and VC+CR+BF). Wheat yield not reported. Control (excl.) grain 2.8, straw 6.07.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</si>
  <si>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MEAN of 2009-2015 (7 seasons; year-wise values not printed) -&gt; Obs = 7 (Y) + 2 (T) = 9. ROW b: RWCS VC (CT) vs VC+CR+BF (CTR). Obs = 2 (T=2 paper treatments under CTR: VC+CR and VC+CR+BF). FLAG: biofertiliser inoculation confounded with residue. Wheat yield not reported. Control (excl.) grain 2.8, straw 6.07.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</si>
  <si>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SSTRAW_CA</t>
  </si>
  <si>
    <t xml:space="preserve">SSTRAW_CT</t>
  </si>
  <si>
    <t xml:space="preserve">SSTRAW_ZT</t>
  </si>
  <si>
    <t xml:space="preserve">SSTRAW_DT</t>
  </si>
  <si>
    <t xml:space="preserve">SSTRAW_MTR</t>
  </si>
  <si>
    <t xml:space="preserve">SSTRAW_MT</t>
  </si>
  <si>
    <t xml:space="preserve">SSTRAW_CTR</t>
  </si>
  <si>
    <t xml:space="preserve">SSTRAW_DTR</t>
  </si>
  <si>
    <t xml:space="preserve">SSTRAW_pCA</t>
  </si>
  <si>
    <t xml:space="preserve">SSTRAW_pZT</t>
  </si>
  <si>
    <t xml:space="preserve">SSTRAW_pMT</t>
  </si>
  <si>
    <t xml:space="preserve">SSTRAW_pMTR</t>
  </si>
  <si>
    <t xml:space="preserve">N APPLIED (kg/ha)</t>
  </si>
  <si>
    <t xml:space="preserve">PSD_WCA</t>
  </si>
  <si>
    <t xml:space="preserve">PSD_WCT</t>
  </si>
  <si>
    <t xml:space="preserve">PSD_WZT</t>
  </si>
  <si>
    <t xml:space="preserve">PSD_WDT</t>
  </si>
  <si>
    <t xml:space="preserve">PSD_WMTR</t>
  </si>
  <si>
    <t xml:space="preserve">PSD_WMT</t>
  </si>
  <si>
    <t xml:space="preserve">PSD_WCTR</t>
  </si>
  <si>
    <t xml:space="preserve">PSD_WDTR</t>
  </si>
  <si>
    <t xml:space="preserve">PSD_WpCA</t>
  </si>
  <si>
    <t xml:space="preserve">PSD_WpZT</t>
  </si>
  <si>
    <t xml:space="preserve">PSD_WpMT</t>
  </si>
  <si>
    <t xml:space="preserve">PSD_WpMTR</t>
  </si>
  <si>
    <t xml:space="preserve">PSD_RCA</t>
  </si>
  <si>
    <t xml:space="preserve">PSD_RCT</t>
  </si>
  <si>
    <t xml:space="preserve">PSD_RZT</t>
  </si>
  <si>
    <t xml:space="preserve">PSD_RDT</t>
  </si>
  <si>
    <t xml:space="preserve">PSD_RMTR</t>
  </si>
  <si>
    <t xml:space="preserve">PSD_RMT</t>
  </si>
  <si>
    <t xml:space="preserve">PSD_RCTR</t>
  </si>
  <si>
    <t xml:space="preserve">PSD_RDTR</t>
  </si>
  <si>
    <t xml:space="preserve">PSD_RpCA</t>
  </si>
  <si>
    <t xml:space="preserve">PSD_RpZT</t>
  </si>
  <si>
    <t xml:space="preserve">PSD_RpMT</t>
  </si>
  <si>
    <t xml:space="preserve">PSD_RpMTR</t>
  </si>
  <si>
    <t xml:space="preserve">no./m2 (printed 10^6/ha x 100)</t>
  </si>
  <si>
    <t xml:space="preserve">Tables 4-5 - converted</t>
  </si>
  <si>
    <t xml:space="preserve">Effective panicles in 1 m2 quadrats</t>
  </si>
  <si>
    <t xml:space="preserve">GPP_WCA</t>
  </si>
  <si>
    <t xml:space="preserve">GPP_WCT</t>
  </si>
  <si>
    <t xml:space="preserve">GPP_WZT</t>
  </si>
  <si>
    <t xml:space="preserve">GPP_WDT</t>
  </si>
  <si>
    <t xml:space="preserve">GPP_WMTR</t>
  </si>
  <si>
    <t xml:space="preserve">GPP_WMT</t>
  </si>
  <si>
    <t xml:space="preserve">GPP_WCTR</t>
  </si>
  <si>
    <t xml:space="preserve">GPP_WDTR</t>
  </si>
  <si>
    <t xml:space="preserve">GPP_WpCA</t>
  </si>
  <si>
    <t xml:space="preserve">GPP_WpZT</t>
  </si>
  <si>
    <t xml:space="preserve">GPP_WpMT</t>
  </si>
  <si>
    <t xml:space="preserve">GPP_WpMTR</t>
  </si>
  <si>
    <t xml:space="preserve">GPP_RCA</t>
  </si>
  <si>
    <t xml:space="preserve">GPP_RCT</t>
  </si>
  <si>
    <t xml:space="preserve">GPP_RZT</t>
  </si>
  <si>
    <t xml:space="preserve">GPP_RDT</t>
  </si>
  <si>
    <t xml:space="preserve">GPP_RMTR</t>
  </si>
  <si>
    <t xml:space="preserve">GPP_RMT</t>
  </si>
  <si>
    <t xml:space="preserve">GPP_RCTR</t>
  </si>
  <si>
    <t xml:space="preserve">GPP_RDTR</t>
  </si>
  <si>
    <t xml:space="preserve">GPP_RpCA</t>
  </si>
  <si>
    <t xml:space="preserve">GPP_RpZT</t>
  </si>
  <si>
    <t xml:space="preserve">GPP_RpMT</t>
  </si>
  <si>
    <t xml:space="preserve">GPP_RpMTR</t>
  </si>
  <si>
    <t xml:space="preserve">no. grains per panicle / spike</t>
  </si>
  <si>
    <t xml:space="preserve">Primary x 5.5 + secondary branches x 3 (rice); effective grains per spike (wheat)</t>
  </si>
  <si>
    <t xml:space="preserve">TGW_WCA</t>
  </si>
  <si>
    <t xml:space="preserve">TGW_WCT</t>
  </si>
  <si>
    <t xml:space="preserve">TGW_WZT</t>
  </si>
  <si>
    <t xml:space="preserve">TGW_WDT</t>
  </si>
  <si>
    <t xml:space="preserve">TGW_WMTR</t>
  </si>
  <si>
    <t xml:space="preserve">TGW_WMT</t>
  </si>
  <si>
    <t xml:space="preserve">TGW_WCTR</t>
  </si>
  <si>
    <t xml:space="preserve">TGW_WDTR</t>
  </si>
  <si>
    <t xml:space="preserve">TGW_WpCA</t>
  </si>
  <si>
    <t xml:space="preserve">TGW_WpZT</t>
  </si>
  <si>
    <t xml:space="preserve">TGW_WpMT</t>
  </si>
  <si>
    <t xml:space="preserve">TGW_WpMTR</t>
  </si>
  <si>
    <t xml:space="preserve">TGW_RCA</t>
  </si>
  <si>
    <t xml:space="preserve">TGW_RCT</t>
  </si>
  <si>
    <t xml:space="preserve">TGW_RZT</t>
  </si>
  <si>
    <t xml:space="preserve">TGW_RDT</t>
  </si>
  <si>
    <t xml:space="preserve">TGW_RMTR</t>
  </si>
  <si>
    <t xml:space="preserve">TGW_RMT</t>
  </si>
  <si>
    <t xml:space="preserve">TGW_RCTR</t>
  </si>
  <si>
    <t xml:space="preserve">TGW_RDTR</t>
  </si>
  <si>
    <t xml:space="preserve">TGW_RpCA</t>
  </si>
  <si>
    <t xml:space="preserve">TGW_RpZT</t>
  </si>
  <si>
    <t xml:space="preserve">TGW_RpMT</t>
  </si>
  <si>
    <t xml:space="preserve">TGW_RpMTR</t>
  </si>
  <si>
    <t xml:space="preserve">g</t>
  </si>
  <si>
    <t xml:space="preserve">1000 seeds counted, 2 repeats</t>
  </si>
  <si>
    <t xml:space="preserve">HI_WCA</t>
  </si>
  <si>
    <t xml:space="preserve">HI_WCT</t>
  </si>
  <si>
    <t xml:space="preserve">HI_WZT</t>
  </si>
  <si>
    <t xml:space="preserve">HI_WDT</t>
  </si>
  <si>
    <t xml:space="preserve">HI_WMTR</t>
  </si>
  <si>
    <t xml:space="preserve">HI_WMT</t>
  </si>
  <si>
    <t xml:space="preserve">HI_WCTR</t>
  </si>
  <si>
    <t xml:space="preserve">HI_WDTR</t>
  </si>
  <si>
    <t xml:space="preserve">HI_WpCA</t>
  </si>
  <si>
    <t xml:space="preserve">HI_WpZT</t>
  </si>
  <si>
    <t xml:space="preserve">HI_WpMT</t>
  </si>
  <si>
    <t xml:space="preserve">HI_WpMTR</t>
  </si>
  <si>
    <t xml:space="preserve">HI_RCA</t>
  </si>
  <si>
    <t xml:space="preserve">HI_RCT</t>
  </si>
  <si>
    <t xml:space="preserve">HI_RZT</t>
  </si>
  <si>
    <t xml:space="preserve">HI_RDT</t>
  </si>
  <si>
    <t xml:space="preserve">HI_RMTR</t>
  </si>
  <si>
    <t xml:space="preserve">HI_RMT</t>
  </si>
  <si>
    <t xml:space="preserve">HI_RCTR</t>
  </si>
  <si>
    <t xml:space="preserve">HI_RDTR</t>
  </si>
  <si>
    <t xml:space="preserve">HI_RpCA</t>
  </si>
  <si>
    <t xml:space="preserve">HI_RpZT</t>
  </si>
  <si>
    <t xml:space="preserve">HI_RpMT</t>
  </si>
  <si>
    <t xml:space="preserve">HI_RpMTR</t>
  </si>
  <si>
    <t xml:space="preserve">DTF_WCA</t>
  </si>
  <si>
    <t xml:space="preserve">DTF_WCT</t>
  </si>
  <si>
    <t xml:space="preserve">DTF_WZT</t>
  </si>
  <si>
    <t xml:space="preserve">DTF_WDT</t>
  </si>
  <si>
    <t xml:space="preserve">DTF_WMTR</t>
  </si>
  <si>
    <t xml:space="preserve">DTF_WMT</t>
  </si>
  <si>
    <t xml:space="preserve">DTF_WCTR</t>
  </si>
  <si>
    <t xml:space="preserve">DTF_WDTR</t>
  </si>
  <si>
    <t xml:space="preserve">DTF_WpCA</t>
  </si>
  <si>
    <t xml:space="preserve">DTF_WpZT</t>
  </si>
  <si>
    <t xml:space="preserve">DTF_WpMT</t>
  </si>
  <si>
    <t xml:space="preserve">DTF_WpMTR</t>
  </si>
  <si>
    <t xml:space="preserve">DTF_RCA</t>
  </si>
  <si>
    <t xml:space="preserve">DTF_RCT</t>
  </si>
  <si>
    <t xml:space="preserve">DTF_RZT</t>
  </si>
  <si>
    <t xml:space="preserve">DTF_RDT</t>
  </si>
  <si>
    <t xml:space="preserve">DTF_RMTR</t>
  </si>
  <si>
    <t xml:space="preserve">DTF_RMT</t>
  </si>
  <si>
    <t xml:space="preserve">DTF_RCTR</t>
  </si>
  <si>
    <t xml:space="preserve">DTF_RDTR</t>
  </si>
  <si>
    <t xml:space="preserve">DTF_RpCA</t>
  </si>
  <si>
    <t xml:space="preserve">DTF_RpZT</t>
  </si>
  <si>
    <t xml:space="preserve">DTF_RpMT</t>
  </si>
  <si>
    <t xml:space="preserve">DTF_RpMTR</t>
  </si>
  <si>
    <t xml:space="preserve">DTM_WCA</t>
  </si>
  <si>
    <t xml:space="preserve">DTM_WCT</t>
  </si>
  <si>
    <t xml:space="preserve">DTM_WZT</t>
  </si>
  <si>
    <t xml:space="preserve">DTM_WDT</t>
  </si>
  <si>
    <t xml:space="preserve">DTM_WMTR</t>
  </si>
  <si>
    <t xml:space="preserve">DTM_WMT</t>
  </si>
  <si>
    <t xml:space="preserve">DTM_WCTR</t>
  </si>
  <si>
    <t xml:space="preserve">DTM_WDTR</t>
  </si>
  <si>
    <t xml:space="preserve">DTM_WpCA</t>
  </si>
  <si>
    <t xml:space="preserve">DTM_WpZT</t>
  </si>
  <si>
    <t xml:space="preserve">DTM_WpMT</t>
  </si>
  <si>
    <t xml:space="preserve">DTM_WpMTR</t>
  </si>
  <si>
    <t xml:space="preserve">DTM_RCA</t>
  </si>
  <si>
    <t xml:space="preserve">DTM_RCT</t>
  </si>
  <si>
    <t xml:space="preserve">DTM_RZT</t>
  </si>
  <si>
    <t xml:space="preserve">DTM_RDT</t>
  </si>
  <si>
    <t xml:space="preserve">DTM_RMTR</t>
  </si>
  <si>
    <t xml:space="preserve">DTM_RMT</t>
  </si>
  <si>
    <t xml:space="preserve">DTM_RCTR</t>
  </si>
  <si>
    <t xml:space="preserve">DTM_RDTR</t>
  </si>
  <si>
    <t xml:space="preserve">DTM_RpCA</t>
  </si>
  <si>
    <t xml:space="preserve">DTM_RpZT</t>
  </si>
  <si>
    <t xml:space="preserve">DTM_RpMT</t>
  </si>
  <si>
    <t xml:space="preserve">DTM_RpMTR</t>
  </si>
  <si>
    <t xml:space="preserve">GFD_WCA</t>
  </si>
  <si>
    <t xml:space="preserve">GFD_WCT</t>
  </si>
  <si>
    <t xml:space="preserve">GFD_WZT</t>
  </si>
  <si>
    <t xml:space="preserve">GFD_WDT</t>
  </si>
  <si>
    <t xml:space="preserve">GFD_WMTR</t>
  </si>
  <si>
    <t xml:space="preserve">GFD_WMT</t>
  </si>
  <si>
    <t xml:space="preserve">GFD_WCTR</t>
  </si>
  <si>
    <t xml:space="preserve">GFD_WDTR</t>
  </si>
  <si>
    <t xml:space="preserve">GFD_WpCA</t>
  </si>
  <si>
    <t xml:space="preserve">GFD_WpZT</t>
  </si>
  <si>
    <t xml:space="preserve">GFD_WpMT</t>
  </si>
  <si>
    <t xml:space="preserve">GFD_WpMTR</t>
  </si>
  <si>
    <t xml:space="preserve">GFD_RCA</t>
  </si>
  <si>
    <t xml:space="preserve">GFD_RCT</t>
  </si>
  <si>
    <t xml:space="preserve">GFD_RZT</t>
  </si>
  <si>
    <t xml:space="preserve">GFD_RDT</t>
  </si>
  <si>
    <t xml:space="preserve">GFD_RMTR</t>
  </si>
  <si>
    <t xml:space="preserve">GFD_RMT</t>
  </si>
  <si>
    <t xml:space="preserve">GFD_RCTR</t>
  </si>
  <si>
    <t xml:space="preserve">GFD_RDTR</t>
  </si>
  <si>
    <t xml:space="preserve">GFD_RpCA</t>
  </si>
  <si>
    <t xml:space="preserve">GFD_RpZT</t>
  </si>
  <si>
    <t xml:space="preserve">GFD_RpMT</t>
  </si>
  <si>
    <t xml:space="preserve">GFD_RpMTR</t>
  </si>
  <si>
    <t xml:space="preserve">NU_CA</t>
  </si>
  <si>
    <t xml:space="preserve">NU_CT</t>
  </si>
  <si>
    <t xml:space="preserve">NU_ZT</t>
  </si>
  <si>
    <t xml:space="preserve">NU_DT</t>
  </si>
  <si>
    <t xml:space="preserve">NU_MTR</t>
  </si>
  <si>
    <t xml:space="preserve">NU_MT</t>
  </si>
  <si>
    <t xml:space="preserve">NU_CTR</t>
  </si>
  <si>
    <t xml:space="preserve">NU_DTR</t>
  </si>
  <si>
    <t xml:space="preserve">NU_pCA</t>
  </si>
  <si>
    <t xml:space="preserve">NU_pZT</t>
  </si>
  <si>
    <t xml:space="preserve">NU_pMT</t>
  </si>
  <si>
    <t xml:space="preserve">NU_pMTR</t>
  </si>
  <si>
    <t xml:space="preserve">NU_SYSCA</t>
  </si>
  <si>
    <t xml:space="preserve">NU_SYSCT</t>
  </si>
  <si>
    <t xml:space="preserve">NU_SYSZT</t>
  </si>
  <si>
    <t xml:space="preserve">NU_SYSDT</t>
  </si>
  <si>
    <t xml:space="preserve">NU_SYSMTR</t>
  </si>
  <si>
    <t xml:space="preserve">NU_SYSMT</t>
  </si>
  <si>
    <t xml:space="preserve">NU_SYSCTR</t>
  </si>
  <si>
    <t xml:space="preserve">NU_SYSDTR</t>
  </si>
  <si>
    <t xml:space="preserve">NU_SYSpCA</t>
  </si>
  <si>
    <t xml:space="preserve">NU_SYSpZT</t>
  </si>
  <si>
    <t xml:space="preserve">NU_SYSpMT</t>
  </si>
  <si>
    <t xml:space="preserve">NU_SYSpMTR</t>
  </si>
  <si>
    <t xml:space="preserve">PU_CA</t>
  </si>
  <si>
    <t xml:space="preserve">PU_CT</t>
  </si>
  <si>
    <t xml:space="preserve">PU_ZT</t>
  </si>
  <si>
    <t xml:space="preserve">PU_DT</t>
  </si>
  <si>
    <t xml:space="preserve">PU_MTR</t>
  </si>
  <si>
    <t xml:space="preserve">PU_MT</t>
  </si>
  <si>
    <t xml:space="preserve">PU_CTR</t>
  </si>
  <si>
    <t xml:space="preserve">PU_DTR</t>
  </si>
  <si>
    <t xml:space="preserve">PU_pCA</t>
  </si>
  <si>
    <t xml:space="preserve">PU_pZT</t>
  </si>
  <si>
    <t xml:space="preserve">PU_pMT</t>
  </si>
  <si>
    <t xml:space="preserve">PU_pMTR</t>
  </si>
  <si>
    <t xml:space="preserve">PU_SYSCA</t>
  </si>
  <si>
    <t xml:space="preserve">PU_SYSCT</t>
  </si>
  <si>
    <t xml:space="preserve">PU_SYSZT</t>
  </si>
  <si>
    <t xml:space="preserve">PU_SYSDT</t>
  </si>
  <si>
    <t xml:space="preserve">PU_SYSMTR</t>
  </si>
  <si>
    <t xml:space="preserve">PU_SYSMT</t>
  </si>
  <si>
    <t xml:space="preserve">PU_SYSCTR</t>
  </si>
  <si>
    <t xml:space="preserve">PU_SYSDTR</t>
  </si>
  <si>
    <t xml:space="preserve">PU_SYSpCA</t>
  </si>
  <si>
    <t xml:space="preserve">PU_SYSpZT</t>
  </si>
  <si>
    <t xml:space="preserve">PU_SYSpMT</t>
  </si>
  <si>
    <t xml:space="preserve">PU_SYSpMTR</t>
  </si>
  <si>
    <t xml:space="preserve">KU_CA</t>
  </si>
  <si>
    <t xml:space="preserve">KU_CT</t>
  </si>
  <si>
    <t xml:space="preserve">KU_ZT</t>
  </si>
  <si>
    <t xml:space="preserve">KU_DT</t>
  </si>
  <si>
    <t xml:space="preserve">KU_MTR</t>
  </si>
  <si>
    <t xml:space="preserve">KU_MT</t>
  </si>
  <si>
    <t xml:space="preserve">KU_CTR</t>
  </si>
  <si>
    <t xml:space="preserve">KU_DTR</t>
  </si>
  <si>
    <t xml:space="preserve">KU_pCA</t>
  </si>
  <si>
    <t xml:space="preserve">KU_pZT</t>
  </si>
  <si>
    <t xml:space="preserve">KU_pMT</t>
  </si>
  <si>
    <t xml:space="preserve">KU_pMTR</t>
  </si>
  <si>
    <t xml:space="preserve">KU_SYSCA</t>
  </si>
  <si>
    <t xml:space="preserve">KU_SYSCT</t>
  </si>
  <si>
    <t xml:space="preserve">KU_SYSZT</t>
  </si>
  <si>
    <t xml:space="preserve">KU_SYSDT</t>
  </si>
  <si>
    <t xml:space="preserve">KU_SYSMTR</t>
  </si>
  <si>
    <t xml:space="preserve">KU_SYSMT</t>
  </si>
  <si>
    <t xml:space="preserve">KU_SYSCTR</t>
  </si>
  <si>
    <t xml:space="preserve">KU_SYSDTR</t>
  </si>
  <si>
    <t xml:space="preserve">KU_SYSpCA</t>
  </si>
  <si>
    <t xml:space="preserve">KU_SYSpZT</t>
  </si>
  <si>
    <t xml:space="preserve">KU_SYSpMT</t>
  </si>
  <si>
    <t xml:space="preserve">KU_SYSpMTR</t>
  </si>
  <si>
    <t xml:space="preserve">WUE_WCA</t>
  </si>
  <si>
    <t xml:space="preserve">WUE_WCT</t>
  </si>
  <si>
    <t xml:space="preserve">WUE_WZT</t>
  </si>
  <si>
    <t xml:space="preserve">WUE_WDT</t>
  </si>
  <si>
    <t xml:space="preserve">WUE_WMTR</t>
  </si>
  <si>
    <t xml:space="preserve">WUE_WMT</t>
  </si>
  <si>
    <t xml:space="preserve">WUE_WCTR</t>
  </si>
  <si>
    <t xml:space="preserve">WUE_WDTR</t>
  </si>
  <si>
    <t xml:space="preserve">WUE_WpCA</t>
  </si>
  <si>
    <t xml:space="preserve">WUE_WpZT</t>
  </si>
  <si>
    <t xml:space="preserve">WUE_WpMT</t>
  </si>
  <si>
    <t xml:space="preserve">WUE_WpMTR</t>
  </si>
  <si>
    <t xml:space="preserve">WUE_RCA</t>
  </si>
  <si>
    <t xml:space="preserve">WUE_RCT</t>
  </si>
  <si>
    <t xml:space="preserve">WUE_RZT</t>
  </si>
  <si>
    <t xml:space="preserve">WUE_RDT</t>
  </si>
  <si>
    <t xml:space="preserve">WUE_RMTR</t>
  </si>
  <si>
    <t xml:space="preserve">WUE_RMT</t>
  </si>
  <si>
    <t xml:space="preserve">WUE_RCTR</t>
  </si>
  <si>
    <t xml:space="preserve">WUE_RDTR</t>
  </si>
  <si>
    <t xml:space="preserve">WUE_RpCA</t>
  </si>
  <si>
    <t xml:space="preserve">WUE_RpZT</t>
  </si>
  <si>
    <t xml:space="preserve">WUE_RpMT</t>
  </si>
  <si>
    <t xml:space="preserve">WUE_RpMTR</t>
  </si>
  <si>
    <t xml:space="preserve">WUE_SYSCA</t>
  </si>
  <si>
    <t xml:space="preserve">WUE_SYSCT</t>
  </si>
  <si>
    <t xml:space="preserve">WUE_SYSZT</t>
  </si>
  <si>
    <t xml:space="preserve">WUE_SYSDT</t>
  </si>
  <si>
    <t xml:space="preserve">WUE_SYSMTR</t>
  </si>
  <si>
    <t xml:space="preserve">WUE_SYSMT</t>
  </si>
  <si>
    <t xml:space="preserve">WUE_SYSCTR</t>
  </si>
  <si>
    <t xml:space="preserve">WUE_SYSDTR</t>
  </si>
  <si>
    <t xml:space="preserve">WUE_SYSpCA</t>
  </si>
  <si>
    <t xml:space="preserve">WUE_SYSpZT</t>
  </si>
  <si>
    <t xml:space="preserve">WUE_SYSpMT</t>
  </si>
  <si>
    <t xml:space="preserve">WUE_SYSpMTR</t>
  </si>
  <si>
    <t xml:space="preserve">NUE_WCA</t>
  </si>
  <si>
    <t xml:space="preserve">NUE_WCT</t>
  </si>
  <si>
    <t xml:space="preserve">NUE_WZT</t>
  </si>
  <si>
    <t xml:space="preserve">NUE_WDT</t>
  </si>
  <si>
    <t xml:space="preserve">NUE_WMTR</t>
  </si>
  <si>
    <t xml:space="preserve">NUE_WMT</t>
  </si>
  <si>
    <t xml:space="preserve">NUE_WCTR</t>
  </si>
  <si>
    <t xml:space="preserve">NUE_WDTR</t>
  </si>
  <si>
    <t xml:space="preserve">NUE_WpCA</t>
  </si>
  <si>
    <t xml:space="preserve">NUE_WpZT</t>
  </si>
  <si>
    <t xml:space="preserve">NUE_WpMT</t>
  </si>
  <si>
    <t xml:space="preserve">NUE_WpMTR</t>
  </si>
  <si>
    <t xml:space="preserve">NUE_RCA</t>
  </si>
  <si>
    <t xml:space="preserve">NUE_RCT</t>
  </si>
  <si>
    <t xml:space="preserve">NUE_RZT</t>
  </si>
  <si>
    <t xml:space="preserve">NUE_RDT</t>
  </si>
  <si>
    <t xml:space="preserve">NUE_RMTR</t>
  </si>
  <si>
    <t xml:space="preserve">NUE_RMT</t>
  </si>
  <si>
    <t xml:space="preserve">NUE_RCTR</t>
  </si>
  <si>
    <t xml:space="preserve">NUE_RDTR</t>
  </si>
  <si>
    <t xml:space="preserve">NUE_RpCA</t>
  </si>
  <si>
    <t xml:space="preserve">NUE_RpZT</t>
  </si>
  <si>
    <t xml:space="preserve">NUE_RpMT</t>
  </si>
  <si>
    <t xml:space="preserve">NUE_RpMTR</t>
  </si>
  <si>
    <t xml:space="preserve">NUE_SYSCA</t>
  </si>
  <si>
    <t xml:space="preserve">NUE_SYSCT</t>
  </si>
  <si>
    <t xml:space="preserve">NUE_SYSZT</t>
  </si>
  <si>
    <t xml:space="preserve">NUE_SYSDT</t>
  </si>
  <si>
    <t xml:space="preserve">NUE_SYSMTR</t>
  </si>
  <si>
    <t xml:space="preserve">NUE_SYSMT</t>
  </si>
  <si>
    <t xml:space="preserve">NUE_SYSCTR</t>
  </si>
  <si>
    <t xml:space="preserve">NUE_SYSDTR</t>
  </si>
  <si>
    <t xml:space="preserve">NUE_SYSpCA</t>
  </si>
  <si>
    <t xml:space="preserve">NUE_SYSpZT</t>
  </si>
  <si>
    <t xml:space="preserve">NUE_SYSpMT</t>
  </si>
  <si>
    <t xml:space="preserve">NUE_SYSpMTR</t>
  </si>
  <si>
    <t xml:space="preserve">INPUT (kg N/ha)</t>
  </si>
  <si>
    <t xml:space="preserve">BC_WCA</t>
  </si>
  <si>
    <t xml:space="preserve">BC_WCT</t>
  </si>
  <si>
    <t xml:space="preserve">BC_WZT</t>
  </si>
  <si>
    <t xml:space="preserve">BC_WDT</t>
  </si>
  <si>
    <t xml:space="preserve">BC_WMTR</t>
  </si>
  <si>
    <t xml:space="preserve">BC_WMT</t>
  </si>
  <si>
    <t xml:space="preserve">BC_WCTR</t>
  </si>
  <si>
    <t xml:space="preserve">BC_WDTR</t>
  </si>
  <si>
    <t xml:space="preserve">BC_WpCA</t>
  </si>
  <si>
    <t xml:space="preserve">BC_WpZT</t>
  </si>
  <si>
    <t xml:space="preserve">BC_WpMT</t>
  </si>
  <si>
    <t xml:space="preserve">BC_WpMTR</t>
  </si>
  <si>
    <t xml:space="preserve">BC_RCA</t>
  </si>
  <si>
    <t xml:space="preserve">BC_RCT</t>
  </si>
  <si>
    <t xml:space="preserve">BC_RZT</t>
  </si>
  <si>
    <t xml:space="preserve">BC_RDT</t>
  </si>
  <si>
    <t xml:space="preserve">BC_RMTR</t>
  </si>
  <si>
    <t xml:space="preserve">BC_RMT</t>
  </si>
  <si>
    <t xml:space="preserve">BC_RCTR</t>
  </si>
  <si>
    <t xml:space="preserve">BC_RDTR</t>
  </si>
  <si>
    <t xml:space="preserve">BC_RpCA</t>
  </si>
  <si>
    <t xml:space="preserve">BC_RpZT</t>
  </si>
  <si>
    <t xml:space="preserve">BC_RpMT</t>
  </si>
  <si>
    <t xml:space="preserve">BC_RpMTR</t>
  </si>
  <si>
    <t xml:space="preserve">BC_SYSCA</t>
  </si>
  <si>
    <t xml:space="preserve">BC_SYSCT</t>
  </si>
  <si>
    <t xml:space="preserve">BC_SYSZT</t>
  </si>
  <si>
    <t xml:space="preserve">BC_SYSDT</t>
  </si>
  <si>
    <t xml:space="preserve">BC_SYSMTR</t>
  </si>
  <si>
    <t xml:space="preserve">BC_SYSMT</t>
  </si>
  <si>
    <t xml:space="preserve">BC_SYSCTR</t>
  </si>
  <si>
    <t xml:space="preserve">BC_SYSDTR</t>
  </si>
  <si>
    <t xml:space="preserve">BC_SYSpCA</t>
  </si>
  <si>
    <t xml:space="preserve">BC_SYSpZT</t>
  </si>
  <si>
    <t xml:space="preserve">BC_SYSpMT</t>
  </si>
  <si>
    <t xml:space="preserve">BC_SYSpMTR</t>
  </si>
  <si>
    <t xml:space="preserve">NR_WCA</t>
  </si>
  <si>
    <t xml:space="preserve">NR_WCT</t>
  </si>
  <si>
    <t xml:space="preserve">NR_WZT</t>
  </si>
  <si>
    <t xml:space="preserve">NR_WDT</t>
  </si>
  <si>
    <t xml:space="preserve">NR_WMTR</t>
  </si>
  <si>
    <t xml:space="preserve">NR_WMT</t>
  </si>
  <si>
    <t xml:space="preserve">NR_WCTR</t>
  </si>
  <si>
    <t xml:space="preserve">NR_WDTR</t>
  </si>
  <si>
    <t xml:space="preserve">NR_WpCA</t>
  </si>
  <si>
    <t xml:space="preserve">NR_WpZT</t>
  </si>
  <si>
    <t xml:space="preserve">NR_WpMT</t>
  </si>
  <si>
    <t xml:space="preserve">NR_WpMTR</t>
  </si>
  <si>
    <t xml:space="preserve">NR_RCA</t>
  </si>
  <si>
    <t xml:space="preserve">NR_RCT</t>
  </si>
  <si>
    <t xml:space="preserve">NR_RZT</t>
  </si>
  <si>
    <t xml:space="preserve">NR_RDT</t>
  </si>
  <si>
    <t xml:space="preserve">NR_RMTR</t>
  </si>
  <si>
    <t xml:space="preserve">NR_RMT</t>
  </si>
  <si>
    <t xml:space="preserve">NR_RCTR</t>
  </si>
  <si>
    <t xml:space="preserve">NR_RDTR</t>
  </si>
  <si>
    <t xml:space="preserve">NR_RpCA</t>
  </si>
  <si>
    <t xml:space="preserve">NR_RpZT</t>
  </si>
  <si>
    <t xml:space="preserve">NR_RpMT</t>
  </si>
  <si>
    <t xml:space="preserve">NR_RpMTR</t>
  </si>
  <si>
    <t xml:space="preserve">NR_SYSCA</t>
  </si>
  <si>
    <t xml:space="preserve">NR_SYSCT</t>
  </si>
  <si>
    <t xml:space="preserve">NR_SYSZT</t>
  </si>
  <si>
    <t xml:space="preserve">NR_SYSDT</t>
  </si>
  <si>
    <t xml:space="preserve">NR_SYSMTR</t>
  </si>
  <si>
    <t xml:space="preserve">NR_SYSMT</t>
  </si>
  <si>
    <t xml:space="preserve">NR_SYSCTR</t>
  </si>
  <si>
    <t xml:space="preserve">NR_SYSDTR</t>
  </si>
  <si>
    <t xml:space="preserve">NR_SYSpCA</t>
  </si>
  <si>
    <t xml:space="preserve">NR_SYSpZT</t>
  </si>
  <si>
    <t xml:space="preserve">NR_SYSpMT</t>
  </si>
  <si>
    <t xml:space="preserve">NR_SYSpMTR</t>
  </si>
  <si>
    <t xml:space="preserve">NEB_WCA</t>
  </si>
  <si>
    <t xml:space="preserve">NEB_WCT</t>
  </si>
  <si>
    <t xml:space="preserve">NEB_WZT</t>
  </si>
  <si>
    <t xml:space="preserve">NEB_WDT</t>
  </si>
  <si>
    <t xml:space="preserve">NEB_WMTR</t>
  </si>
  <si>
    <t xml:space="preserve">NEB_WMT</t>
  </si>
  <si>
    <t xml:space="preserve">NEB_WCTR</t>
  </si>
  <si>
    <t xml:space="preserve">NEB_WDTR</t>
  </si>
  <si>
    <t xml:space="preserve">NEB_WpCA</t>
  </si>
  <si>
    <t xml:space="preserve">NEB_WpZT</t>
  </si>
  <si>
    <t xml:space="preserve">NEB_WpMT</t>
  </si>
  <si>
    <t xml:space="preserve">NEB_WpMTR</t>
  </si>
  <si>
    <t xml:space="preserve">NEB_RCA</t>
  </si>
  <si>
    <t xml:space="preserve">NEB_RCT</t>
  </si>
  <si>
    <t xml:space="preserve">NEB_RZT</t>
  </si>
  <si>
    <t xml:space="preserve">NEB_RDT</t>
  </si>
  <si>
    <t xml:space="preserve">NEB_RMTR</t>
  </si>
  <si>
    <t xml:space="preserve">NEB_RMT</t>
  </si>
  <si>
    <t xml:space="preserve">NEB_RCTR</t>
  </si>
  <si>
    <t xml:space="preserve">NEB_RDTR</t>
  </si>
  <si>
    <t xml:space="preserve">NEB_RpCA</t>
  </si>
  <si>
    <t xml:space="preserve">NEB_RpZT</t>
  </si>
  <si>
    <t xml:space="preserve">NEB_RpMT</t>
  </si>
  <si>
    <t xml:space="preserve">NEB_RpMTR</t>
  </si>
  <si>
    <t xml:space="preserve">NEB_SYSCA</t>
  </si>
  <si>
    <t xml:space="preserve">NEB_SYSCT</t>
  </si>
  <si>
    <t xml:space="preserve">NEB_SYSZT</t>
  </si>
  <si>
    <t xml:space="preserve">NEB_SYSDT</t>
  </si>
  <si>
    <t xml:space="preserve">NEB_SYSMTR</t>
  </si>
  <si>
    <t xml:space="preserve">NEB_SYSMT</t>
  </si>
  <si>
    <t xml:space="preserve">NEB_SYSCTR</t>
  </si>
  <si>
    <t xml:space="preserve">NEB_SYSDTR</t>
  </si>
  <si>
    <t xml:space="preserve">NEB_SYSpCA</t>
  </si>
  <si>
    <t xml:space="preserve">NEB_SYSpZT</t>
  </si>
  <si>
    <t xml:space="preserve">NEB_SYSpMT</t>
  </si>
  <si>
    <t xml:space="preserve">NEB_SYSpMTR</t>
  </si>
  <si>
    <t xml:space="preserve">SQI_CA</t>
  </si>
  <si>
    <t xml:space="preserve">SQI_CT</t>
  </si>
  <si>
    <t xml:space="preserve">SQI_ZT</t>
  </si>
  <si>
    <t xml:space="preserve">SQI_DT</t>
  </si>
  <si>
    <t xml:space="preserve">SQI_MTR</t>
  </si>
  <si>
    <t xml:space="preserve">SQI_MT</t>
  </si>
  <si>
    <t xml:space="preserve">SQI_CTR</t>
  </si>
  <si>
    <t xml:space="preserve">SQI_DTR</t>
  </si>
  <si>
    <t xml:space="preserve">SQI_pCA</t>
  </si>
  <si>
    <t xml:space="preserve">SQI_pZT</t>
  </si>
  <si>
    <t xml:space="preserve">SQI_pMT</t>
  </si>
  <si>
    <t xml:space="preserve">SQI_pMTR</t>
  </si>
  <si>
    <t xml:space="preserve">CH4_WCA</t>
  </si>
  <si>
    <t xml:space="preserve">CH4_WCT</t>
  </si>
  <si>
    <t xml:space="preserve">CH4_WZT</t>
  </si>
  <si>
    <t xml:space="preserve">CH4_WDT</t>
  </si>
  <si>
    <t xml:space="preserve">CH4_WMTR</t>
  </si>
  <si>
    <t xml:space="preserve">CH4_WMT</t>
  </si>
  <si>
    <t xml:space="preserve">CH4_WCTR</t>
  </si>
  <si>
    <t xml:space="preserve">CH4_WDTR</t>
  </si>
  <si>
    <t xml:space="preserve">CH4_WpCA</t>
  </si>
  <si>
    <t xml:space="preserve">CH4_WpZT</t>
  </si>
  <si>
    <t xml:space="preserve">CH4_WpMT</t>
  </si>
  <si>
    <t xml:space="preserve">CH4_WpMTR</t>
  </si>
  <si>
    <t xml:space="preserve">CH4_RCA</t>
  </si>
  <si>
    <t xml:space="preserve">CH4_RCT</t>
  </si>
  <si>
    <t xml:space="preserve">CH4_RZT</t>
  </si>
  <si>
    <t xml:space="preserve">CH4_RDT</t>
  </si>
  <si>
    <t xml:space="preserve">CH4_RMTR</t>
  </si>
  <si>
    <t xml:space="preserve">CH4_RMT</t>
  </si>
  <si>
    <t xml:space="preserve">CH4_RCTR</t>
  </si>
  <si>
    <t xml:space="preserve">CH4_RDTR</t>
  </si>
  <si>
    <t xml:space="preserve">CH4_RpCA</t>
  </si>
  <si>
    <t xml:space="preserve">CH4_RpZT</t>
  </si>
  <si>
    <t xml:space="preserve">CH4_RpMT</t>
  </si>
  <si>
    <t xml:space="preserve">CH4_RpMTR</t>
  </si>
  <si>
    <t xml:space="preserve">CH4_SYSCA</t>
  </si>
  <si>
    <t xml:space="preserve">CH4_SYSCT</t>
  </si>
  <si>
    <t xml:space="preserve">CH4_SYSZT</t>
  </si>
  <si>
    <t xml:space="preserve">CH4_SYSDT</t>
  </si>
  <si>
    <t xml:space="preserve">CH4_SYSMTR</t>
  </si>
  <si>
    <t xml:space="preserve">CH4_SYSMT</t>
  </si>
  <si>
    <t xml:space="preserve">CH4_SYSCTR</t>
  </si>
  <si>
    <t xml:space="preserve">CH4_SYSDTR</t>
  </si>
  <si>
    <t xml:space="preserve">CH4_SYSpCA</t>
  </si>
  <si>
    <t xml:space="preserve">CH4_SYSpZT</t>
  </si>
  <si>
    <t xml:space="preserve">CH4_SYSpMT</t>
  </si>
  <si>
    <t xml:space="preserve">CH4_SYSpMTR</t>
  </si>
  <si>
    <t xml:space="preserve">N2O_WCA</t>
  </si>
  <si>
    <t xml:space="preserve">N2O_WCT</t>
  </si>
  <si>
    <t xml:space="preserve">N2O_WZT</t>
  </si>
  <si>
    <t xml:space="preserve">N2O_WDT</t>
  </si>
  <si>
    <t xml:space="preserve">N2O_WMTR</t>
  </si>
  <si>
    <t xml:space="preserve">N2O_WMT</t>
  </si>
  <si>
    <t xml:space="preserve">N2O_WCTR</t>
  </si>
  <si>
    <t xml:space="preserve">N2O_WDTR</t>
  </si>
  <si>
    <t xml:space="preserve">N2O_WpCA</t>
  </si>
  <si>
    <t xml:space="preserve">N2O_WpZT</t>
  </si>
  <si>
    <t xml:space="preserve">N2O_WpMT</t>
  </si>
  <si>
    <t xml:space="preserve">N2O_WpMTR</t>
  </si>
  <si>
    <t xml:space="preserve">N2O_RCA</t>
  </si>
  <si>
    <t xml:space="preserve">N2O_RCT</t>
  </si>
  <si>
    <t xml:space="preserve">N2O_RZT</t>
  </si>
  <si>
    <t xml:space="preserve">N2O_RDT</t>
  </si>
  <si>
    <t xml:space="preserve">N2O_RMTR</t>
  </si>
  <si>
    <t xml:space="preserve">N2O_RMT</t>
  </si>
  <si>
    <t xml:space="preserve">N2O_RCTR</t>
  </si>
  <si>
    <t xml:space="preserve">N2O_RDTR</t>
  </si>
  <si>
    <t xml:space="preserve">N2O_RpCA</t>
  </si>
  <si>
    <t xml:space="preserve">N2O_RpZT</t>
  </si>
  <si>
    <t xml:space="preserve">N2O_RpMT</t>
  </si>
  <si>
    <t xml:space="preserve">N2O_RpMTR</t>
  </si>
  <si>
    <t xml:space="preserve">N2O_SYSCA</t>
  </si>
  <si>
    <t xml:space="preserve">N2O_SYSCT</t>
  </si>
  <si>
    <t xml:space="preserve">N2O_SYSZT</t>
  </si>
  <si>
    <t xml:space="preserve">N2O_SYSDT</t>
  </si>
  <si>
    <t xml:space="preserve">N2O_SYSMTR</t>
  </si>
  <si>
    <t xml:space="preserve">N2O_SYSMT</t>
  </si>
  <si>
    <t xml:space="preserve">N2O_SYSCTR</t>
  </si>
  <si>
    <t xml:space="preserve">N2O_SYSDTR</t>
  </si>
  <si>
    <t xml:space="preserve">N2O_SYSpCA</t>
  </si>
  <si>
    <t xml:space="preserve">N2O_SYSpZT</t>
  </si>
  <si>
    <t xml:space="preserve">N2O_SYSpMT</t>
  </si>
  <si>
    <t xml:space="preserve">N2O_SYSpMTR</t>
  </si>
  <si>
    <t xml:space="preserve">CO2_WCA</t>
  </si>
  <si>
    <t xml:space="preserve">CO2_WCT</t>
  </si>
  <si>
    <t xml:space="preserve">CO2_WZT</t>
  </si>
  <si>
    <t xml:space="preserve">CO2_WDT</t>
  </si>
  <si>
    <t xml:space="preserve">CO2_WMTR</t>
  </si>
  <si>
    <t xml:space="preserve">CO2_WMT</t>
  </si>
  <si>
    <t xml:space="preserve">CO2_WCTR</t>
  </si>
  <si>
    <t xml:space="preserve">CO2_WDTR</t>
  </si>
  <si>
    <t xml:space="preserve">CO2_WpCA</t>
  </si>
  <si>
    <t xml:space="preserve">CO2_WpZT</t>
  </si>
  <si>
    <t xml:space="preserve">CO2_WpMT</t>
  </si>
  <si>
    <t xml:space="preserve">CO2_WpMTR</t>
  </si>
  <si>
    <t xml:space="preserve">CO2_RCA</t>
  </si>
  <si>
    <t xml:space="preserve">CO2_RCT</t>
  </si>
  <si>
    <t xml:space="preserve">CO2_RZT</t>
  </si>
  <si>
    <t xml:space="preserve">CO2_RDT</t>
  </si>
  <si>
    <t xml:space="preserve">CO2_RMTR</t>
  </si>
  <si>
    <t xml:space="preserve">CO2_RMT</t>
  </si>
  <si>
    <t xml:space="preserve">CO2_RCTR</t>
  </si>
  <si>
    <t xml:space="preserve">CO2_RDTR</t>
  </si>
  <si>
    <t xml:space="preserve">CO2_RpCA</t>
  </si>
  <si>
    <t xml:space="preserve">CO2_RpZT</t>
  </si>
  <si>
    <t xml:space="preserve">CO2_RpMT</t>
  </si>
  <si>
    <t xml:space="preserve">CO2_RpMTR</t>
  </si>
  <si>
    <t xml:space="preserve">CO2_SYSCA</t>
  </si>
  <si>
    <t xml:space="preserve">CO2_SYSCT</t>
  </si>
  <si>
    <t xml:space="preserve">CO2_SYSZT</t>
  </si>
  <si>
    <t xml:space="preserve">CO2_SYSDT</t>
  </si>
  <si>
    <t xml:space="preserve">CO2_SYSMTR</t>
  </si>
  <si>
    <t xml:space="preserve">CO2_SYSMT</t>
  </si>
  <si>
    <t xml:space="preserve">CO2_SYSCTR</t>
  </si>
  <si>
    <t xml:space="preserve">CO2_SYSDTR</t>
  </si>
  <si>
    <t xml:space="preserve">CO2_SYSpCA</t>
  </si>
  <si>
    <t xml:space="preserve">CO2_SYSpZT</t>
  </si>
  <si>
    <t xml:space="preserve">CO2_SYSpMT</t>
  </si>
  <si>
    <t xml:space="preserve">CO2_SYSpMTR</t>
  </si>
  <si>
    <t xml:space="preserve">NO_WCA</t>
  </si>
  <si>
    <t xml:space="preserve">NO_WCT</t>
  </si>
  <si>
    <t xml:space="preserve">NO_WZT</t>
  </si>
  <si>
    <t xml:space="preserve">NO_WDT</t>
  </si>
  <si>
    <t xml:space="preserve">NO_WMTR</t>
  </si>
  <si>
    <t xml:space="preserve">NO_WMT</t>
  </si>
  <si>
    <t xml:space="preserve">NO_WCTR</t>
  </si>
  <si>
    <t xml:space="preserve">NO_WDTR</t>
  </si>
  <si>
    <t xml:space="preserve">NO_WpCA</t>
  </si>
  <si>
    <t xml:space="preserve">NO_WpZT</t>
  </si>
  <si>
    <t xml:space="preserve">NO_WpMT</t>
  </si>
  <si>
    <t xml:space="preserve">NO_WpMTR</t>
  </si>
  <si>
    <t xml:space="preserve">NO_RCA</t>
  </si>
  <si>
    <t xml:space="preserve">NO_RCT</t>
  </si>
  <si>
    <t xml:space="preserve">NO_RZT</t>
  </si>
  <si>
    <t xml:space="preserve">NO_RDT</t>
  </si>
  <si>
    <t xml:space="preserve">NO_RMTR</t>
  </si>
  <si>
    <t xml:space="preserve">NO_RMT</t>
  </si>
  <si>
    <t xml:space="preserve">NO_RCTR</t>
  </si>
  <si>
    <t xml:space="preserve">NO_RDTR</t>
  </si>
  <si>
    <t xml:space="preserve">NO_RpCA</t>
  </si>
  <si>
    <t xml:space="preserve">NO_RpZT</t>
  </si>
  <si>
    <t xml:space="preserve">NO_RpMT</t>
  </si>
  <si>
    <t xml:space="preserve">NO_RpMTR</t>
  </si>
  <si>
    <t xml:space="preserve">NO_SYSCA</t>
  </si>
  <si>
    <t xml:space="preserve">NO_SYSCT</t>
  </si>
  <si>
    <t xml:space="preserve">NO_SYSZT</t>
  </si>
  <si>
    <t xml:space="preserve">NO_SYSDT</t>
  </si>
  <si>
    <t xml:space="preserve">NO_SYSMTR</t>
  </si>
  <si>
    <t xml:space="preserve">NO_SYSMT</t>
  </si>
  <si>
    <t xml:space="preserve">NO_SYSCTR</t>
  </si>
  <si>
    <t xml:space="preserve">NO_SYSDTR</t>
  </si>
  <si>
    <t xml:space="preserve">NO_SYSpCA</t>
  </si>
  <si>
    <t xml:space="preserve">NO_SYSpZT</t>
  </si>
  <si>
    <t xml:space="preserve">NO_SYSpMT</t>
  </si>
  <si>
    <t xml:space="preserve">NO_SYSpMTR</t>
  </si>
  <si>
    <t xml:space="preserve">GWP_WCA</t>
  </si>
  <si>
    <t xml:space="preserve">GWP_WCT</t>
  </si>
  <si>
    <t xml:space="preserve">GWP_WZT</t>
  </si>
  <si>
    <t xml:space="preserve">GWP_WDT</t>
  </si>
  <si>
    <t xml:space="preserve">GWP_WMTR</t>
  </si>
  <si>
    <t xml:space="preserve">GWP_WMT</t>
  </si>
  <si>
    <t xml:space="preserve">GWP_WCTR</t>
  </si>
  <si>
    <t xml:space="preserve">GWP_WDTR</t>
  </si>
  <si>
    <t xml:space="preserve">GWP_WpCA</t>
  </si>
  <si>
    <t xml:space="preserve">GWP_WpZT</t>
  </si>
  <si>
    <t xml:space="preserve">GWP_WpMT</t>
  </si>
  <si>
    <t xml:space="preserve">GWP_WpMTR</t>
  </si>
  <si>
    <t xml:space="preserve">GWP_RCA</t>
  </si>
  <si>
    <t xml:space="preserve">GWP_RCT</t>
  </si>
  <si>
    <t xml:space="preserve">GWP_RZT</t>
  </si>
  <si>
    <t xml:space="preserve">GWP_RDT</t>
  </si>
  <si>
    <t xml:space="preserve">GWP_RMTR</t>
  </si>
  <si>
    <t xml:space="preserve">GWP_RMT</t>
  </si>
  <si>
    <t xml:space="preserve">GWP_RCTR</t>
  </si>
  <si>
    <t xml:space="preserve">GWP_RDTR</t>
  </si>
  <si>
    <t xml:space="preserve">GWP_RpCA</t>
  </si>
  <si>
    <t xml:space="preserve">GWP_RpZT</t>
  </si>
  <si>
    <t xml:space="preserve">GWP_RpMT</t>
  </si>
  <si>
    <t xml:space="preserve">GWP_RpMTR</t>
  </si>
  <si>
    <t xml:space="preserve">GWP_SYSCA</t>
  </si>
  <si>
    <t xml:space="preserve">GWP_SYSCT</t>
  </si>
  <si>
    <t xml:space="preserve">GWP_SYSZT</t>
  </si>
  <si>
    <t xml:space="preserve">GWP_SYSDT</t>
  </si>
  <si>
    <t xml:space="preserve">GWP_SYSMTR</t>
  </si>
  <si>
    <t xml:space="preserve">GWP_SYSMT</t>
  </si>
  <si>
    <t xml:space="preserve">GWP_SYSCTR</t>
  </si>
  <si>
    <t xml:space="preserve">GWP_SYSDTR</t>
  </si>
  <si>
    <t xml:space="preserve">GWP_SYSpCA</t>
  </si>
  <si>
    <t xml:space="preserve">GWP_SYSpZT</t>
  </si>
  <si>
    <t xml:space="preserve">GWP_SYSpMT</t>
  </si>
  <si>
    <t xml:space="preserve">GWP_SYSpMTR</t>
  </si>
  <si>
    <t xml:space="preserve">NGWP_WCA</t>
  </si>
  <si>
    <t xml:space="preserve">NGWP_WCT</t>
  </si>
  <si>
    <t xml:space="preserve">NGWP_WZT</t>
  </si>
  <si>
    <t xml:space="preserve">NGWP_WDT</t>
  </si>
  <si>
    <t xml:space="preserve">NGWP_WMTR</t>
  </si>
  <si>
    <t xml:space="preserve">NGWP_WMT</t>
  </si>
  <si>
    <t xml:space="preserve">NGWP_WCTR</t>
  </si>
  <si>
    <t xml:space="preserve">NGWP_WDTR</t>
  </si>
  <si>
    <t xml:space="preserve">NGWP_WpCA</t>
  </si>
  <si>
    <t xml:space="preserve">NGWP_WpZT</t>
  </si>
  <si>
    <t xml:space="preserve">NGWP_WpMT</t>
  </si>
  <si>
    <t xml:space="preserve">NGWP_WpMTR</t>
  </si>
  <si>
    <t xml:space="preserve">NGWP_RCA</t>
  </si>
  <si>
    <t xml:space="preserve">NGWP_RCT</t>
  </si>
  <si>
    <t xml:space="preserve">NGWP_RZT</t>
  </si>
  <si>
    <t xml:space="preserve">NGWP_RDT</t>
  </si>
  <si>
    <t xml:space="preserve">NGWP_RMTR</t>
  </si>
  <si>
    <t xml:space="preserve">NGWP_RMT</t>
  </si>
  <si>
    <t xml:space="preserve">NGWP_RCTR</t>
  </si>
  <si>
    <t xml:space="preserve">NGWP_RDTR</t>
  </si>
  <si>
    <t xml:space="preserve">NGWP_RpCA</t>
  </si>
  <si>
    <t xml:space="preserve">NGWP_RpZT</t>
  </si>
  <si>
    <t xml:space="preserve">NGWP_RpMT</t>
  </si>
  <si>
    <t xml:space="preserve">NGWP_RpMTR</t>
  </si>
  <si>
    <t xml:space="preserve">NGWP_SYSCA</t>
  </si>
  <si>
    <t xml:space="preserve">NGWP_SYSCT</t>
  </si>
  <si>
    <t xml:space="preserve">NGWP_SYSZT</t>
  </si>
  <si>
    <t xml:space="preserve">NGWP_SYSDT</t>
  </si>
  <si>
    <t xml:space="preserve">NGWP_SYSMTR</t>
  </si>
  <si>
    <t xml:space="preserve">NGWP_SYSMT</t>
  </si>
  <si>
    <t xml:space="preserve">NGWP_SYSCTR</t>
  </si>
  <si>
    <t xml:space="preserve">NGWP_SYSDTR</t>
  </si>
  <si>
    <t xml:space="preserve">NGWP_SYSpCA</t>
  </si>
  <si>
    <t xml:space="preserve">NGWP_SYSpZT</t>
  </si>
  <si>
    <t xml:space="preserve">NGWP_SYSpMT</t>
  </si>
  <si>
    <t xml:space="preserve">NGWP_SYSpMTR</t>
  </si>
  <si>
    <t xml:space="preserve">CIN_CA</t>
  </si>
  <si>
    <t xml:space="preserve">CIN_CT</t>
  </si>
  <si>
    <t xml:space="preserve">CIN_ZT</t>
  </si>
  <si>
    <t xml:space="preserve">CIN_DT</t>
  </si>
  <si>
    <t xml:space="preserve">CIN_MTR</t>
  </si>
  <si>
    <t xml:space="preserve">CIN_MT</t>
  </si>
  <si>
    <t xml:space="preserve">CIN_CTR</t>
  </si>
  <si>
    <t xml:space="preserve">CIN_DTR</t>
  </si>
  <si>
    <t xml:space="preserve">CIN_pCA</t>
  </si>
  <si>
    <t xml:space="preserve">CIN_pZT</t>
  </si>
  <si>
    <t xml:space="preserve">CIN_pMT</t>
  </si>
  <si>
    <t xml:space="preserve">CIN_pMTR</t>
  </si>
  <si>
    <t xml:space="preserve">COUT_CA</t>
  </si>
  <si>
    <t xml:space="preserve">COUT_CT</t>
  </si>
  <si>
    <t xml:space="preserve">COUT_ZT</t>
  </si>
  <si>
    <t xml:space="preserve">COUT_DT</t>
  </si>
  <si>
    <t xml:space="preserve">COUT_MTR</t>
  </si>
  <si>
    <t xml:space="preserve">COUT_MT</t>
  </si>
  <si>
    <t xml:space="preserve">COUT_CTR</t>
  </si>
  <si>
    <t xml:space="preserve">COUT_DTR</t>
  </si>
  <si>
    <t xml:space="preserve">COUT_pCA</t>
  </si>
  <si>
    <t xml:space="preserve">COUT_pZT</t>
  </si>
  <si>
    <t xml:space="preserve">COUT_pMT</t>
  </si>
  <si>
    <t xml:space="preserve">COUT_pMTR</t>
  </si>
  <si>
    <t xml:space="preserve">CSI_CA</t>
  </si>
  <si>
    <t xml:space="preserve">CSI_CT</t>
  </si>
  <si>
    <t xml:space="preserve">CSI_ZT</t>
  </si>
  <si>
    <t xml:space="preserve">CSI_DT</t>
  </si>
  <si>
    <t xml:space="preserve">CSI_MTR</t>
  </si>
  <si>
    <t xml:space="preserve">CSI_MT</t>
  </si>
  <si>
    <t xml:space="preserve">CSI_CTR</t>
  </si>
  <si>
    <t xml:space="preserve">CSI_DTR</t>
  </si>
  <si>
    <t xml:space="preserve">CSI_pCA</t>
  </si>
  <si>
    <t xml:space="preserve">CSI_pZT</t>
  </si>
  <si>
    <t xml:space="preserve">CSI_pMT</t>
  </si>
  <si>
    <t xml:space="preserve">CSI_pMTR</t>
  </si>
  <si>
    <t xml:space="preserve">CER_CA</t>
  </si>
  <si>
    <t xml:space="preserve">CER_CT</t>
  </si>
  <si>
    <t xml:space="preserve">CER_ZT</t>
  </si>
  <si>
    <t xml:space="preserve">CER_DT</t>
  </si>
  <si>
    <t xml:space="preserve">CER_MTR</t>
  </si>
  <si>
    <t xml:space="preserve">CER_MT</t>
  </si>
  <si>
    <t xml:space="preserve">CER_CTR</t>
  </si>
  <si>
    <t xml:space="preserve">CER_DTR</t>
  </si>
  <si>
    <t xml:space="preserve">CER_pCA</t>
  </si>
  <si>
    <t xml:space="preserve">CER_pZT</t>
  </si>
  <si>
    <t xml:space="preserve">CER_pMT</t>
  </si>
  <si>
    <t xml:space="preserve">CER_pMTR</t>
  </si>
  <si>
    <t xml:space="preserve">GHGI_CA</t>
  </si>
  <si>
    <t xml:space="preserve">GHGI_CT</t>
  </si>
  <si>
    <t xml:space="preserve">GHGI_ZT</t>
  </si>
  <si>
    <t xml:space="preserve">GHGI_DT</t>
  </si>
  <si>
    <t xml:space="preserve">GHGI_MTR</t>
  </si>
  <si>
    <t xml:space="preserve">GHGI_MT</t>
  </si>
  <si>
    <t xml:space="preserve">GHGI_CTR</t>
  </si>
  <si>
    <t xml:space="preserve">GHGI_DTR</t>
  </si>
  <si>
    <t xml:space="preserve">GHGI_pCA</t>
  </si>
  <si>
    <t xml:space="preserve">GHGI_pZT</t>
  </si>
  <si>
    <t xml:space="preserve">GHGI_pMT</t>
  </si>
  <si>
    <t xml:space="preserve">GHGI_pMTR</t>
  </si>
  <si>
    <t xml:space="preserve">Aggregate size class</t>
  </si>
  <si>
    <t xml:space="preserve">AvP_CA</t>
  </si>
  <si>
    <t xml:space="preserve">AvP_CT</t>
  </si>
  <si>
    <t xml:space="preserve">AvP_ZT</t>
  </si>
  <si>
    <t xml:space="preserve">AvP_DT</t>
  </si>
  <si>
    <t xml:space="preserve">AvP_MTR</t>
  </si>
  <si>
    <t xml:space="preserve">AvP_MT</t>
  </si>
  <si>
    <t xml:space="preserve">AvP_CTR</t>
  </si>
  <si>
    <t xml:space="preserve">AvP_DTR</t>
  </si>
  <si>
    <t xml:space="preserve">AvP_pCA</t>
  </si>
  <si>
    <t xml:space="preserve">AvP_pZT</t>
  </si>
  <si>
    <t xml:space="preserve">AvP_pMT</t>
  </si>
  <si>
    <t xml:space="preserve">AvP_pMTR</t>
  </si>
  <si>
    <t xml:space="preserve">PHYP_CA</t>
  </si>
  <si>
    <t xml:space="preserve">PHYP_CT</t>
  </si>
  <si>
    <t xml:space="preserve">PHYP_ZT</t>
  </si>
  <si>
    <t xml:space="preserve">PHYP_DT</t>
  </si>
  <si>
    <t xml:space="preserve">PHYP_MTR</t>
  </si>
  <si>
    <t xml:space="preserve">PHYP_MT</t>
  </si>
  <si>
    <t xml:space="preserve">PHYP_CTR</t>
  </si>
  <si>
    <t xml:space="preserve">PHYP_DTR</t>
  </si>
  <si>
    <t xml:space="preserve">PHYP_pCA</t>
  </si>
  <si>
    <t xml:space="preserve">PHYP_pZT</t>
  </si>
  <si>
    <t xml:space="preserve">PHYP_pMT</t>
  </si>
  <si>
    <t xml:space="preserve">PHYP_pMTR</t>
  </si>
  <si>
    <t xml:space="preserve">Sheet</t>
  </si>
  <si>
    <t xml:space="preserve">Reason for exclusion</t>
  </si>
  <si>
    <t xml:space="preserve">Full row (header = value)</t>
  </si>
  <si>
    <t xml:space="preserve">(whole study)</t>
  </si>
  <si>
    <t xml:space="preserve">Rice-berseem green-manure x fertiliser-dose trial: no wheat phase in treatments, no tillage or crop-residue contrast (rule 34). No data rows entered.</t>
  </si>
  <si>
    <t xml:space="preserve">Treatments: Control, NPK, GM100, GM75, GM50; parameters: rice growth/yield, BD, porosity, OC, N, P, K, micronutrients (2015-2018).</t>
  </si>
  <si>
    <t xml:space="preserve">(treatments)</t>
  </si>
  <si>
    <t xml:space="preserve">Treatments Control, 50F, 50F+FYM, 50F+GM not entered (unfertilised / fertiliser tier / FYM / green-manure amendments). Values in Table 3 and Figs 2-7 of the paper.</t>
  </si>
  <si>
    <t xml:space="preserve">Treatments T1, T3-T7 not entered (unfertilised, S tier, FYM, press mud, green gram in some treatments only).</t>
  </si>
  <si>
    <t xml:space="preserve">Rice vs pigeonpea substitution x N x P to wheat - no tillage or residue contrast. No rows entered.</t>
  </si>
  <si>
    <t xml:space="preserve">Parameters in paper: wheat yield, N/P uptake and use efficiency, soil OC, NO3-N profile, BD, economics.</t>
  </si>
  <si>
    <t xml:space="preserve">23 (companion 3) / 23 (companion 4)</t>
  </si>
  <si>
    <t xml:space="preserve">Sc4 (maize-wheat-mungbean) not entered; its values are in the Notes of each row.</t>
  </si>
  <si>
    <t xml:space="preserve">RT (rotational no-till / plough) not entered; values in Notes.</t>
  </si>
</sst>
</file>

<file path=xl/styles.xml><?xml version="1.0" encoding="utf-8"?>
<styleSheet xmlns="http://schemas.openxmlformats.org/spreadsheetml/2006/main">
  <numFmts count="1">
    <numFmt numFmtId="164" formatCode="General"/>
  </numFmts>
  <fonts count="22">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b val="true"/>
      <sz val="8"/>
      <color rgb="FFFFFFFF"/>
      <name val="Arial"/>
      <family val="0"/>
      <charset val="1"/>
    </font>
    <font>
      <i val="true"/>
      <sz val="9"/>
      <name val="Arial"/>
      <family val="0"/>
      <charset val="1"/>
    </font>
    <font>
      <b val="true"/>
      <sz val="10"/>
      <color rgb="FFFFFFFF"/>
      <name val="Arial"/>
      <family val="0"/>
      <charset val="1"/>
    </font>
    <font>
      <sz val="10"/>
      <color rgb="FFC00000"/>
      <name val="Arial"/>
      <family val="0"/>
      <charset val="1"/>
    </font>
    <font>
      <b val="true"/>
      <sz val="10"/>
      <color rgb="FFB91C1C"/>
      <name val="Arial"/>
      <family val="0"/>
      <charset val="1"/>
    </font>
    <font>
      <b val="true"/>
      <sz val="10"/>
      <color rgb="FF7C3AED"/>
      <name val="Arial"/>
      <family val="0"/>
      <charset val="1"/>
    </font>
    <font>
      <b val="true"/>
      <sz val="10"/>
      <color rgb="FFFF0000"/>
      <name val="Arial"/>
      <family val="0"/>
      <charset val="1"/>
    </font>
    <font>
      <sz val="10"/>
      <color rgb="FFFF0000"/>
      <name val="Arial"/>
      <family val="0"/>
      <charset val="1"/>
    </font>
    <font>
      <b val="true"/>
      <sz val="9"/>
      <color rgb="FFFFFFFF"/>
      <name val="Arial"/>
      <family val="0"/>
      <charset val="1"/>
    </font>
    <font>
      <b val="true"/>
      <sz val="9"/>
      <color rgb="FFB45309"/>
      <name val="Arial"/>
      <family val="0"/>
      <charset val="1"/>
    </font>
    <font>
      <sz val="9"/>
      <color rgb="FFB45309"/>
      <name val="Arial"/>
      <family val="0"/>
      <charset val="1"/>
    </font>
    <font>
      <b val="true"/>
      <sz val="10"/>
      <color rgb="FFB45309"/>
      <name val="Arial"/>
      <family val="0"/>
      <charset val="1"/>
    </font>
    <font>
      <sz val="10"/>
      <name val="Arial"/>
      <family val="2"/>
    </font>
    <font>
      <b val="true"/>
      <sz val="9"/>
      <color rgb="FF7C3AED"/>
      <name val="Arial"/>
      <family val="0"/>
      <charset val="1"/>
    </font>
    <font>
      <sz val="9"/>
      <color rgb="FF7C3AED"/>
      <name val="Arial"/>
      <family val="0"/>
      <charset val="1"/>
    </font>
  </fonts>
  <fills count="15">
    <fill>
      <patternFill patternType="none"/>
    </fill>
    <fill>
      <patternFill patternType="gray125"/>
    </fill>
    <fill>
      <patternFill patternType="solid">
        <fgColor rgb="FF6B7280"/>
        <bgColor rgb="FF808080"/>
      </patternFill>
    </fill>
    <fill>
      <patternFill patternType="solid">
        <fgColor rgb="FF1F4E78"/>
        <bgColor rgb="FF1F4E79"/>
      </patternFill>
    </fill>
    <fill>
      <patternFill patternType="solid">
        <fgColor rgb="FFDDEBF7"/>
        <bgColor rgb="FFCCFFFF"/>
      </patternFill>
    </fill>
    <fill>
      <patternFill patternType="solid">
        <fgColor rgb="FF1F3864"/>
        <bgColor rgb="FF1F4E78"/>
      </patternFill>
    </fill>
    <fill>
      <patternFill patternType="solid">
        <fgColor rgb="FF1F4E79"/>
        <bgColor rgb="FF1F4E78"/>
      </patternFill>
    </fill>
    <fill>
      <patternFill patternType="solid">
        <fgColor rgb="FF4B5563"/>
        <bgColor rgb="FF1F4E78"/>
      </patternFill>
    </fill>
    <fill>
      <patternFill patternType="solid">
        <fgColor rgb="FF7C3AED"/>
        <bgColor rgb="FF3366FF"/>
      </patternFill>
    </fill>
    <fill>
      <patternFill patternType="solid">
        <fgColor rgb="FFFFF3CD"/>
        <bgColor rgb="FFFFFFFF"/>
      </patternFill>
    </fill>
    <fill>
      <patternFill patternType="solid">
        <fgColor rgb="FF2E7D32"/>
        <bgColor rgb="FF008000"/>
      </patternFill>
    </fill>
    <fill>
      <patternFill patternType="solid">
        <fgColor rgb="FFB45309"/>
        <bgColor rgb="FFB91C1C"/>
      </patternFill>
    </fill>
    <fill>
      <patternFill patternType="solid">
        <fgColor rgb="FF0E7490"/>
        <bgColor rgb="FF008080"/>
      </patternFill>
    </fill>
    <fill>
      <patternFill patternType="solid">
        <fgColor rgb="FF6B8E23"/>
        <bgColor rgb="FF808080"/>
      </patternFill>
    </fill>
    <fill>
      <patternFill patternType="solid">
        <fgColor rgb="FFB91C1C"/>
        <bgColor rgb="FFC000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center" textRotation="0" wrapText="true" indent="0" shrinkToFit="false"/>
      <protection locked="true" hidden="false"/>
    </xf>
    <xf numFmtId="164" fontId="6" fillId="4" borderId="1" xfId="0" applyFont="true" applyBorder="true" applyAlignment="true" applyProtection="false">
      <alignment horizontal="general" vertical="bottom" textRotation="0" wrapText="false" indent="0" shrinkToFit="false"/>
      <protection locked="true" hidden="false"/>
    </xf>
    <xf numFmtId="164" fontId="0" fillId="4" borderId="1" xfId="0" applyFont="fals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9" fillId="5" borderId="0" xfId="0" applyFont="true" applyBorder="false" applyAlignment="true" applyProtection="false">
      <alignment horizontal="general" vertical="bottom" textRotation="0" wrapText="false" indent="0" shrinkToFit="false"/>
      <protection locked="true" hidden="false"/>
    </xf>
    <xf numFmtId="164" fontId="15" fillId="6" borderId="1" xfId="0" applyFont="true" applyBorder="true" applyAlignment="true" applyProtection="false">
      <alignment horizontal="center" vertical="center" textRotation="0" wrapText="true" indent="0" shrinkToFit="false"/>
      <protection locked="true" hidden="false"/>
    </xf>
    <xf numFmtId="164" fontId="15" fillId="7" borderId="1" xfId="0" applyFont="true" applyBorder="true" applyAlignment="true" applyProtection="false">
      <alignment horizontal="center" vertical="center" textRotation="0" wrapText="true" indent="0" shrinkToFit="false"/>
      <protection locked="true" hidden="false"/>
    </xf>
    <xf numFmtId="164" fontId="15" fillId="8" borderId="1" xfId="0" applyFont="true" applyBorder="true" applyAlignment="true" applyProtection="false">
      <alignment horizontal="center" vertical="center" textRotation="0" wrapText="true" indent="0" shrinkToFit="false"/>
      <protection locked="true" hidden="false"/>
    </xf>
    <xf numFmtId="164" fontId="5" fillId="9" borderId="0" xfId="0" applyFont="true" applyBorder="fals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15" fillId="10" borderId="1" xfId="0" applyFont="true" applyBorder="true" applyAlignment="true" applyProtection="false">
      <alignment horizontal="center" vertical="center" textRotation="0" wrapText="true" indent="0" shrinkToFit="false"/>
      <protection locked="true" hidden="false"/>
    </xf>
    <xf numFmtId="164" fontId="15" fillId="11" borderId="1" xfId="0" applyFont="true" applyBorder="true" applyAlignment="true" applyProtection="false">
      <alignment horizontal="center" vertical="center" textRotation="0" wrapText="true" indent="0" shrinkToFit="false"/>
      <protection locked="true" hidden="false"/>
    </xf>
    <xf numFmtId="164" fontId="15" fillId="12" borderId="1" xfId="0" applyFont="true" applyBorder="true" applyAlignment="true" applyProtection="false">
      <alignment horizontal="center" vertical="center" textRotation="0" wrapText="true" indent="0" shrinkToFit="false"/>
      <protection locked="true" hidden="false"/>
    </xf>
    <xf numFmtId="164" fontId="15" fillId="13" borderId="1"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4" fillId="9"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15" fillId="6" borderId="0" xfId="0" applyFont="true" applyBorder="false" applyAlignment="true" applyProtection="false">
      <alignment horizontal="center" vertical="center" textRotation="0" wrapText="true" indent="0" shrinkToFit="false"/>
      <protection locked="true" hidden="false"/>
    </xf>
    <xf numFmtId="164" fontId="15" fillId="12" borderId="0" xfId="0" applyFont="true" applyBorder="false" applyAlignment="true" applyProtection="false">
      <alignment horizontal="center" vertical="center" textRotation="0" wrapText="true" indent="0" shrinkToFit="false"/>
      <protection locked="true" hidden="false"/>
    </xf>
    <xf numFmtId="164" fontId="15" fillId="10" borderId="0" xfId="0" applyFont="true" applyBorder="false" applyAlignment="true" applyProtection="false">
      <alignment horizontal="center" vertical="center" textRotation="0" wrapText="true" indent="0" shrinkToFit="false"/>
      <protection locked="true" hidden="false"/>
    </xf>
    <xf numFmtId="164" fontId="15" fillId="13" borderId="0" xfId="0" applyFont="true" applyBorder="false" applyAlignment="true" applyProtection="false">
      <alignment horizontal="center" vertical="center" textRotation="0" wrapText="true" indent="0" shrinkToFit="false"/>
      <protection locked="true" hidden="false"/>
    </xf>
    <xf numFmtId="164" fontId="15" fillId="11" borderId="0" xfId="0" applyFont="true" applyBorder="false" applyAlignment="true" applyProtection="false">
      <alignment horizontal="center" vertical="center" textRotation="0" wrapText="true" indent="0" shrinkToFit="false"/>
      <protection locked="true" hidden="false"/>
    </xf>
    <xf numFmtId="164" fontId="15" fillId="7" borderId="0" xfId="0" applyFont="true" applyBorder="false" applyAlignment="true" applyProtection="false">
      <alignment horizontal="center" vertical="center" textRotation="0" wrapText="true" indent="0" shrinkToFit="false"/>
      <protection locked="true" hidden="false"/>
    </xf>
    <xf numFmtId="164" fontId="15" fillId="8" borderId="0" xfId="0" applyFont="true" applyBorder="false" applyAlignment="true" applyProtection="false">
      <alignment horizontal="center" vertical="center" textRotation="0" wrapText="true" indent="0" shrinkToFit="false"/>
      <protection locked="true" hidden="false"/>
    </xf>
    <xf numFmtId="164" fontId="15" fillId="14" borderId="0" xfId="0" applyFont="true" applyBorder="fals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4E79"/>
          <bgColor rgb="FF000000"/>
        </patternFill>
      </fill>
    </dxf>
    <dxf>
      <fill>
        <patternFill patternType="solid">
          <fgColor rgb="FFFFFFFF"/>
          <bgColor rgb="FF000000"/>
        </patternFill>
      </fill>
    </dxf>
    <dxf>
      <fill>
        <patternFill patternType="solid">
          <fgColor rgb="FF4B5563"/>
          <bgColor rgb="FF000000"/>
        </patternFill>
      </fill>
    </dxf>
    <dxf>
      <fill>
        <patternFill patternType="solid">
          <fgColor rgb="FF7C3AED"/>
          <bgColor rgb="FF000000"/>
        </patternFill>
      </fill>
    </dxf>
    <dxf>
      <fill>
        <patternFill patternType="solid">
          <fgColor rgb="FF2E7D32"/>
          <bgColor rgb="FF000000"/>
        </patternFill>
      </fill>
    </dxf>
    <dxf>
      <fill>
        <patternFill patternType="solid">
          <fgColor rgb="FFB45309"/>
          <bgColor rgb="FF000000"/>
        </patternFill>
      </fill>
    </dxf>
    <dxf>
      <fill>
        <patternFill patternType="solid">
          <fgColor rgb="FF0E7490"/>
          <bgColor rgb="FF000000"/>
        </patternFill>
      </fill>
    </dxf>
    <dxf>
      <fill>
        <patternFill patternType="solid">
          <fgColor rgb="FF6B8E23"/>
          <bgColor rgb="FF000000"/>
        </patternFill>
      </fill>
    </dxf>
  </dxfs>
  <colors>
    <indexedColors>
      <rgbColor rgb="FF000000"/>
      <rgbColor rgb="FFFFFFFF"/>
      <rgbColor rgb="FFFF0000"/>
      <rgbColor rgb="FF00FF00"/>
      <rgbColor rgb="FF0000FF"/>
      <rgbColor rgb="FFFFFF00"/>
      <rgbColor rgb="FFFF00FF"/>
      <rgbColor rgb="FF00FFFF"/>
      <rgbColor rgb="FFC00000"/>
      <rgbColor rgb="FF008000"/>
      <rgbColor rgb="FF000080"/>
      <rgbColor rgb="FF6B8E23"/>
      <rgbColor rgb="FF800080"/>
      <rgbColor rgb="FF0E7490"/>
      <rgbColor rgb="FFBFBFBF"/>
      <rgbColor rgb="FF808080"/>
      <rgbColor rgb="FF9999FF"/>
      <rgbColor rgb="FFB45309"/>
      <rgbColor rgb="FFFFF3CD"/>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7280"/>
      <rgbColor rgb="FF969696"/>
      <rgbColor rgb="FF1F3864"/>
      <rgbColor rgb="FF2E7D32"/>
      <rgbColor rgb="FF003300"/>
      <rgbColor rgb="FF4B5563"/>
      <rgbColor rgb="FFB91C1C"/>
      <rgbColor rgb="FF7C3AED"/>
      <rgbColor rgb="FF1F4E79"/>
      <rgbColor rgb="FF1F4E7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worksheet" Target="worksheets/sheet52.xml"/><Relationship Id="rId55" Type="http://schemas.openxmlformats.org/officeDocument/2006/relationships/worksheet" Target="worksheets/sheet53.xml"/><Relationship Id="rId56" Type="http://schemas.openxmlformats.org/officeDocument/2006/relationships/worksheet" Target="worksheets/sheet54.xml"/><Relationship Id="rId57" Type="http://schemas.openxmlformats.org/officeDocument/2006/relationships/worksheet" Target="worksheets/sheet55.xml"/><Relationship Id="rId58" Type="http://schemas.openxmlformats.org/officeDocument/2006/relationships/worksheet" Target="worksheets/sheet56.xml"/><Relationship Id="rId59" Type="http://schemas.openxmlformats.org/officeDocument/2006/relationships/worksheet" Target="worksheets/sheet57.xml"/><Relationship Id="rId60" Type="http://schemas.openxmlformats.org/officeDocument/2006/relationships/worksheet" Target="worksheets/sheet58.xml"/><Relationship Id="rId61" Type="http://schemas.openxmlformats.org/officeDocument/2006/relationships/worksheet" Target="worksheets/sheet59.xml"/><Relationship Id="rId62" Type="http://schemas.openxmlformats.org/officeDocument/2006/relationships/worksheet" Target="worksheets/sheet60.xml"/><Relationship Id="rId63" Type="http://schemas.openxmlformats.org/officeDocument/2006/relationships/worksheet" Target="worksheets/sheet61.xml"/><Relationship Id="rId64" Type="http://schemas.openxmlformats.org/officeDocument/2006/relationships/worksheet" Target="worksheets/sheet62.xml"/><Relationship Id="rId65" Type="http://schemas.openxmlformats.org/officeDocument/2006/relationships/worksheet" Target="worksheets/sheet63.xml"/><Relationship Id="rId66" Type="http://schemas.openxmlformats.org/officeDocument/2006/relationships/worksheet" Target="worksheets/sheet64.xml"/><Relationship Id="rId67" Type="http://schemas.openxmlformats.org/officeDocument/2006/relationships/worksheet" Target="worksheets/sheet65.xml"/><Relationship Id="rId68" Type="http://schemas.openxmlformats.org/officeDocument/2006/relationships/worksheet" Target="worksheets/sheet66.xml"/><Relationship Id="rId69" Type="http://schemas.openxmlformats.org/officeDocument/2006/relationships/worksheet" Target="worksheets/sheet67.xml"/><Relationship Id="rId70" Type="http://schemas.openxmlformats.org/officeDocument/2006/relationships/worksheet" Target="worksheets/sheet68.xml"/><Relationship Id="rId71" Type="http://schemas.openxmlformats.org/officeDocument/2006/relationships/worksheet" Target="worksheets/sheet69.xml"/><Relationship Id="rId72" Type="http://schemas.openxmlformats.org/officeDocument/2006/relationships/worksheet" Target="worksheets/sheet70.xml"/><Relationship Id="rId73" Type="http://schemas.openxmlformats.org/officeDocument/2006/relationships/worksheet" Target="worksheets/sheet71.xml"/><Relationship Id="rId74" Type="http://schemas.openxmlformats.org/officeDocument/2006/relationships/worksheet" Target="worksheets/sheet72.xml"/><Relationship Id="rId75" Type="http://schemas.openxmlformats.org/officeDocument/2006/relationships/worksheet" Target="worksheets/sheet73.xml"/><Relationship Id="rId76" Type="http://schemas.openxmlformats.org/officeDocument/2006/relationships/worksheet" Target="worksheets/sheet74.xml"/><Relationship Id="rId77" Type="http://schemas.openxmlformats.org/officeDocument/2006/relationships/worksheet" Target="worksheets/sheet75.xml"/><Relationship Id="rId78" Type="http://schemas.openxmlformats.org/officeDocument/2006/relationships/worksheet" Target="worksheets/sheet76.xml"/><Relationship Id="rId79" Type="http://schemas.openxmlformats.org/officeDocument/2006/relationships/worksheet" Target="worksheets/sheet77.xml"/><Relationship Id="rId80" Type="http://schemas.openxmlformats.org/officeDocument/2006/relationships/worksheet" Target="worksheets/sheet78.xml"/><Relationship Id="rId81" Type="http://schemas.openxmlformats.org/officeDocument/2006/relationships/worksheet" Target="worksheets/sheet79.xml"/><Relationship Id="rId82" Type="http://schemas.openxmlformats.org/officeDocument/2006/relationships/worksheet" Target="worksheets/sheet80.xml"/><Relationship Id="rId83" Type="http://schemas.openxmlformats.org/officeDocument/2006/relationships/worksheet" Target="worksheets/sheet81.xml"/><Relationship Id="rId84" Type="http://schemas.openxmlformats.org/officeDocument/2006/relationships/worksheet" Target="worksheets/sheet82.xml"/><Relationship Id="rId85" Type="http://schemas.openxmlformats.org/officeDocument/2006/relationships/worksheet" Target="worksheets/sheet83.xml"/><Relationship Id="rId86" Type="http://schemas.openxmlformats.org/officeDocument/2006/relationships/worksheet" Target="worksheets/sheet84.xml"/><Relationship Id="rId87" Type="http://schemas.openxmlformats.org/officeDocument/2006/relationships/worksheet" Target="worksheets/sheet85.xml"/><Relationship Id="rId88" Type="http://schemas.openxmlformats.org/officeDocument/2006/relationships/worksheet" Target="worksheets/sheet86.xml"/><Relationship Id="rId89" Type="http://schemas.openxmlformats.org/officeDocument/2006/relationships/worksheet" Target="worksheets/sheet87.xml"/><Relationship Id="rId90" Type="http://schemas.openxmlformats.org/officeDocument/2006/relationships/worksheet" Target="worksheets/sheet88.xml"/><Relationship Id="rId91" Type="http://schemas.openxmlformats.org/officeDocument/2006/relationships/worksheet" Target="worksheets/sheet89.xml"/><Relationship Id="rId92" Type="http://schemas.openxmlformats.org/officeDocument/2006/relationships/worksheet" Target="worksheets/sheet90.xml"/><Relationship Id="rId93" Type="http://schemas.openxmlformats.org/officeDocument/2006/relationships/worksheet" Target="worksheets/sheet91.xml"/><Relationship Id="rId94" Type="http://schemas.openxmlformats.org/officeDocument/2006/relationships/worksheet" Target="worksheets/sheet92.xml"/><Relationship Id="rId95" Type="http://schemas.openxmlformats.org/officeDocument/2006/relationships/worksheet" Target="worksheets/sheet93.xml"/><Relationship Id="rId96" Type="http://schemas.openxmlformats.org/officeDocument/2006/relationships/worksheet" Target="worksheets/sheet94.xml"/><Relationship Id="rId97" Type="http://schemas.openxmlformats.org/officeDocument/2006/relationships/worksheet" Target="worksheets/sheet95.xml"/><Relationship Id="rId98" Type="http://schemas.openxmlformats.org/officeDocument/2006/relationships/worksheet" Target="worksheets/sheet96.xml"/><Relationship Id="rId99" Type="http://schemas.openxmlformats.org/officeDocument/2006/relationships/worksheet" Target="worksheets/sheet97.xml"/><Relationship Id="rId100" Type="http://schemas.openxmlformats.org/officeDocument/2006/relationships/worksheet" Target="worksheets/sheet98.xml"/><Relationship Id="rId101" Type="http://schemas.openxmlformats.org/officeDocument/2006/relationships/worksheet" Target="worksheets/sheet99.xml"/><Relationship Id="rId102" Type="http://schemas.openxmlformats.org/officeDocument/2006/relationships/worksheet" Target="worksheets/sheet100.xml"/><Relationship Id="rId103" Type="http://schemas.openxmlformats.org/officeDocument/2006/relationships/worksheet" Target="worksheets/sheet101.xml"/><Relationship Id="rId104" Type="http://schemas.openxmlformats.org/officeDocument/2006/relationships/worksheet" Target="worksheets/sheet102.xml"/><Relationship Id="rId105" Type="http://schemas.openxmlformats.org/officeDocument/2006/relationships/worksheet" Target="worksheets/sheet103.xml"/><Relationship Id="rId106" Type="http://schemas.openxmlformats.org/officeDocument/2006/relationships/worksheet" Target="worksheets/sheet104.xml"/><Relationship Id="rId107" Type="http://schemas.openxmlformats.org/officeDocument/2006/relationships/worksheet" Target="worksheets/sheet105.xml"/><Relationship Id="rId108" Type="http://schemas.openxmlformats.org/officeDocument/2006/relationships/worksheet" Target="worksheets/sheet106.xml"/><Relationship Id="rId109" Type="http://schemas.openxmlformats.org/officeDocument/2006/relationships/worksheet" Target="worksheets/sheet107.xml"/><Relationship Id="rId110" Type="http://schemas.openxmlformats.org/officeDocument/2006/relationships/worksheet" Target="worksheets/sheet108.xml"/><Relationship Id="rId111" Type="http://schemas.openxmlformats.org/officeDocument/2006/relationships/worksheet" Target="worksheets/sheet109.xml"/><Relationship Id="rId112" Type="http://schemas.openxmlformats.org/officeDocument/2006/relationships/worksheet" Target="worksheets/sheet110.xml"/><Relationship Id="rId113" Type="http://schemas.openxmlformats.org/officeDocument/2006/relationships/worksheet" Target="worksheets/sheet111.xml"/><Relationship Id="rId114" Type="http://schemas.openxmlformats.org/officeDocument/2006/relationships/worksheet" Target="worksheets/sheet112.xml"/><Relationship Id="rId115" Type="http://schemas.openxmlformats.org/officeDocument/2006/relationships/worksheet" Target="worksheets/sheet113.xml"/><Relationship Id="rId116" Type="http://schemas.openxmlformats.org/officeDocument/2006/relationships/worksheet" Target="worksheets/sheet114.xml"/><Relationship Id="rId117" Type="http://schemas.openxmlformats.org/officeDocument/2006/relationships/worksheet" Target="worksheets/sheet115.xml"/><Relationship Id="rId118" Type="http://schemas.openxmlformats.org/officeDocument/2006/relationships/worksheet" Target="worksheets/sheet116.xml"/><Relationship Id="rId119" Type="http://schemas.openxmlformats.org/officeDocument/2006/relationships/worksheet" Target="worksheets/sheet117.xml"/><Relationship Id="rId120" Type="http://schemas.openxmlformats.org/officeDocument/2006/relationships/worksheet" Target="worksheets/sheet118.xml"/><Relationship Id="rId121" Type="http://schemas.openxmlformats.org/officeDocument/2006/relationships/worksheet" Target="worksheets/sheet119.xml"/><Relationship Id="rId122" Type="http://schemas.openxmlformats.org/officeDocument/2006/relationships/worksheet" Target="worksheets/sheet120.xml"/><Relationship Id="rId123" Type="http://schemas.openxmlformats.org/officeDocument/2006/relationships/worksheet" Target="worksheets/sheet121.xml"/><Relationship Id="rId124" Type="http://schemas.openxmlformats.org/officeDocument/2006/relationships/worksheet" Target="worksheets/sheet122.xml"/><Relationship Id="rId125" Type="http://schemas.openxmlformats.org/officeDocument/2006/relationships/worksheet" Target="worksheets/sheet123.xml"/><Relationship Id="rId126" Type="http://schemas.openxmlformats.org/officeDocument/2006/relationships/worksheet" Target="worksheets/sheet124.xml"/><Relationship Id="rId127" Type="http://schemas.openxmlformats.org/officeDocument/2006/relationships/worksheet" Target="worksheets/sheet125.xml"/><Relationship Id="rId128" Type="http://schemas.openxmlformats.org/officeDocument/2006/relationships/worksheet" Target="worksheets/sheet126.xml"/><Relationship Id="rId129" Type="http://schemas.openxmlformats.org/officeDocument/2006/relationships/worksheet" Target="worksheets/sheet127.xml"/><Relationship Id="rId130" Type="http://schemas.openxmlformats.org/officeDocument/2006/relationships/worksheet" Target="worksheets/sheet128.xml"/><Relationship Id="rId131" Type="http://schemas.openxmlformats.org/officeDocument/2006/relationships/worksheet" Target="worksheets/sheet129.xml"/><Relationship Id="rId132" Type="http://schemas.openxmlformats.org/officeDocument/2006/relationships/worksheet" Target="worksheets/sheet130.xml"/><Relationship Id="rId133" Type="http://schemas.openxmlformats.org/officeDocument/2006/relationships/worksheet" Target="worksheets/sheet131.xml"/><Relationship Id="rId134" Type="http://schemas.openxmlformats.org/officeDocument/2006/relationships/worksheet" Target="worksheets/sheet132.xml"/><Relationship Id="rId135" Type="http://schemas.openxmlformats.org/officeDocument/2006/relationships/worksheet" Target="worksheets/sheet133.xml"/><Relationship Id="rId136" Type="http://schemas.openxmlformats.org/officeDocument/2006/relationships/worksheet" Target="worksheets/sheet134.xml"/><Relationship Id="rId137" Type="http://schemas.openxmlformats.org/officeDocument/2006/relationships/worksheet" Target="worksheets/sheet135.xml"/><Relationship Id="rId138" Type="http://schemas.openxmlformats.org/officeDocument/2006/relationships/worksheet" Target="worksheets/sheet136.xml"/><Relationship Id="rId139" Type="http://schemas.openxmlformats.org/officeDocument/2006/relationships/worksheet" Target="worksheets/sheet137.xml"/><Relationship Id="rId140" Type="http://schemas.openxmlformats.org/officeDocument/2006/relationships/worksheet" Target="worksheets/sheet138.xml"/><Relationship Id="rId141" Type="http://schemas.openxmlformats.org/officeDocument/2006/relationships/worksheet" Target="worksheets/sheet139.xml"/><Relationship Id="rId142" Type="http://schemas.openxmlformats.org/officeDocument/2006/relationships/worksheet" Target="worksheets/sheet140.xml"/><Relationship Id="rId143" Type="http://schemas.openxmlformats.org/officeDocument/2006/relationships/worksheet" Target="worksheets/sheet141.xml"/><Relationship Id="rId144" Type="http://schemas.openxmlformats.org/officeDocument/2006/relationships/worksheet" Target="worksheets/sheet142.xml"/><Relationship Id="rId145" Type="http://schemas.openxmlformats.org/officeDocument/2006/relationships/worksheet" Target="worksheets/sheet143.xml"/><Relationship Id="rId146" Type="http://schemas.openxmlformats.org/officeDocument/2006/relationships/worksheet" Target="worksheets/sheet144.xml"/><Relationship Id="rId147" Type="http://schemas.openxmlformats.org/officeDocument/2006/relationships/worksheet" Target="worksheets/sheet145.xml"/><Relationship Id="rId148" Type="http://schemas.openxmlformats.org/officeDocument/2006/relationships/worksheet" Target="worksheets/sheet146.xml"/><Relationship Id="rId149" Type="http://schemas.openxmlformats.org/officeDocument/2006/relationships/worksheet" Target="worksheets/sheet147.xml"/><Relationship Id="rId150" Type="http://schemas.openxmlformats.org/officeDocument/2006/relationships/worksheet" Target="worksheets/sheet148.xml"/><Relationship Id="rId151" Type="http://schemas.openxmlformats.org/officeDocument/2006/relationships/worksheet" Target="worksheets/sheet149.xml"/><Relationship Id="rId152" Type="http://schemas.openxmlformats.org/officeDocument/2006/relationships/worksheet" Target="worksheets/sheet150.xml"/><Relationship Id="rId153" Type="http://schemas.openxmlformats.org/officeDocument/2006/relationships/worksheet" Target="worksheets/sheet151.xml"/><Relationship Id="rId15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drawings/drawing22.xml><?xml version="1.0" encoding="utf-8"?>
<xdr:wsDr xmlns:xdr="http://schemas.openxmlformats.org/drawingml/2006/spreadsheetDrawing" xmlns:a="http://schemas.openxmlformats.org/drawingml/2006/main" xmlns:r="http://schemas.openxmlformats.org/officeDocument/2006/relationships"/>
</file>

<file path=xl/drawings/drawing23.xml><?xml version="1.0" encoding="utf-8"?>
<xdr:wsDr xmlns:xdr="http://schemas.openxmlformats.org/drawingml/2006/spreadsheetDrawing" xmlns:a="http://schemas.openxmlformats.org/drawingml/2006/main" xmlns:r="http://schemas.openxmlformats.org/officeDocument/2006/relationships"/>
</file>

<file path=xl/drawings/drawing24.xml><?xml version="1.0" encoding="utf-8"?>
<xdr:wsDr xmlns:xdr="http://schemas.openxmlformats.org/drawingml/2006/spreadsheetDrawing" xmlns:a="http://schemas.openxmlformats.org/drawingml/2006/main" xmlns:r="http://schemas.openxmlformats.org/officeDocument/2006/relationships"/>
</file>

<file path=xl/drawings/drawing25.xml><?xml version="1.0" encoding="utf-8"?>
<xdr:wsDr xmlns:xdr="http://schemas.openxmlformats.org/drawingml/2006/spreadsheetDrawing" xmlns:a="http://schemas.openxmlformats.org/drawingml/2006/main" xmlns:r="http://schemas.openxmlformats.org/officeDocument/2006/relationships"/>
</file>

<file path=xl/drawings/drawing26.xml><?xml version="1.0" encoding="utf-8"?>
<xdr:wsDr xmlns:xdr="http://schemas.openxmlformats.org/drawingml/2006/spreadsheetDrawing" xmlns:a="http://schemas.openxmlformats.org/drawingml/2006/main" xmlns:r="http://schemas.openxmlformats.org/officeDocument/2006/relationships"/>
</file>

<file path=xl/drawings/drawing27.xml><?xml version="1.0" encoding="utf-8"?>
<xdr:wsDr xmlns:xdr="http://schemas.openxmlformats.org/drawingml/2006/spreadsheetDrawing" xmlns:a="http://schemas.openxmlformats.org/drawingml/2006/main" xmlns:r="http://schemas.openxmlformats.org/officeDocument/2006/relationships"/>
</file>

<file path=xl/drawings/drawing28.xml><?xml version="1.0" encoding="utf-8"?>
<xdr:wsDr xmlns:xdr="http://schemas.openxmlformats.org/drawingml/2006/spreadsheetDrawing" xmlns:a="http://schemas.openxmlformats.org/drawingml/2006/main" xmlns:r="http://schemas.openxmlformats.org/officeDocument/2006/relationships"/>
</file>

<file path=xl/drawings/drawing29.xml><?xml version="1.0" encoding="utf-8"?>
<xdr:wsDr xmlns:xdr="http://schemas.openxmlformats.org/drawingml/2006/spreadsheetDrawing" xmlns:a="http://schemas.openxmlformats.org/drawingml/2006/main" xmlns:r="http://schemas.openxmlformats.org/officeDocument/2006/relationships"/>
</file>

<file path=xl/drawings/drawing30.xml><?xml version="1.0" encoding="utf-8"?>
<xdr:wsDr xmlns:xdr="http://schemas.openxmlformats.org/drawingml/2006/spreadsheetDrawing" xmlns:a="http://schemas.openxmlformats.org/drawingml/2006/main" xmlns:r="http://schemas.openxmlformats.org/officeDocument/2006/relationships"/>
</file>

<file path=xl/drawings/drawing31.xml><?xml version="1.0" encoding="utf-8"?>
<xdr:wsDr xmlns:xdr="http://schemas.openxmlformats.org/drawingml/2006/spreadsheetDrawing" xmlns:a="http://schemas.openxmlformats.org/drawingml/2006/main" xmlns:r="http://schemas.openxmlformats.org/officeDocument/2006/relationships"/>
</file>

<file path=xl/drawings/drawing32.xml><?xml version="1.0" encoding="utf-8"?>
<xdr:wsDr xmlns:xdr="http://schemas.openxmlformats.org/drawingml/2006/spreadsheetDrawing" xmlns:a="http://schemas.openxmlformats.org/drawingml/2006/main" xmlns:r="http://schemas.openxmlformats.org/officeDocument/2006/relationships"/>
</file>

<file path=xl/drawings/drawing33.xml><?xml version="1.0" encoding="utf-8"?>
<xdr:wsDr xmlns:xdr="http://schemas.openxmlformats.org/drawingml/2006/spreadsheetDrawing" xmlns:a="http://schemas.openxmlformats.org/drawingml/2006/main" xmlns:r="http://schemas.openxmlformats.org/officeDocument/2006/relationships"/>
</file>

<file path=xl/drawings/drawing34.xml><?xml version="1.0" encoding="utf-8"?>
<xdr:wsDr xmlns:xdr="http://schemas.openxmlformats.org/drawingml/2006/spreadsheetDrawing" xmlns:a="http://schemas.openxmlformats.org/drawingml/2006/main" xmlns:r="http://schemas.openxmlformats.org/officeDocument/2006/relationships"/>
</file>

<file path=xl/drawings/drawing35.xml><?xml version="1.0" encoding="utf-8"?>
<xdr:wsDr xmlns:xdr="http://schemas.openxmlformats.org/drawingml/2006/spreadsheetDrawing" xmlns:a="http://schemas.openxmlformats.org/drawingml/2006/main" xmlns:r="http://schemas.openxmlformats.org/officeDocument/2006/relationships"/>
</file>

<file path=xl/drawings/drawing36.xml><?xml version="1.0" encoding="utf-8"?>
<xdr:wsDr xmlns:xdr="http://schemas.openxmlformats.org/drawingml/2006/spreadsheetDrawing" xmlns:a="http://schemas.openxmlformats.org/drawingml/2006/main" xmlns:r="http://schemas.openxmlformats.org/officeDocument/2006/relationships"/>
</file>

<file path=xl/drawings/drawing37.xml><?xml version="1.0" encoding="utf-8"?>
<xdr:wsDr xmlns:xdr="http://schemas.openxmlformats.org/drawingml/2006/spreadsheetDrawing" xmlns:a="http://schemas.openxmlformats.org/drawingml/2006/main" xmlns:r="http://schemas.openxmlformats.org/officeDocument/2006/relationships"/>
</file>

<file path=xl/drawings/drawing38.xml><?xml version="1.0" encoding="utf-8"?>
<xdr:wsDr xmlns:xdr="http://schemas.openxmlformats.org/drawingml/2006/spreadsheetDrawing" xmlns:a="http://schemas.openxmlformats.org/drawingml/2006/main" xmlns:r="http://schemas.openxmlformats.org/officeDocument/2006/relationships"/>
</file>

<file path=xl/drawings/drawing39.xml><?xml version="1.0" encoding="utf-8"?>
<xdr:wsDr xmlns:xdr="http://schemas.openxmlformats.org/drawingml/2006/spreadsheetDrawing" xmlns:a="http://schemas.openxmlformats.org/drawingml/2006/main" xmlns:r="http://schemas.openxmlformats.org/officeDocument/2006/relationships"/>
</file>

<file path=xl/drawings/drawing40.xml><?xml version="1.0" encoding="utf-8"?>
<xdr:wsDr xmlns:xdr="http://schemas.openxmlformats.org/drawingml/2006/spreadsheetDrawing" xmlns:a="http://schemas.openxmlformats.org/drawingml/2006/main" xmlns:r="http://schemas.openxmlformats.org/officeDocument/2006/relationships"/>
</file>

<file path=xl/drawings/drawing41.xml><?xml version="1.0" encoding="utf-8"?>
<xdr:wsDr xmlns:xdr="http://schemas.openxmlformats.org/drawingml/2006/spreadsheetDrawing" xmlns:a="http://schemas.openxmlformats.org/drawingml/2006/main" xmlns:r="http://schemas.openxmlformats.org/officeDocument/2006/relationships"/>
</file>

<file path=xl/drawings/drawing42.xml><?xml version="1.0" encoding="utf-8"?>
<xdr:wsDr xmlns:xdr="http://schemas.openxmlformats.org/drawingml/2006/spreadsheetDrawing" xmlns:a="http://schemas.openxmlformats.org/drawingml/2006/main" xmlns:r="http://schemas.openxmlformats.org/officeDocument/2006/relationships"/>
</file>

<file path=xl/drawings/drawing43.xml><?xml version="1.0" encoding="utf-8"?>
<xdr:wsDr xmlns:xdr="http://schemas.openxmlformats.org/drawingml/2006/spreadsheetDrawing" xmlns:a="http://schemas.openxmlformats.org/drawingml/2006/main" xmlns:r="http://schemas.openxmlformats.org/officeDocument/2006/relationships"/>
</file>

<file path=xl/drawings/drawing44.xml><?xml version="1.0" encoding="utf-8"?>
<xdr:wsDr xmlns:xdr="http://schemas.openxmlformats.org/drawingml/2006/spreadsheetDrawing" xmlns:a="http://schemas.openxmlformats.org/drawingml/2006/main" xmlns:r="http://schemas.openxmlformats.org/officeDocument/2006/relationships"/>
</file>

<file path=xl/drawings/drawing45.xml><?xml version="1.0" encoding="utf-8"?>
<xdr:wsDr xmlns:xdr="http://schemas.openxmlformats.org/drawingml/2006/spreadsheetDrawing" xmlns:a="http://schemas.openxmlformats.org/drawingml/2006/main" xmlns:r="http://schemas.openxmlformats.org/officeDocument/2006/relationships"/>
</file>

<file path=xl/drawings/drawing46.xml><?xml version="1.0" encoding="utf-8"?>
<xdr:wsDr xmlns:xdr="http://schemas.openxmlformats.org/drawingml/2006/spreadsheetDrawing" xmlns:a="http://schemas.openxmlformats.org/drawingml/2006/main" xmlns:r="http://schemas.openxmlformats.org/officeDocument/2006/relationships"/>
</file>

<file path=xl/drawings/drawing47.xml><?xml version="1.0" encoding="utf-8"?>
<xdr:wsDr xmlns:xdr="http://schemas.openxmlformats.org/drawingml/2006/spreadsheetDrawing" xmlns:a="http://schemas.openxmlformats.org/drawingml/2006/main" xmlns:r="http://schemas.openxmlformats.org/officeDocument/2006/relationships"/>
</file>

<file path=xl/drawings/drawing48.xml><?xml version="1.0" encoding="utf-8"?>
<xdr:wsDr xmlns:xdr="http://schemas.openxmlformats.org/drawingml/2006/spreadsheetDrawing" xmlns:a="http://schemas.openxmlformats.org/drawingml/2006/main" xmlns:r="http://schemas.openxmlformats.org/officeDocument/2006/relationships"/>
</file>

<file path=xl/drawings/drawing49.xml><?xml version="1.0" encoding="utf-8"?>
<xdr:wsDr xmlns:xdr="http://schemas.openxmlformats.org/drawingml/2006/spreadsheetDrawing" xmlns:a="http://schemas.openxmlformats.org/drawingml/2006/main" xmlns:r="http://schemas.openxmlformats.org/officeDocument/2006/relationships"/>
</file>

<file path=xl/drawings/drawing50.xml><?xml version="1.0" encoding="utf-8"?>
<xdr:wsDr xmlns:xdr="http://schemas.openxmlformats.org/drawingml/2006/spreadsheetDrawing" xmlns:a="http://schemas.openxmlformats.org/drawingml/2006/main" xmlns:r="http://schemas.openxmlformats.org/officeDocument/2006/relationships"/>
</file>

<file path=xl/drawings/drawing51.xml><?xml version="1.0" encoding="utf-8"?>
<xdr:wsDr xmlns:xdr="http://schemas.openxmlformats.org/drawingml/2006/spreadsheetDrawing" xmlns:a="http://schemas.openxmlformats.org/drawingml/2006/main" xmlns:r="http://schemas.openxmlformats.org/officeDocument/2006/relationships"/>
</file>

<file path=xl/drawings/drawing52.xml><?xml version="1.0" encoding="utf-8"?>
<xdr:wsDr xmlns:xdr="http://schemas.openxmlformats.org/drawingml/2006/spreadsheetDrawing" xmlns:a="http://schemas.openxmlformats.org/drawingml/2006/main" xmlns:r="http://schemas.openxmlformats.org/officeDocument/2006/relationships"/>
</file>

<file path=xl/drawings/drawing53.xml><?xml version="1.0" encoding="utf-8"?>
<xdr:wsDr xmlns:xdr="http://schemas.openxmlformats.org/drawingml/2006/spreadsheetDrawing" xmlns:a="http://schemas.openxmlformats.org/drawingml/2006/main" xmlns:r="http://schemas.openxmlformats.org/officeDocument/2006/relationships"/>
</file>

<file path=xl/drawings/drawing54.xml><?xml version="1.0" encoding="utf-8"?>
<xdr:wsDr xmlns:xdr="http://schemas.openxmlformats.org/drawingml/2006/spreadsheetDrawing" xmlns:a="http://schemas.openxmlformats.org/drawingml/2006/main" xmlns:r="http://schemas.openxmlformats.org/officeDocument/2006/relationships"/>
</file>

<file path=xl/drawings/drawing55.xml><?xml version="1.0" encoding="utf-8"?>
<xdr:wsDr xmlns:xdr="http://schemas.openxmlformats.org/drawingml/2006/spreadsheetDrawing" xmlns:a="http://schemas.openxmlformats.org/drawingml/2006/main" xmlns:r="http://schemas.openxmlformats.org/officeDocument/2006/relationships"/>
</file>

<file path=xl/drawings/drawing56.xml><?xml version="1.0" encoding="utf-8"?>
<xdr:wsDr xmlns:xdr="http://schemas.openxmlformats.org/drawingml/2006/spreadsheetDrawing" xmlns:a="http://schemas.openxmlformats.org/drawingml/2006/main" xmlns:r="http://schemas.openxmlformats.org/officeDocument/2006/relationships"/>
</file>

<file path=xl/drawings/drawing57.xml><?xml version="1.0" encoding="utf-8"?>
<xdr:wsDr xmlns:xdr="http://schemas.openxmlformats.org/drawingml/2006/spreadsheetDrawing" xmlns:a="http://schemas.openxmlformats.org/drawingml/2006/main" xmlns:r="http://schemas.openxmlformats.org/officeDocument/2006/relationships"/>
</file>

<file path=xl/drawings/drawing58.xml><?xml version="1.0" encoding="utf-8"?>
<xdr:wsDr xmlns:xdr="http://schemas.openxmlformats.org/drawingml/2006/spreadsheetDrawing" xmlns:a="http://schemas.openxmlformats.org/drawingml/2006/main" xmlns:r="http://schemas.openxmlformats.org/officeDocument/2006/relationships"/>
</file>

<file path=xl/drawings/drawing59.xml><?xml version="1.0" encoding="utf-8"?>
<xdr:wsDr xmlns:xdr="http://schemas.openxmlformats.org/drawingml/2006/spreadsheetDrawing" xmlns:a="http://schemas.openxmlformats.org/drawingml/2006/main" xmlns:r="http://schemas.openxmlformats.org/officeDocument/2006/relationships"/>
</file>

<file path=xl/drawings/drawing60.xml><?xml version="1.0" encoding="utf-8"?>
<xdr:wsDr xmlns:xdr="http://schemas.openxmlformats.org/drawingml/2006/spreadsheetDrawing" xmlns:a="http://schemas.openxmlformats.org/drawingml/2006/main" xmlns:r="http://schemas.openxmlformats.org/officeDocument/2006/relationships"/>
</file>

<file path=xl/drawings/drawing61.xml><?xml version="1.0" encoding="utf-8"?>
<xdr:wsDr xmlns:xdr="http://schemas.openxmlformats.org/drawingml/2006/spreadsheetDrawing" xmlns:a="http://schemas.openxmlformats.org/drawingml/2006/main" xmlns:r="http://schemas.openxmlformats.org/officeDocument/2006/relationships"/>
</file>

<file path=xl/drawings/drawing62.xml><?xml version="1.0" encoding="utf-8"?>
<xdr:wsDr xmlns:xdr="http://schemas.openxmlformats.org/drawingml/2006/spreadsheetDrawing" xmlns:a="http://schemas.openxmlformats.org/drawingml/2006/main" xmlns:r="http://schemas.openxmlformats.org/officeDocument/2006/relationships"/>
</file>

<file path=xl/drawings/drawing63.xml><?xml version="1.0" encoding="utf-8"?>
<xdr:wsDr xmlns:xdr="http://schemas.openxmlformats.org/drawingml/2006/spreadsheetDrawing" xmlns:a="http://schemas.openxmlformats.org/drawingml/2006/main" xmlns:r="http://schemas.openxmlformats.org/officeDocument/2006/relationships"/>
</file>

<file path=xl/drawings/drawing64.xml><?xml version="1.0" encoding="utf-8"?>
<xdr:wsDr xmlns:xdr="http://schemas.openxmlformats.org/drawingml/2006/spreadsheetDrawing" xmlns:a="http://schemas.openxmlformats.org/drawingml/2006/main" xmlns:r="http://schemas.openxmlformats.org/officeDocument/2006/relationships"/>
</file>

<file path=xl/drawings/drawing65.xml><?xml version="1.0" encoding="utf-8"?>
<xdr:wsDr xmlns:xdr="http://schemas.openxmlformats.org/drawingml/2006/spreadsheetDrawing" xmlns:a="http://schemas.openxmlformats.org/drawingml/2006/main" xmlns:r="http://schemas.openxmlformats.org/officeDocument/2006/relationships"/>
</file>

<file path=xl/drawings/drawing66.xml><?xml version="1.0" encoding="utf-8"?>
<xdr:wsDr xmlns:xdr="http://schemas.openxmlformats.org/drawingml/2006/spreadsheetDrawing" xmlns:a="http://schemas.openxmlformats.org/drawingml/2006/main" xmlns:r="http://schemas.openxmlformats.org/officeDocument/2006/relationships"/>
</file>

<file path=xl/drawings/drawing67.xml><?xml version="1.0" encoding="utf-8"?>
<xdr:wsDr xmlns:xdr="http://schemas.openxmlformats.org/drawingml/2006/spreadsheetDrawing" xmlns:a="http://schemas.openxmlformats.org/drawingml/2006/main" xmlns:r="http://schemas.openxmlformats.org/officeDocument/2006/relationships"/>
</file>

<file path=xl/drawings/drawing68.xml><?xml version="1.0" encoding="utf-8"?>
<xdr:wsDr xmlns:xdr="http://schemas.openxmlformats.org/drawingml/2006/spreadsheetDrawing" xmlns:a="http://schemas.openxmlformats.org/drawingml/2006/main" xmlns:r="http://schemas.openxmlformats.org/officeDocument/2006/relationships"/>
</file>

<file path=xl/drawings/drawing69.xml><?xml version="1.0" encoding="utf-8"?>
<xdr:wsDr xmlns:xdr="http://schemas.openxmlformats.org/drawingml/2006/spreadsheetDrawing" xmlns:a="http://schemas.openxmlformats.org/drawingml/2006/main" xmlns:r="http://schemas.openxmlformats.org/officeDocument/2006/relationships"/>
</file>

<file path=xl/drawings/drawing70.xml><?xml version="1.0" encoding="utf-8"?>
<xdr:wsDr xmlns:xdr="http://schemas.openxmlformats.org/drawingml/2006/spreadsheetDrawing" xmlns:a="http://schemas.openxmlformats.org/drawingml/2006/main" xmlns:r="http://schemas.openxmlformats.org/officeDocument/2006/relationships"/>
</file>

<file path=xl/drawings/drawing71.xml><?xml version="1.0" encoding="utf-8"?>
<xdr:wsDr xmlns:xdr="http://schemas.openxmlformats.org/drawingml/2006/spreadsheetDrawing" xmlns:a="http://schemas.openxmlformats.org/drawingml/2006/main" xmlns:r="http://schemas.openxmlformats.org/officeDocument/2006/relationships"/>
</file>

<file path=xl/drawings/drawing72.xml><?xml version="1.0" encoding="utf-8"?>
<xdr:wsDr xmlns:xdr="http://schemas.openxmlformats.org/drawingml/2006/spreadsheetDrawing" xmlns:a="http://schemas.openxmlformats.org/drawingml/2006/main" xmlns:r="http://schemas.openxmlformats.org/officeDocument/2006/relationships"/>
</file>

<file path=xl/drawings/drawing73.xml><?xml version="1.0" encoding="utf-8"?>
<xdr:wsDr xmlns:xdr="http://schemas.openxmlformats.org/drawingml/2006/spreadsheetDrawing" xmlns:a="http://schemas.openxmlformats.org/drawingml/2006/main" xmlns:r="http://schemas.openxmlformats.org/officeDocument/2006/relationships"/>
</file>

<file path=xl/drawings/drawing74.xml><?xml version="1.0" encoding="utf-8"?>
<xdr:wsDr xmlns:xdr="http://schemas.openxmlformats.org/drawingml/2006/spreadsheetDrawing" xmlns:a="http://schemas.openxmlformats.org/drawingml/2006/main" xmlns:r="http://schemas.openxmlformats.org/officeDocument/2006/relationships"/>
</file>

<file path=xl/drawings/drawing75.xml><?xml version="1.0" encoding="utf-8"?>
<xdr:wsDr xmlns:xdr="http://schemas.openxmlformats.org/drawingml/2006/spreadsheetDrawing" xmlns:a="http://schemas.openxmlformats.org/drawingml/2006/main" xmlns:r="http://schemas.openxmlformats.org/officeDocument/2006/relationships"/>
</file>

<file path=xl/drawings/drawing76.xml><?xml version="1.0" encoding="utf-8"?>
<xdr:wsDr xmlns:xdr="http://schemas.openxmlformats.org/drawingml/2006/spreadsheetDrawing" xmlns:a="http://schemas.openxmlformats.org/drawingml/2006/main" xmlns:r="http://schemas.openxmlformats.org/officeDocument/2006/relationships"/>
</file>

<file path=xl/drawings/drawing77.xml><?xml version="1.0" encoding="utf-8"?>
<xdr:wsDr xmlns:xdr="http://schemas.openxmlformats.org/drawingml/2006/spreadsheetDrawing" xmlns:a="http://schemas.openxmlformats.org/drawingml/2006/main" xmlns:r="http://schemas.openxmlformats.org/officeDocument/2006/relationships"/>
</file>

<file path=xl/drawings/drawing78.xml><?xml version="1.0" encoding="utf-8"?>
<xdr:wsDr xmlns:xdr="http://schemas.openxmlformats.org/drawingml/2006/spreadsheetDrawing" xmlns:a="http://schemas.openxmlformats.org/drawingml/2006/main" xmlns:r="http://schemas.openxmlformats.org/officeDocument/2006/relationships"/>
</file>

<file path=xl/drawings/drawing79.xml><?xml version="1.0" encoding="utf-8"?>
<xdr:wsDr xmlns:xdr="http://schemas.openxmlformats.org/drawingml/2006/spreadsheetDrawing" xmlns:a="http://schemas.openxmlformats.org/drawingml/2006/main" xmlns:r="http://schemas.openxmlformats.org/officeDocument/2006/relationships"/>
</file>

<file path=xl/drawings/drawing80.xml><?xml version="1.0" encoding="utf-8"?>
<xdr:wsDr xmlns:xdr="http://schemas.openxmlformats.org/drawingml/2006/spreadsheetDrawing" xmlns:a="http://schemas.openxmlformats.org/drawingml/2006/main" xmlns:r="http://schemas.openxmlformats.org/officeDocument/2006/relationships"/>
</file>

<file path=xl/drawings/drawing81.xml><?xml version="1.0" encoding="utf-8"?>
<xdr:wsDr xmlns:xdr="http://schemas.openxmlformats.org/drawingml/2006/spreadsheetDrawing" xmlns:a="http://schemas.openxmlformats.org/drawingml/2006/main" xmlns:r="http://schemas.openxmlformats.org/officeDocument/2006/relationships"/>
</file>

<file path=xl/drawings/drawing82.xml><?xml version="1.0" encoding="utf-8"?>
<xdr:wsDr xmlns:xdr="http://schemas.openxmlformats.org/drawingml/2006/spreadsheetDrawing" xmlns:a="http://schemas.openxmlformats.org/drawingml/2006/main" xmlns:r="http://schemas.openxmlformats.org/officeDocument/2006/relationships"/>
</file>

<file path=xl/drawings/drawing83.xml><?xml version="1.0" encoding="utf-8"?>
<xdr:wsDr xmlns:xdr="http://schemas.openxmlformats.org/drawingml/2006/spreadsheetDrawing" xmlns:a="http://schemas.openxmlformats.org/drawingml/2006/main" xmlns:r="http://schemas.openxmlformats.org/officeDocument/2006/relationships"/>
</file>

<file path=xl/drawings/drawing84.xml><?xml version="1.0" encoding="utf-8"?>
<xdr:wsDr xmlns:xdr="http://schemas.openxmlformats.org/drawingml/2006/spreadsheetDrawing" xmlns:a="http://schemas.openxmlformats.org/drawingml/2006/main" xmlns:r="http://schemas.openxmlformats.org/officeDocument/2006/relationships"/>
</file>

<file path=xl/drawings/drawing85.xml><?xml version="1.0" encoding="utf-8"?>
<xdr:wsDr xmlns:xdr="http://schemas.openxmlformats.org/drawingml/2006/spreadsheetDrawing" xmlns:a="http://schemas.openxmlformats.org/drawingml/2006/main" xmlns:r="http://schemas.openxmlformats.org/officeDocument/2006/relationships"/>
</file>

<file path=xl/drawings/drawing86.xml><?xml version="1.0" encoding="utf-8"?>
<xdr:wsDr xmlns:xdr="http://schemas.openxmlformats.org/drawingml/2006/spreadsheetDrawing" xmlns:a="http://schemas.openxmlformats.org/drawingml/2006/main" xmlns:r="http://schemas.openxmlformats.org/officeDocument/2006/relationships"/>
</file>

<file path=xl/drawings/drawing87.xml><?xml version="1.0" encoding="utf-8"?>
<xdr:wsDr xmlns:xdr="http://schemas.openxmlformats.org/drawingml/2006/spreadsheetDrawing" xmlns:a="http://schemas.openxmlformats.org/drawingml/2006/main" xmlns:r="http://schemas.openxmlformats.org/officeDocument/2006/relationships"/>
</file>

<file path=xl/drawings/drawing88.xml><?xml version="1.0" encoding="utf-8"?>
<xdr:wsDr xmlns:xdr="http://schemas.openxmlformats.org/drawingml/2006/spreadsheetDrawing" xmlns:a="http://schemas.openxmlformats.org/drawingml/2006/main" xmlns:r="http://schemas.openxmlformats.org/officeDocument/2006/relationships"/>
</file>

<file path=xl/drawings/drawing89.xml><?xml version="1.0" encoding="utf-8"?>
<xdr:wsDr xmlns:xdr="http://schemas.openxmlformats.org/drawingml/2006/spreadsheetDrawing" xmlns:a="http://schemas.openxmlformats.org/drawingml/2006/main" xmlns:r="http://schemas.openxmlformats.org/officeDocument/2006/relationships"/>
</file>

<file path=xl/drawings/drawing90.xml><?xml version="1.0" encoding="utf-8"?>
<xdr:wsDr xmlns:xdr="http://schemas.openxmlformats.org/drawingml/2006/spreadsheetDrawing" xmlns:a="http://schemas.openxmlformats.org/drawingml/2006/main" xmlns:r="http://schemas.openxmlformats.org/officeDocument/2006/relationships"/>
</file>

<file path=xl/drawings/drawing91.xml><?xml version="1.0" encoding="utf-8"?>
<xdr:wsDr xmlns:xdr="http://schemas.openxmlformats.org/drawingml/2006/spreadsheetDrawing" xmlns:a="http://schemas.openxmlformats.org/drawingml/2006/main" xmlns:r="http://schemas.openxmlformats.org/officeDocument/2006/relationships"/>
</file>

<file path=xl/drawings/drawing92.xml><?xml version="1.0" encoding="utf-8"?>
<xdr:wsDr xmlns:xdr="http://schemas.openxmlformats.org/drawingml/2006/spreadsheetDrawing" xmlns:a="http://schemas.openxmlformats.org/drawingml/2006/main" xmlns:r="http://schemas.openxmlformats.org/officeDocument/2006/relationships"/>
</file>

<file path=xl/drawings/drawing93.xml><?xml version="1.0" encoding="utf-8"?>
<xdr:wsDr xmlns:xdr="http://schemas.openxmlformats.org/drawingml/2006/spreadsheetDrawing" xmlns:a="http://schemas.openxmlformats.org/drawingml/2006/main" xmlns:r="http://schemas.openxmlformats.org/officeDocument/2006/relationships"/>
</file>

<file path=xl/drawings/drawing94.xml><?xml version="1.0" encoding="utf-8"?>
<xdr:wsDr xmlns:xdr="http://schemas.openxmlformats.org/drawingml/2006/spreadsheetDrawing" xmlns:a="http://schemas.openxmlformats.org/drawingml/2006/main" xmlns:r="http://schemas.openxmlformats.org/officeDocument/2006/relationships"/>
</file>

<file path=xl/drawings/drawing95.xml><?xml version="1.0" encoding="utf-8"?>
<xdr:wsDr xmlns:xdr="http://schemas.openxmlformats.org/drawingml/2006/spreadsheetDrawing" xmlns:a="http://schemas.openxmlformats.org/drawingml/2006/main" xmlns:r="http://schemas.openxmlformats.org/officeDocument/2006/relationships"/>
</file>

<file path=xl/drawings/drawing96.xml><?xml version="1.0" encoding="utf-8"?>
<xdr:wsDr xmlns:xdr="http://schemas.openxmlformats.org/drawingml/2006/spreadsheetDrawing" xmlns:a="http://schemas.openxmlformats.org/drawingml/2006/main" xmlns:r="http://schemas.openxmlformats.org/officeDocument/2006/relationships"/>
</file>

<file path=xl/drawings/drawing97.xml><?xml version="1.0" encoding="utf-8"?>
<xdr:wsDr xmlns:xdr="http://schemas.openxmlformats.org/drawingml/2006/spreadsheetDrawing" xmlns:a="http://schemas.openxmlformats.org/drawingml/2006/main" xmlns:r="http://schemas.openxmlformats.org/officeDocument/2006/relationships"/>
</file>

<file path=xl/drawings/drawing98.xml><?xml version="1.0" encoding="utf-8"?>
<xdr:wsDr xmlns:xdr="http://schemas.openxmlformats.org/drawingml/2006/spreadsheetDrawing" xmlns:a="http://schemas.openxmlformats.org/drawingml/2006/main" xmlns:r="http://schemas.openxmlformats.org/officeDocument/2006/relationships"/>
</file>

<file path=xl/drawings/drawing99.xml><?xml version="1.0" encoding="utf-8"?>
<xdr:wsDr xmlns:xdr="http://schemas.openxmlformats.org/drawingml/2006/spreadsheetDrawing" xmlns:a="http://schemas.openxmlformats.org/drawingml/2006/main" xmlns:r="http://schemas.openxmlformats.org/officeDocument/2006/relationships"/>
</file>

<file path=xl/drawings/drawing100.xml><?xml version="1.0" encoding="utf-8"?>
<xdr:wsDr xmlns:xdr="http://schemas.openxmlformats.org/drawingml/2006/spreadsheetDrawing" xmlns:a="http://schemas.openxmlformats.org/drawingml/2006/main" xmlns:r="http://schemas.openxmlformats.org/officeDocument/2006/relationships"/>
</file>

<file path=xl/drawings/drawing101.xml><?xml version="1.0" encoding="utf-8"?>
<xdr:wsDr xmlns:xdr="http://schemas.openxmlformats.org/drawingml/2006/spreadsheetDrawing" xmlns:a="http://schemas.openxmlformats.org/drawingml/2006/main" xmlns:r="http://schemas.openxmlformats.org/officeDocument/2006/relationships"/>
</file>

<file path=xl/drawings/drawing102.xml><?xml version="1.0" encoding="utf-8"?>
<xdr:wsDr xmlns:xdr="http://schemas.openxmlformats.org/drawingml/2006/spreadsheetDrawing" xmlns:a="http://schemas.openxmlformats.org/drawingml/2006/main" xmlns:r="http://schemas.openxmlformats.org/officeDocument/2006/relationships"/>
</file>

<file path=xl/drawings/drawing103.xml><?xml version="1.0" encoding="utf-8"?>
<xdr:wsDr xmlns:xdr="http://schemas.openxmlformats.org/drawingml/2006/spreadsheetDrawing" xmlns:a="http://schemas.openxmlformats.org/drawingml/2006/main" xmlns:r="http://schemas.openxmlformats.org/officeDocument/2006/relationships"/>
</file>

<file path=xl/drawings/drawing104.xml><?xml version="1.0" encoding="utf-8"?>
<xdr:wsDr xmlns:xdr="http://schemas.openxmlformats.org/drawingml/2006/spreadsheetDrawing" xmlns:a="http://schemas.openxmlformats.org/drawingml/2006/main" xmlns:r="http://schemas.openxmlformats.org/officeDocument/2006/relationships"/>
</file>

<file path=xl/drawings/drawing105.xml><?xml version="1.0" encoding="utf-8"?>
<xdr:wsDr xmlns:xdr="http://schemas.openxmlformats.org/drawingml/2006/spreadsheetDrawing" xmlns:a="http://schemas.openxmlformats.org/drawingml/2006/main" xmlns:r="http://schemas.openxmlformats.org/officeDocument/2006/relationships"/>
</file>

<file path=xl/drawings/drawing106.xml><?xml version="1.0" encoding="utf-8"?>
<xdr:wsDr xmlns:xdr="http://schemas.openxmlformats.org/drawingml/2006/spreadsheetDrawing" xmlns:a="http://schemas.openxmlformats.org/drawingml/2006/main" xmlns:r="http://schemas.openxmlformats.org/officeDocument/2006/relationships"/>
</file>

<file path=xl/drawings/drawing107.xml><?xml version="1.0" encoding="utf-8"?>
<xdr:wsDr xmlns:xdr="http://schemas.openxmlformats.org/drawingml/2006/spreadsheetDrawing" xmlns:a="http://schemas.openxmlformats.org/drawingml/2006/main" xmlns:r="http://schemas.openxmlformats.org/officeDocument/2006/relationships"/>
</file>

<file path=xl/drawings/drawing108.xml><?xml version="1.0" encoding="utf-8"?>
<xdr:wsDr xmlns:xdr="http://schemas.openxmlformats.org/drawingml/2006/spreadsheetDrawing" xmlns:a="http://schemas.openxmlformats.org/drawingml/2006/main" xmlns:r="http://schemas.openxmlformats.org/officeDocument/2006/relationships"/>
</file>

<file path=xl/drawings/drawing109.xml><?xml version="1.0" encoding="utf-8"?>
<xdr:wsDr xmlns:xdr="http://schemas.openxmlformats.org/drawingml/2006/spreadsheetDrawing" xmlns:a="http://schemas.openxmlformats.org/drawingml/2006/main" xmlns:r="http://schemas.openxmlformats.org/officeDocument/2006/relationships"/>
</file>

<file path=xl/drawings/drawing110.xml><?xml version="1.0" encoding="utf-8"?>
<xdr:wsDr xmlns:xdr="http://schemas.openxmlformats.org/drawingml/2006/spreadsheetDrawing" xmlns:a="http://schemas.openxmlformats.org/drawingml/2006/main" xmlns:r="http://schemas.openxmlformats.org/officeDocument/2006/relationships"/>
</file>

<file path=xl/drawings/drawing111.xml><?xml version="1.0" encoding="utf-8"?>
<xdr:wsDr xmlns:xdr="http://schemas.openxmlformats.org/drawingml/2006/spreadsheetDrawing" xmlns:a="http://schemas.openxmlformats.org/drawingml/2006/main" xmlns:r="http://schemas.openxmlformats.org/officeDocument/2006/relationships"/>
</file>

<file path=xl/drawings/drawing112.xml><?xml version="1.0" encoding="utf-8"?>
<xdr:wsDr xmlns:xdr="http://schemas.openxmlformats.org/drawingml/2006/spreadsheetDrawing" xmlns:a="http://schemas.openxmlformats.org/drawingml/2006/main" xmlns:r="http://schemas.openxmlformats.org/officeDocument/2006/relationships"/>
</file>

<file path=xl/drawings/drawing113.xml><?xml version="1.0" encoding="utf-8"?>
<xdr:wsDr xmlns:xdr="http://schemas.openxmlformats.org/drawingml/2006/spreadsheetDrawing" xmlns:a="http://schemas.openxmlformats.org/drawingml/2006/main" xmlns:r="http://schemas.openxmlformats.org/officeDocument/2006/relationships"/>
</file>

<file path=xl/drawings/drawing114.xml><?xml version="1.0" encoding="utf-8"?>
<xdr:wsDr xmlns:xdr="http://schemas.openxmlformats.org/drawingml/2006/spreadsheetDrawing" xmlns:a="http://schemas.openxmlformats.org/drawingml/2006/main" xmlns:r="http://schemas.openxmlformats.org/officeDocument/2006/relationships"/>
</file>

<file path=xl/drawings/drawing115.xml><?xml version="1.0" encoding="utf-8"?>
<xdr:wsDr xmlns:xdr="http://schemas.openxmlformats.org/drawingml/2006/spreadsheetDrawing" xmlns:a="http://schemas.openxmlformats.org/drawingml/2006/main" xmlns:r="http://schemas.openxmlformats.org/officeDocument/2006/relationships"/>
</file>

<file path=xl/drawings/drawing116.xml><?xml version="1.0" encoding="utf-8"?>
<xdr:wsDr xmlns:xdr="http://schemas.openxmlformats.org/drawingml/2006/spreadsheetDrawing" xmlns:a="http://schemas.openxmlformats.org/drawingml/2006/main" xmlns:r="http://schemas.openxmlformats.org/officeDocument/2006/relationships"/>
</file>

<file path=xl/drawings/drawing117.xml><?xml version="1.0" encoding="utf-8"?>
<xdr:wsDr xmlns:xdr="http://schemas.openxmlformats.org/drawingml/2006/spreadsheetDrawing" xmlns:a="http://schemas.openxmlformats.org/drawingml/2006/main" xmlns:r="http://schemas.openxmlformats.org/officeDocument/2006/relationships"/>
</file>

<file path=xl/drawings/drawing118.xml><?xml version="1.0" encoding="utf-8"?>
<xdr:wsDr xmlns:xdr="http://schemas.openxmlformats.org/drawingml/2006/spreadsheetDrawing" xmlns:a="http://schemas.openxmlformats.org/drawingml/2006/main" xmlns:r="http://schemas.openxmlformats.org/officeDocument/2006/relationships"/>
</file>

<file path=xl/drawings/drawing119.xml><?xml version="1.0" encoding="utf-8"?>
<xdr:wsDr xmlns:xdr="http://schemas.openxmlformats.org/drawingml/2006/spreadsheetDrawing" xmlns:a="http://schemas.openxmlformats.org/drawingml/2006/main" xmlns:r="http://schemas.openxmlformats.org/officeDocument/2006/relationships"/>
</file>

<file path=xl/drawings/drawing120.xml><?xml version="1.0" encoding="utf-8"?>
<xdr:wsDr xmlns:xdr="http://schemas.openxmlformats.org/drawingml/2006/spreadsheetDrawing" xmlns:a="http://schemas.openxmlformats.org/drawingml/2006/main" xmlns:r="http://schemas.openxmlformats.org/officeDocument/2006/relationships"/>
</file>

<file path=xl/drawings/drawing121.xml><?xml version="1.0" encoding="utf-8"?>
<xdr:wsDr xmlns:xdr="http://schemas.openxmlformats.org/drawingml/2006/spreadsheetDrawing" xmlns:a="http://schemas.openxmlformats.org/drawingml/2006/main" xmlns:r="http://schemas.openxmlformats.org/officeDocument/2006/relationships"/>
</file>

<file path=xl/drawings/drawing122.xml><?xml version="1.0" encoding="utf-8"?>
<xdr:wsDr xmlns:xdr="http://schemas.openxmlformats.org/drawingml/2006/spreadsheetDrawing" xmlns:a="http://schemas.openxmlformats.org/drawingml/2006/main" xmlns:r="http://schemas.openxmlformats.org/officeDocument/2006/relationships"/>
</file>

<file path=xl/drawings/drawing123.xml><?xml version="1.0" encoding="utf-8"?>
<xdr:wsDr xmlns:xdr="http://schemas.openxmlformats.org/drawingml/2006/spreadsheetDrawing" xmlns:a="http://schemas.openxmlformats.org/drawingml/2006/main" xmlns:r="http://schemas.openxmlformats.org/officeDocument/2006/relationships"/>
</file>

<file path=xl/drawings/drawing124.xml><?xml version="1.0" encoding="utf-8"?>
<xdr:wsDr xmlns:xdr="http://schemas.openxmlformats.org/drawingml/2006/spreadsheetDrawing" xmlns:a="http://schemas.openxmlformats.org/drawingml/2006/main" xmlns:r="http://schemas.openxmlformats.org/officeDocument/2006/relationships"/>
</file>

<file path=xl/drawings/drawing125.xml><?xml version="1.0" encoding="utf-8"?>
<xdr:wsDr xmlns:xdr="http://schemas.openxmlformats.org/drawingml/2006/spreadsheetDrawing" xmlns:a="http://schemas.openxmlformats.org/drawingml/2006/main" xmlns:r="http://schemas.openxmlformats.org/officeDocument/2006/relationships"/>
</file>

<file path=xl/drawings/drawing126.xml><?xml version="1.0" encoding="utf-8"?>
<xdr:wsDr xmlns:xdr="http://schemas.openxmlformats.org/drawingml/2006/spreadsheetDrawing" xmlns:a="http://schemas.openxmlformats.org/drawingml/2006/main" xmlns:r="http://schemas.openxmlformats.org/officeDocument/2006/relationships"/>
</file>

<file path=xl/drawings/drawing127.xml><?xml version="1.0" encoding="utf-8"?>
<xdr:wsDr xmlns:xdr="http://schemas.openxmlformats.org/drawingml/2006/spreadsheetDrawing" xmlns:a="http://schemas.openxmlformats.org/drawingml/2006/main" xmlns:r="http://schemas.openxmlformats.org/officeDocument/2006/relationships"/>
</file>

<file path=xl/drawings/drawing128.xml><?xml version="1.0" encoding="utf-8"?>
<xdr:wsDr xmlns:xdr="http://schemas.openxmlformats.org/drawingml/2006/spreadsheetDrawing" xmlns:a="http://schemas.openxmlformats.org/drawingml/2006/main" xmlns:r="http://schemas.openxmlformats.org/officeDocument/2006/relationships"/>
</file>

<file path=xl/drawings/drawing129.xml><?xml version="1.0" encoding="utf-8"?>
<xdr:wsDr xmlns:xdr="http://schemas.openxmlformats.org/drawingml/2006/spreadsheetDrawing" xmlns:a="http://schemas.openxmlformats.org/drawingml/2006/main" xmlns:r="http://schemas.openxmlformats.org/officeDocument/2006/relationships"/>
</file>

<file path=xl/drawings/drawing130.xml><?xml version="1.0" encoding="utf-8"?>
<xdr:wsDr xmlns:xdr="http://schemas.openxmlformats.org/drawingml/2006/spreadsheetDrawing" xmlns:a="http://schemas.openxmlformats.org/drawingml/2006/main" xmlns:r="http://schemas.openxmlformats.org/officeDocument/2006/relationships"/>
</file>

<file path=xl/drawings/drawing131.xml><?xml version="1.0" encoding="utf-8"?>
<xdr:wsDr xmlns:xdr="http://schemas.openxmlformats.org/drawingml/2006/spreadsheetDrawing" xmlns:a="http://schemas.openxmlformats.org/drawingml/2006/main" xmlns:r="http://schemas.openxmlformats.org/officeDocument/2006/relationships"/>
</file>

<file path=xl/drawings/drawing132.xml><?xml version="1.0" encoding="utf-8"?>
<xdr:wsDr xmlns:xdr="http://schemas.openxmlformats.org/drawingml/2006/spreadsheetDrawing" xmlns:a="http://schemas.openxmlformats.org/drawingml/2006/main" xmlns:r="http://schemas.openxmlformats.org/officeDocument/2006/relationships"/>
</file>

<file path=xl/drawings/drawing133.xml><?xml version="1.0" encoding="utf-8"?>
<xdr:wsDr xmlns:xdr="http://schemas.openxmlformats.org/drawingml/2006/spreadsheetDrawing" xmlns:a="http://schemas.openxmlformats.org/drawingml/2006/main" xmlns:r="http://schemas.openxmlformats.org/officeDocument/2006/relationships"/>
</file>

<file path=xl/drawings/drawing134.xml><?xml version="1.0" encoding="utf-8"?>
<xdr:wsDr xmlns:xdr="http://schemas.openxmlformats.org/drawingml/2006/spreadsheetDrawing" xmlns:a="http://schemas.openxmlformats.org/drawingml/2006/main" xmlns:r="http://schemas.openxmlformats.org/officeDocument/2006/relationships"/>
</file>

<file path=xl/drawings/drawing135.xml><?xml version="1.0" encoding="utf-8"?>
<xdr:wsDr xmlns:xdr="http://schemas.openxmlformats.org/drawingml/2006/spreadsheetDrawing" xmlns:a="http://schemas.openxmlformats.org/drawingml/2006/main" xmlns:r="http://schemas.openxmlformats.org/officeDocument/2006/relationships"/>
</file>

<file path=xl/drawings/drawing136.xml><?xml version="1.0" encoding="utf-8"?>
<xdr:wsDr xmlns:xdr="http://schemas.openxmlformats.org/drawingml/2006/spreadsheetDrawing" xmlns:a="http://schemas.openxmlformats.org/drawingml/2006/main" xmlns:r="http://schemas.openxmlformats.org/officeDocument/2006/relationships"/>
</file>

<file path=xl/drawings/drawing137.xml><?xml version="1.0" encoding="utf-8"?>
<xdr:wsDr xmlns:xdr="http://schemas.openxmlformats.org/drawingml/2006/spreadsheetDrawing" xmlns:a="http://schemas.openxmlformats.org/drawingml/2006/main" xmlns:r="http://schemas.openxmlformats.org/officeDocument/2006/relationships"/>
</file>

<file path=xl/drawings/drawing138.xml><?xml version="1.0" encoding="utf-8"?>
<xdr:wsDr xmlns:xdr="http://schemas.openxmlformats.org/drawingml/2006/spreadsheetDrawing" xmlns:a="http://schemas.openxmlformats.org/drawingml/2006/main" xmlns:r="http://schemas.openxmlformats.org/officeDocument/2006/relationships"/>
</file>

<file path=xl/drawings/drawing139.xml><?xml version="1.0" encoding="utf-8"?>
<xdr:wsDr xmlns:xdr="http://schemas.openxmlformats.org/drawingml/2006/spreadsheetDrawing" xmlns:a="http://schemas.openxmlformats.org/drawingml/2006/main" xmlns:r="http://schemas.openxmlformats.org/officeDocument/2006/relationships"/>
</file>

<file path=xl/drawings/drawing140.xml><?xml version="1.0" encoding="utf-8"?>
<xdr:wsDr xmlns:xdr="http://schemas.openxmlformats.org/drawingml/2006/spreadsheetDrawing" xmlns:a="http://schemas.openxmlformats.org/drawingml/2006/main" xmlns:r="http://schemas.openxmlformats.org/officeDocument/2006/relationships"/>
</file>

<file path=xl/drawings/drawing141.xml><?xml version="1.0" encoding="utf-8"?>
<xdr:wsDr xmlns:xdr="http://schemas.openxmlformats.org/drawingml/2006/spreadsheetDrawing" xmlns:a="http://schemas.openxmlformats.org/drawingml/2006/main" xmlns:r="http://schemas.openxmlformats.org/officeDocument/2006/relationships"/>
</file>

<file path=xl/drawings/drawing142.xml><?xml version="1.0" encoding="utf-8"?>
<xdr:wsDr xmlns:xdr="http://schemas.openxmlformats.org/drawingml/2006/spreadsheetDrawing" xmlns:a="http://schemas.openxmlformats.org/drawingml/2006/main" xmlns:r="http://schemas.openxmlformats.org/officeDocument/2006/relationships"/>
</file>

<file path=xl/drawings/drawing143.xml><?xml version="1.0" encoding="utf-8"?>
<xdr:wsDr xmlns:xdr="http://schemas.openxmlformats.org/drawingml/2006/spreadsheetDrawing" xmlns:a="http://schemas.openxmlformats.org/drawingml/2006/main" xmlns:r="http://schemas.openxmlformats.org/officeDocument/2006/relationships"/>
</file>

<file path=xl/drawings/drawing14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_rels/sheet9.xml.rels><?xml version="1.0" encoding="UTF-8"?>
<Relationships xmlns="http://schemas.openxmlformats.org/package/2006/relationships"><Relationship Id="rId1" Type="http://schemas.openxmlformats.org/officeDocument/2006/relationships/drawing" Target="../drawings/drawing3.xml"/>
</Relationships>
</file>

<file path=xl/worksheets/_rels/sheet10.xml.rels><?xml version="1.0" encoding="UTF-8"?>
<Relationships xmlns="http://schemas.openxmlformats.org/package/2006/relationships"><Relationship Id="rId1" Type="http://schemas.openxmlformats.org/officeDocument/2006/relationships/drawing" Target="../drawings/drawing4.xml"/>
</Relationships>
</file>

<file path=xl/worksheets/_rels/sheet11.xml.rels><?xml version="1.0" encoding="UTF-8"?>
<Relationships xmlns="http://schemas.openxmlformats.org/package/2006/relationships"><Relationship Id="rId1" Type="http://schemas.openxmlformats.org/officeDocument/2006/relationships/drawing" Target="../drawings/drawing5.xml"/>
</Relationships>
</file>

<file path=xl/worksheets/_rels/sheet12.xml.rels><?xml version="1.0" encoding="UTF-8"?>
<Relationships xmlns="http://schemas.openxmlformats.org/package/2006/relationships"><Relationship Id="rId1" Type="http://schemas.openxmlformats.org/officeDocument/2006/relationships/drawing" Target="../drawings/drawing6.xml"/>
</Relationships>
</file>

<file path=xl/worksheets/_rels/sheet13.xml.rels><?xml version="1.0" encoding="UTF-8"?>
<Relationships xmlns="http://schemas.openxmlformats.org/package/2006/relationships"><Relationship Id="rId1" Type="http://schemas.openxmlformats.org/officeDocument/2006/relationships/drawing" Target="../drawings/drawing7.xml"/>
</Relationships>
</file>

<file path=xl/worksheets/_rels/sheet14.xml.rels><?xml version="1.0" encoding="UTF-8"?>
<Relationships xmlns="http://schemas.openxmlformats.org/package/2006/relationships"><Relationship Id="rId1" Type="http://schemas.openxmlformats.org/officeDocument/2006/relationships/drawing" Target="../drawings/drawing8.xml"/>
</Relationships>
</file>

<file path=xl/worksheets/_rels/sheet15.xml.rels><?xml version="1.0" encoding="UTF-8"?>
<Relationships xmlns="http://schemas.openxmlformats.org/package/2006/relationships"><Relationship Id="rId1" Type="http://schemas.openxmlformats.org/officeDocument/2006/relationships/drawing" Target="../drawings/drawing9.xml"/>
</Relationships>
</file>

<file path=xl/worksheets/_rels/sheet16.xml.rels><?xml version="1.0" encoding="UTF-8"?>
<Relationships xmlns="http://schemas.openxmlformats.org/package/2006/relationships"><Relationship Id="rId1" Type="http://schemas.openxmlformats.org/officeDocument/2006/relationships/drawing" Target="../drawings/drawing10.xml"/>
</Relationships>
</file>

<file path=xl/worksheets/_rels/sheet17.xml.rels><?xml version="1.0" encoding="UTF-8"?>
<Relationships xmlns="http://schemas.openxmlformats.org/package/2006/relationships"><Relationship Id="rId1" Type="http://schemas.openxmlformats.org/officeDocument/2006/relationships/drawing" Target="../drawings/drawing11.xml"/>
</Relationships>
</file>

<file path=xl/worksheets/_rels/sheet18.xml.rels><?xml version="1.0" encoding="UTF-8"?>
<Relationships xmlns="http://schemas.openxmlformats.org/package/2006/relationships"><Relationship Id="rId1" Type="http://schemas.openxmlformats.org/officeDocument/2006/relationships/drawing" Target="../drawings/drawing12.xml"/>
</Relationships>
</file>

<file path=xl/worksheets/_rels/sheet19.xml.rels><?xml version="1.0" encoding="UTF-8"?>
<Relationships xmlns="http://schemas.openxmlformats.org/package/2006/relationships"><Relationship Id="rId1" Type="http://schemas.openxmlformats.org/officeDocument/2006/relationships/drawing" Target="../drawings/drawing13.xml"/>
</Relationships>
</file>

<file path=xl/worksheets/_rels/sheet20.xml.rels><?xml version="1.0" encoding="UTF-8"?>
<Relationships xmlns="http://schemas.openxmlformats.org/package/2006/relationships"><Relationship Id="rId1" Type="http://schemas.openxmlformats.org/officeDocument/2006/relationships/drawing" Target="../drawings/drawing14.xml"/>
</Relationships>
</file>

<file path=xl/worksheets/_rels/sheet21.xml.rels><?xml version="1.0" encoding="UTF-8"?>
<Relationships xmlns="http://schemas.openxmlformats.org/package/2006/relationships"><Relationship Id="rId1" Type="http://schemas.openxmlformats.org/officeDocument/2006/relationships/drawing" Target="../drawings/drawing15.xml"/>
</Relationships>
</file>

<file path=xl/worksheets/_rels/sheet22.xml.rels><?xml version="1.0" encoding="UTF-8"?>
<Relationships xmlns="http://schemas.openxmlformats.org/package/2006/relationships"><Relationship Id="rId1" Type="http://schemas.openxmlformats.org/officeDocument/2006/relationships/drawing" Target="../drawings/drawing16.xml"/>
</Relationships>
</file>

<file path=xl/worksheets/_rels/sheet23.xml.rels><?xml version="1.0" encoding="UTF-8"?>
<Relationships xmlns="http://schemas.openxmlformats.org/package/2006/relationships"><Relationship Id="rId1" Type="http://schemas.openxmlformats.org/officeDocument/2006/relationships/drawing" Target="../drawings/drawing17.xml"/>
</Relationships>
</file>

<file path=xl/worksheets/_rels/sheet24.xml.rels><?xml version="1.0" encoding="UTF-8"?>
<Relationships xmlns="http://schemas.openxmlformats.org/package/2006/relationships"><Relationship Id="rId1" Type="http://schemas.openxmlformats.org/officeDocument/2006/relationships/drawing" Target="../drawings/drawing18.xml"/>
</Relationships>
</file>

<file path=xl/worksheets/_rels/sheet25.xml.rels><?xml version="1.0" encoding="UTF-8"?>
<Relationships xmlns="http://schemas.openxmlformats.org/package/2006/relationships"><Relationship Id="rId1" Type="http://schemas.openxmlformats.org/officeDocument/2006/relationships/drawing" Target="../drawings/drawing19.xml"/>
</Relationships>
</file>

<file path=xl/worksheets/_rels/sheet26.xml.rels><?xml version="1.0" encoding="UTF-8"?>
<Relationships xmlns="http://schemas.openxmlformats.org/package/2006/relationships"><Relationship Id="rId1" Type="http://schemas.openxmlformats.org/officeDocument/2006/relationships/comments" Target="../comments26.xml"/><Relationship Id="rId2" Type="http://schemas.openxmlformats.org/officeDocument/2006/relationships/drawing" Target="../drawings/drawing20.xml"/><Relationship Id="rId3" Type="http://schemas.openxmlformats.org/officeDocument/2006/relationships/vmlDrawing" Target="../drawings/vmlDrawing1.vml"/>
</Relationships>
</file>

<file path=xl/worksheets/_rels/sheet27.xml.rels><?xml version="1.0" encoding="UTF-8"?>
<Relationships xmlns="http://schemas.openxmlformats.org/package/2006/relationships"><Relationship Id="rId1" Type="http://schemas.openxmlformats.org/officeDocument/2006/relationships/drawing" Target="../drawings/drawing21.xml"/>
</Relationships>
</file>

<file path=xl/worksheets/_rels/sheet28.xml.rels><?xml version="1.0" encoding="UTF-8"?>
<Relationships xmlns="http://schemas.openxmlformats.org/package/2006/relationships"><Relationship Id="rId1" Type="http://schemas.openxmlformats.org/officeDocument/2006/relationships/drawing" Target="../drawings/drawing22.xml"/>
</Relationships>
</file>

<file path=xl/worksheets/_rels/sheet29.xml.rels><?xml version="1.0" encoding="UTF-8"?>
<Relationships xmlns="http://schemas.openxmlformats.org/package/2006/relationships"><Relationship Id="rId1" Type="http://schemas.openxmlformats.org/officeDocument/2006/relationships/drawing" Target="../drawings/drawing23.xml"/>
</Relationships>
</file>

<file path=xl/worksheets/_rels/sheet30.xml.rels><?xml version="1.0" encoding="UTF-8"?>
<Relationships xmlns="http://schemas.openxmlformats.org/package/2006/relationships"><Relationship Id="rId1" Type="http://schemas.openxmlformats.org/officeDocument/2006/relationships/drawing" Target="../drawings/drawing24.xml"/>
</Relationships>
</file>

<file path=xl/worksheets/_rels/sheet31.xml.rels><?xml version="1.0" encoding="UTF-8"?>
<Relationships xmlns="http://schemas.openxmlformats.org/package/2006/relationships"><Relationship Id="rId1" Type="http://schemas.openxmlformats.org/officeDocument/2006/relationships/drawing" Target="../drawings/drawing25.xml"/>
</Relationships>
</file>

<file path=xl/worksheets/_rels/sheet32.xml.rels><?xml version="1.0" encoding="UTF-8"?>
<Relationships xmlns="http://schemas.openxmlformats.org/package/2006/relationships"><Relationship Id="rId1" Type="http://schemas.openxmlformats.org/officeDocument/2006/relationships/drawing" Target="../drawings/drawing26.xml"/>
</Relationships>
</file>

<file path=xl/worksheets/_rels/sheet33.xml.rels><?xml version="1.0" encoding="UTF-8"?>
<Relationships xmlns="http://schemas.openxmlformats.org/package/2006/relationships"><Relationship Id="rId1" Type="http://schemas.openxmlformats.org/officeDocument/2006/relationships/drawing" Target="../drawings/drawing27.xml"/>
</Relationships>
</file>

<file path=xl/worksheets/_rels/sheet34.xml.rels><?xml version="1.0" encoding="UTF-8"?>
<Relationships xmlns="http://schemas.openxmlformats.org/package/2006/relationships"><Relationship Id="rId1" Type="http://schemas.openxmlformats.org/officeDocument/2006/relationships/drawing" Target="../drawings/drawing28.xml"/>
</Relationships>
</file>

<file path=xl/worksheets/_rels/sheet35.xml.rels><?xml version="1.0" encoding="UTF-8"?>
<Relationships xmlns="http://schemas.openxmlformats.org/package/2006/relationships"><Relationship Id="rId1" Type="http://schemas.openxmlformats.org/officeDocument/2006/relationships/drawing" Target="../drawings/drawing29.xml"/>
</Relationships>
</file>

<file path=xl/worksheets/_rels/sheet36.xml.rels><?xml version="1.0" encoding="UTF-8"?>
<Relationships xmlns="http://schemas.openxmlformats.org/package/2006/relationships"><Relationship Id="rId1" Type="http://schemas.openxmlformats.org/officeDocument/2006/relationships/drawing" Target="../drawings/drawing30.xml"/>
</Relationships>
</file>

<file path=xl/worksheets/_rels/sheet37.xml.rels><?xml version="1.0" encoding="UTF-8"?>
<Relationships xmlns="http://schemas.openxmlformats.org/package/2006/relationships"><Relationship Id="rId1" Type="http://schemas.openxmlformats.org/officeDocument/2006/relationships/drawing" Target="../drawings/drawing31.xml"/>
</Relationships>
</file>

<file path=xl/worksheets/_rels/sheet38.xml.rels><?xml version="1.0" encoding="UTF-8"?>
<Relationships xmlns="http://schemas.openxmlformats.org/package/2006/relationships"><Relationship Id="rId1" Type="http://schemas.openxmlformats.org/officeDocument/2006/relationships/drawing" Target="../drawings/drawing32.xml"/>
</Relationships>
</file>

<file path=xl/worksheets/_rels/sheet39.xml.rels><?xml version="1.0" encoding="UTF-8"?>
<Relationships xmlns="http://schemas.openxmlformats.org/package/2006/relationships"><Relationship Id="rId1" Type="http://schemas.openxmlformats.org/officeDocument/2006/relationships/drawing" Target="../drawings/drawing33.xml"/>
</Relationships>
</file>

<file path=xl/worksheets/_rels/sheet40.xml.rels><?xml version="1.0" encoding="UTF-8"?>
<Relationships xmlns="http://schemas.openxmlformats.org/package/2006/relationships"><Relationship Id="rId1" Type="http://schemas.openxmlformats.org/officeDocument/2006/relationships/drawing" Target="../drawings/drawing34.xml"/>
</Relationships>
</file>

<file path=xl/worksheets/_rels/sheet41.xml.rels><?xml version="1.0" encoding="UTF-8"?>
<Relationships xmlns="http://schemas.openxmlformats.org/package/2006/relationships"><Relationship Id="rId1" Type="http://schemas.openxmlformats.org/officeDocument/2006/relationships/drawing" Target="../drawings/drawing35.xml"/>
</Relationships>
</file>

<file path=xl/worksheets/_rels/sheet42.xml.rels><?xml version="1.0" encoding="UTF-8"?>
<Relationships xmlns="http://schemas.openxmlformats.org/package/2006/relationships"><Relationship Id="rId1" Type="http://schemas.openxmlformats.org/officeDocument/2006/relationships/drawing" Target="../drawings/drawing36.xml"/>
</Relationships>
</file>

<file path=xl/worksheets/_rels/sheet43.xml.rels><?xml version="1.0" encoding="UTF-8"?>
<Relationships xmlns="http://schemas.openxmlformats.org/package/2006/relationships"><Relationship Id="rId1" Type="http://schemas.openxmlformats.org/officeDocument/2006/relationships/drawing" Target="../drawings/drawing37.xml"/>
</Relationships>
</file>

<file path=xl/worksheets/_rels/sheet44.xml.rels><?xml version="1.0" encoding="UTF-8"?>
<Relationships xmlns="http://schemas.openxmlformats.org/package/2006/relationships"><Relationship Id="rId1" Type="http://schemas.openxmlformats.org/officeDocument/2006/relationships/drawing" Target="../drawings/drawing38.xml"/>
</Relationships>
</file>

<file path=xl/worksheets/_rels/sheet45.xml.rels><?xml version="1.0" encoding="UTF-8"?>
<Relationships xmlns="http://schemas.openxmlformats.org/package/2006/relationships"><Relationship Id="rId1" Type="http://schemas.openxmlformats.org/officeDocument/2006/relationships/drawing" Target="../drawings/drawing39.xml"/>
</Relationships>
</file>

<file path=xl/worksheets/_rels/sheet46.xml.rels><?xml version="1.0" encoding="UTF-8"?>
<Relationships xmlns="http://schemas.openxmlformats.org/package/2006/relationships"><Relationship Id="rId1" Type="http://schemas.openxmlformats.org/officeDocument/2006/relationships/drawing" Target="../drawings/drawing40.xml"/>
</Relationships>
</file>

<file path=xl/worksheets/_rels/sheet47.xml.rels><?xml version="1.0" encoding="UTF-8"?>
<Relationships xmlns="http://schemas.openxmlformats.org/package/2006/relationships"><Relationship Id="rId1" Type="http://schemas.openxmlformats.org/officeDocument/2006/relationships/drawing" Target="../drawings/drawing41.xml"/>
</Relationships>
</file>

<file path=xl/worksheets/_rels/sheet48.xml.rels><?xml version="1.0" encoding="UTF-8"?>
<Relationships xmlns="http://schemas.openxmlformats.org/package/2006/relationships"><Relationship Id="rId1" Type="http://schemas.openxmlformats.org/officeDocument/2006/relationships/drawing" Target="../drawings/drawing42.xml"/>
</Relationships>
</file>

<file path=xl/worksheets/_rels/sheet49.xml.rels><?xml version="1.0" encoding="UTF-8"?>
<Relationships xmlns="http://schemas.openxmlformats.org/package/2006/relationships"><Relationship Id="rId1" Type="http://schemas.openxmlformats.org/officeDocument/2006/relationships/drawing" Target="../drawings/drawing43.xml"/>
</Relationships>
</file>

<file path=xl/worksheets/_rels/sheet50.xml.rels><?xml version="1.0" encoding="UTF-8"?>
<Relationships xmlns="http://schemas.openxmlformats.org/package/2006/relationships"><Relationship Id="rId1" Type="http://schemas.openxmlformats.org/officeDocument/2006/relationships/drawing" Target="../drawings/drawing44.xml"/>
</Relationships>
</file>

<file path=xl/worksheets/_rels/sheet51.xml.rels><?xml version="1.0" encoding="UTF-8"?>
<Relationships xmlns="http://schemas.openxmlformats.org/package/2006/relationships"><Relationship Id="rId1" Type="http://schemas.openxmlformats.org/officeDocument/2006/relationships/drawing" Target="../drawings/drawing45.xml"/>
</Relationships>
</file>

<file path=xl/worksheets/_rels/sheet52.xml.rels><?xml version="1.0" encoding="UTF-8"?>
<Relationships xmlns="http://schemas.openxmlformats.org/package/2006/relationships"><Relationship Id="rId1" Type="http://schemas.openxmlformats.org/officeDocument/2006/relationships/drawing" Target="../drawings/drawing46.xml"/>
</Relationships>
</file>

<file path=xl/worksheets/_rels/sheet53.xml.rels><?xml version="1.0" encoding="UTF-8"?>
<Relationships xmlns="http://schemas.openxmlformats.org/package/2006/relationships"><Relationship Id="rId1" Type="http://schemas.openxmlformats.org/officeDocument/2006/relationships/drawing" Target="../drawings/drawing47.xml"/>
</Relationships>
</file>

<file path=xl/worksheets/_rels/sheet54.xml.rels><?xml version="1.0" encoding="UTF-8"?>
<Relationships xmlns="http://schemas.openxmlformats.org/package/2006/relationships"><Relationship Id="rId1" Type="http://schemas.openxmlformats.org/officeDocument/2006/relationships/drawing" Target="../drawings/drawing48.xml"/>
</Relationships>
</file>

<file path=xl/worksheets/_rels/sheet55.xml.rels><?xml version="1.0" encoding="UTF-8"?>
<Relationships xmlns="http://schemas.openxmlformats.org/package/2006/relationships"><Relationship Id="rId1" Type="http://schemas.openxmlformats.org/officeDocument/2006/relationships/drawing" Target="../drawings/drawing49.xml"/>
</Relationships>
</file>

<file path=xl/worksheets/_rels/sheet56.xml.rels><?xml version="1.0" encoding="UTF-8"?>
<Relationships xmlns="http://schemas.openxmlformats.org/package/2006/relationships"><Relationship Id="rId1" Type="http://schemas.openxmlformats.org/officeDocument/2006/relationships/drawing" Target="../drawings/drawing50.xml"/>
</Relationships>
</file>

<file path=xl/worksheets/_rels/sheet57.xml.rels><?xml version="1.0" encoding="UTF-8"?>
<Relationships xmlns="http://schemas.openxmlformats.org/package/2006/relationships"><Relationship Id="rId1" Type="http://schemas.openxmlformats.org/officeDocument/2006/relationships/drawing" Target="../drawings/drawing51.xml"/>
</Relationships>
</file>

<file path=xl/worksheets/_rels/sheet58.xml.rels><?xml version="1.0" encoding="UTF-8"?>
<Relationships xmlns="http://schemas.openxmlformats.org/package/2006/relationships"><Relationship Id="rId1" Type="http://schemas.openxmlformats.org/officeDocument/2006/relationships/drawing" Target="../drawings/drawing52.xml"/>
</Relationships>
</file>

<file path=xl/worksheets/_rels/sheet59.xml.rels><?xml version="1.0" encoding="UTF-8"?>
<Relationships xmlns="http://schemas.openxmlformats.org/package/2006/relationships"><Relationship Id="rId1" Type="http://schemas.openxmlformats.org/officeDocument/2006/relationships/drawing" Target="../drawings/drawing53.xml"/>
</Relationships>
</file>

<file path=xl/worksheets/_rels/sheet60.xml.rels><?xml version="1.0" encoding="UTF-8"?>
<Relationships xmlns="http://schemas.openxmlformats.org/package/2006/relationships"><Relationship Id="rId1" Type="http://schemas.openxmlformats.org/officeDocument/2006/relationships/drawing" Target="../drawings/drawing54.xml"/>
</Relationships>
</file>

<file path=xl/worksheets/_rels/sheet61.xml.rels><?xml version="1.0" encoding="UTF-8"?>
<Relationships xmlns="http://schemas.openxmlformats.org/package/2006/relationships"><Relationship Id="rId1" Type="http://schemas.openxmlformats.org/officeDocument/2006/relationships/drawing" Target="../drawings/drawing55.xml"/>
</Relationships>
</file>

<file path=xl/worksheets/_rels/sheet62.xml.rels><?xml version="1.0" encoding="UTF-8"?>
<Relationships xmlns="http://schemas.openxmlformats.org/package/2006/relationships"><Relationship Id="rId1" Type="http://schemas.openxmlformats.org/officeDocument/2006/relationships/drawing" Target="../drawings/drawing56.xml"/>
</Relationships>
</file>

<file path=xl/worksheets/_rels/sheet63.xml.rels><?xml version="1.0" encoding="UTF-8"?>
<Relationships xmlns="http://schemas.openxmlformats.org/package/2006/relationships"><Relationship Id="rId1" Type="http://schemas.openxmlformats.org/officeDocument/2006/relationships/drawing" Target="../drawings/drawing57.xml"/>
</Relationships>
</file>

<file path=xl/worksheets/_rels/sheet64.xml.rels><?xml version="1.0" encoding="UTF-8"?>
<Relationships xmlns="http://schemas.openxmlformats.org/package/2006/relationships"><Relationship Id="rId1" Type="http://schemas.openxmlformats.org/officeDocument/2006/relationships/drawing" Target="../drawings/drawing58.xml"/>
</Relationships>
</file>

<file path=xl/worksheets/_rels/sheet65.xml.rels><?xml version="1.0" encoding="UTF-8"?>
<Relationships xmlns="http://schemas.openxmlformats.org/package/2006/relationships"><Relationship Id="rId1" Type="http://schemas.openxmlformats.org/officeDocument/2006/relationships/drawing" Target="../drawings/drawing59.xml"/>
</Relationships>
</file>

<file path=xl/worksheets/_rels/sheet66.xml.rels><?xml version="1.0" encoding="UTF-8"?>
<Relationships xmlns="http://schemas.openxmlformats.org/package/2006/relationships"><Relationship Id="rId1" Type="http://schemas.openxmlformats.org/officeDocument/2006/relationships/drawing" Target="../drawings/drawing60.xml"/>
</Relationships>
</file>

<file path=xl/worksheets/_rels/sheet67.xml.rels><?xml version="1.0" encoding="UTF-8"?>
<Relationships xmlns="http://schemas.openxmlformats.org/package/2006/relationships"><Relationship Id="rId1" Type="http://schemas.openxmlformats.org/officeDocument/2006/relationships/drawing" Target="../drawings/drawing61.xml"/>
</Relationships>
</file>

<file path=xl/worksheets/_rels/sheet68.xml.rels><?xml version="1.0" encoding="UTF-8"?>
<Relationships xmlns="http://schemas.openxmlformats.org/package/2006/relationships"><Relationship Id="rId1" Type="http://schemas.openxmlformats.org/officeDocument/2006/relationships/drawing" Target="../drawings/drawing62.xml"/>
</Relationships>
</file>

<file path=xl/worksheets/_rels/sheet69.xml.rels><?xml version="1.0" encoding="UTF-8"?>
<Relationships xmlns="http://schemas.openxmlformats.org/package/2006/relationships"><Relationship Id="rId1" Type="http://schemas.openxmlformats.org/officeDocument/2006/relationships/drawing" Target="../drawings/drawing63.xml"/>
</Relationships>
</file>

<file path=xl/worksheets/_rels/sheet70.xml.rels><?xml version="1.0" encoding="UTF-8"?>
<Relationships xmlns="http://schemas.openxmlformats.org/package/2006/relationships"><Relationship Id="rId1" Type="http://schemas.openxmlformats.org/officeDocument/2006/relationships/drawing" Target="../drawings/drawing64.xml"/>
</Relationships>
</file>

<file path=xl/worksheets/_rels/sheet71.xml.rels><?xml version="1.0" encoding="UTF-8"?>
<Relationships xmlns="http://schemas.openxmlformats.org/package/2006/relationships"><Relationship Id="rId1" Type="http://schemas.openxmlformats.org/officeDocument/2006/relationships/drawing" Target="../drawings/drawing65.xml"/>
</Relationships>
</file>

<file path=xl/worksheets/_rels/sheet72.xml.rels><?xml version="1.0" encoding="UTF-8"?>
<Relationships xmlns="http://schemas.openxmlformats.org/package/2006/relationships"><Relationship Id="rId1" Type="http://schemas.openxmlformats.org/officeDocument/2006/relationships/drawing" Target="../drawings/drawing66.xml"/>
</Relationships>
</file>

<file path=xl/worksheets/_rels/sheet73.xml.rels><?xml version="1.0" encoding="UTF-8"?>
<Relationships xmlns="http://schemas.openxmlformats.org/package/2006/relationships"><Relationship Id="rId1" Type="http://schemas.openxmlformats.org/officeDocument/2006/relationships/drawing" Target="../drawings/drawing67.xml"/>
</Relationships>
</file>

<file path=xl/worksheets/_rels/sheet74.xml.rels><?xml version="1.0" encoding="UTF-8"?>
<Relationships xmlns="http://schemas.openxmlformats.org/package/2006/relationships"><Relationship Id="rId1" Type="http://schemas.openxmlformats.org/officeDocument/2006/relationships/drawing" Target="../drawings/drawing68.xml"/>
</Relationships>
</file>

<file path=xl/worksheets/_rels/sheet75.xml.rels><?xml version="1.0" encoding="UTF-8"?>
<Relationships xmlns="http://schemas.openxmlformats.org/package/2006/relationships"><Relationship Id="rId1" Type="http://schemas.openxmlformats.org/officeDocument/2006/relationships/drawing" Target="../drawings/drawing69.xml"/>
</Relationships>
</file>

<file path=xl/worksheets/_rels/sheet76.xml.rels><?xml version="1.0" encoding="UTF-8"?>
<Relationships xmlns="http://schemas.openxmlformats.org/package/2006/relationships"><Relationship Id="rId1" Type="http://schemas.openxmlformats.org/officeDocument/2006/relationships/drawing" Target="../drawings/drawing70.xml"/>
</Relationships>
</file>

<file path=xl/worksheets/_rels/sheet77.xml.rels><?xml version="1.0" encoding="UTF-8"?>
<Relationships xmlns="http://schemas.openxmlformats.org/package/2006/relationships"><Relationship Id="rId1" Type="http://schemas.openxmlformats.org/officeDocument/2006/relationships/drawing" Target="../drawings/drawing71.xml"/>
</Relationships>
</file>

<file path=xl/worksheets/_rels/sheet78.xml.rels><?xml version="1.0" encoding="UTF-8"?>
<Relationships xmlns="http://schemas.openxmlformats.org/package/2006/relationships"><Relationship Id="rId1" Type="http://schemas.openxmlformats.org/officeDocument/2006/relationships/drawing" Target="../drawings/drawing72.xml"/>
</Relationships>
</file>

<file path=xl/worksheets/_rels/sheet79.xml.rels><?xml version="1.0" encoding="UTF-8"?>
<Relationships xmlns="http://schemas.openxmlformats.org/package/2006/relationships"><Relationship Id="rId1" Type="http://schemas.openxmlformats.org/officeDocument/2006/relationships/drawing" Target="../drawings/drawing73.xml"/>
</Relationships>
</file>

<file path=xl/worksheets/_rels/sheet80.xml.rels><?xml version="1.0" encoding="UTF-8"?>
<Relationships xmlns="http://schemas.openxmlformats.org/package/2006/relationships"><Relationship Id="rId1" Type="http://schemas.openxmlformats.org/officeDocument/2006/relationships/drawing" Target="../drawings/drawing74.xml"/>
</Relationships>
</file>

<file path=xl/worksheets/_rels/sheet81.xml.rels><?xml version="1.0" encoding="UTF-8"?>
<Relationships xmlns="http://schemas.openxmlformats.org/package/2006/relationships"><Relationship Id="rId1" Type="http://schemas.openxmlformats.org/officeDocument/2006/relationships/drawing" Target="../drawings/drawing75.xml"/>
</Relationships>
</file>

<file path=xl/worksheets/_rels/sheet82.xml.rels><?xml version="1.0" encoding="UTF-8"?>
<Relationships xmlns="http://schemas.openxmlformats.org/package/2006/relationships"><Relationship Id="rId1" Type="http://schemas.openxmlformats.org/officeDocument/2006/relationships/drawing" Target="../drawings/drawing76.xml"/>
</Relationships>
</file>

<file path=xl/worksheets/_rels/sheet83.xml.rels><?xml version="1.0" encoding="UTF-8"?>
<Relationships xmlns="http://schemas.openxmlformats.org/package/2006/relationships"><Relationship Id="rId1" Type="http://schemas.openxmlformats.org/officeDocument/2006/relationships/drawing" Target="../drawings/drawing77.xml"/>
</Relationships>
</file>

<file path=xl/worksheets/_rels/sheet84.xml.rels><?xml version="1.0" encoding="UTF-8"?>
<Relationships xmlns="http://schemas.openxmlformats.org/package/2006/relationships"><Relationship Id="rId1" Type="http://schemas.openxmlformats.org/officeDocument/2006/relationships/drawing" Target="../drawings/drawing78.xml"/>
</Relationships>
</file>

<file path=xl/worksheets/_rels/sheet85.xml.rels><?xml version="1.0" encoding="UTF-8"?>
<Relationships xmlns="http://schemas.openxmlformats.org/package/2006/relationships"><Relationship Id="rId1" Type="http://schemas.openxmlformats.org/officeDocument/2006/relationships/drawing" Target="../drawings/drawing79.xml"/>
</Relationships>
</file>

<file path=xl/worksheets/_rels/sheet86.xml.rels><?xml version="1.0" encoding="UTF-8"?>
<Relationships xmlns="http://schemas.openxmlformats.org/package/2006/relationships"><Relationship Id="rId1" Type="http://schemas.openxmlformats.org/officeDocument/2006/relationships/drawing" Target="../drawings/drawing80.xml"/>
</Relationships>
</file>

<file path=xl/worksheets/_rels/sheet87.xml.rels><?xml version="1.0" encoding="UTF-8"?>
<Relationships xmlns="http://schemas.openxmlformats.org/package/2006/relationships"><Relationship Id="rId1" Type="http://schemas.openxmlformats.org/officeDocument/2006/relationships/drawing" Target="../drawings/drawing81.xml"/>
</Relationships>
</file>

<file path=xl/worksheets/_rels/sheet88.xml.rels><?xml version="1.0" encoding="UTF-8"?>
<Relationships xmlns="http://schemas.openxmlformats.org/package/2006/relationships"><Relationship Id="rId1" Type="http://schemas.openxmlformats.org/officeDocument/2006/relationships/drawing" Target="../drawings/drawing82.xml"/>
</Relationships>
</file>

<file path=xl/worksheets/_rels/sheet89.xml.rels><?xml version="1.0" encoding="UTF-8"?>
<Relationships xmlns="http://schemas.openxmlformats.org/package/2006/relationships"><Relationship Id="rId1" Type="http://schemas.openxmlformats.org/officeDocument/2006/relationships/drawing" Target="../drawings/drawing83.xml"/>
</Relationships>
</file>

<file path=xl/worksheets/_rels/sheet90.xml.rels><?xml version="1.0" encoding="UTF-8"?>
<Relationships xmlns="http://schemas.openxmlformats.org/package/2006/relationships"><Relationship Id="rId1" Type="http://schemas.openxmlformats.org/officeDocument/2006/relationships/drawing" Target="../drawings/drawing84.xml"/>
</Relationships>
</file>

<file path=xl/worksheets/_rels/sheet91.xml.rels><?xml version="1.0" encoding="UTF-8"?>
<Relationships xmlns="http://schemas.openxmlformats.org/package/2006/relationships"><Relationship Id="rId1" Type="http://schemas.openxmlformats.org/officeDocument/2006/relationships/drawing" Target="../drawings/drawing85.xml"/>
</Relationships>
</file>

<file path=xl/worksheets/_rels/sheet92.xml.rels><?xml version="1.0" encoding="UTF-8"?>
<Relationships xmlns="http://schemas.openxmlformats.org/package/2006/relationships"><Relationship Id="rId1" Type="http://schemas.openxmlformats.org/officeDocument/2006/relationships/drawing" Target="../drawings/drawing86.xml"/>
</Relationships>
</file>

<file path=xl/worksheets/_rels/sheet93.xml.rels><?xml version="1.0" encoding="UTF-8"?>
<Relationships xmlns="http://schemas.openxmlformats.org/package/2006/relationships"><Relationship Id="rId1" Type="http://schemas.openxmlformats.org/officeDocument/2006/relationships/drawing" Target="../drawings/drawing87.xml"/>
</Relationships>
</file>

<file path=xl/worksheets/_rels/sheet94.xml.rels><?xml version="1.0" encoding="UTF-8"?>
<Relationships xmlns="http://schemas.openxmlformats.org/package/2006/relationships"><Relationship Id="rId1" Type="http://schemas.openxmlformats.org/officeDocument/2006/relationships/drawing" Target="../drawings/drawing88.xml"/>
</Relationships>
</file>

<file path=xl/worksheets/_rels/sheet95.xml.rels><?xml version="1.0" encoding="UTF-8"?>
<Relationships xmlns="http://schemas.openxmlformats.org/package/2006/relationships"><Relationship Id="rId1" Type="http://schemas.openxmlformats.org/officeDocument/2006/relationships/drawing" Target="../drawings/drawing89.xml"/>
</Relationships>
</file>

<file path=xl/worksheets/_rels/sheet96.xml.rels><?xml version="1.0" encoding="UTF-8"?>
<Relationships xmlns="http://schemas.openxmlformats.org/package/2006/relationships"><Relationship Id="rId1" Type="http://schemas.openxmlformats.org/officeDocument/2006/relationships/drawing" Target="../drawings/drawing90.xml"/>
</Relationships>
</file>

<file path=xl/worksheets/_rels/sheet97.xml.rels><?xml version="1.0" encoding="UTF-8"?>
<Relationships xmlns="http://schemas.openxmlformats.org/package/2006/relationships"><Relationship Id="rId1" Type="http://schemas.openxmlformats.org/officeDocument/2006/relationships/drawing" Target="../drawings/drawing91.xml"/>
</Relationships>
</file>

<file path=xl/worksheets/_rels/sheet98.xml.rels><?xml version="1.0" encoding="UTF-8"?>
<Relationships xmlns="http://schemas.openxmlformats.org/package/2006/relationships"><Relationship Id="rId1" Type="http://schemas.openxmlformats.org/officeDocument/2006/relationships/drawing" Target="../drawings/drawing92.xml"/>
</Relationships>
</file>

<file path=xl/worksheets/_rels/sheet99.xml.rels><?xml version="1.0" encoding="UTF-8"?>
<Relationships xmlns="http://schemas.openxmlformats.org/package/2006/relationships"><Relationship Id="rId1" Type="http://schemas.openxmlformats.org/officeDocument/2006/relationships/drawing" Target="../drawings/drawing93.xml"/>
</Relationships>
</file>

<file path=xl/worksheets/_rels/sheet100.xml.rels><?xml version="1.0" encoding="UTF-8"?>
<Relationships xmlns="http://schemas.openxmlformats.org/package/2006/relationships"><Relationship Id="rId1" Type="http://schemas.openxmlformats.org/officeDocument/2006/relationships/drawing" Target="../drawings/drawing94.xml"/>
</Relationships>
</file>

<file path=xl/worksheets/_rels/sheet101.xml.rels><?xml version="1.0" encoding="UTF-8"?>
<Relationships xmlns="http://schemas.openxmlformats.org/package/2006/relationships"><Relationship Id="rId1" Type="http://schemas.openxmlformats.org/officeDocument/2006/relationships/drawing" Target="../drawings/drawing95.xml"/>
</Relationships>
</file>

<file path=xl/worksheets/_rels/sheet102.xml.rels><?xml version="1.0" encoding="UTF-8"?>
<Relationships xmlns="http://schemas.openxmlformats.org/package/2006/relationships"><Relationship Id="rId1" Type="http://schemas.openxmlformats.org/officeDocument/2006/relationships/drawing" Target="../drawings/drawing96.xml"/>
</Relationships>
</file>

<file path=xl/worksheets/_rels/sheet103.xml.rels><?xml version="1.0" encoding="UTF-8"?>
<Relationships xmlns="http://schemas.openxmlformats.org/package/2006/relationships"><Relationship Id="rId1" Type="http://schemas.openxmlformats.org/officeDocument/2006/relationships/drawing" Target="../drawings/drawing97.xml"/>
</Relationships>
</file>

<file path=xl/worksheets/_rels/sheet104.xml.rels><?xml version="1.0" encoding="UTF-8"?>
<Relationships xmlns="http://schemas.openxmlformats.org/package/2006/relationships"><Relationship Id="rId1" Type="http://schemas.openxmlformats.org/officeDocument/2006/relationships/drawing" Target="../drawings/drawing98.xml"/>
</Relationships>
</file>

<file path=xl/worksheets/_rels/sheet105.xml.rels><?xml version="1.0" encoding="UTF-8"?>
<Relationships xmlns="http://schemas.openxmlformats.org/package/2006/relationships"><Relationship Id="rId1" Type="http://schemas.openxmlformats.org/officeDocument/2006/relationships/drawing" Target="../drawings/drawing99.xml"/>
</Relationships>
</file>

<file path=xl/worksheets/_rels/sheet106.xml.rels><?xml version="1.0" encoding="UTF-8"?>
<Relationships xmlns="http://schemas.openxmlformats.org/package/2006/relationships"><Relationship Id="rId1" Type="http://schemas.openxmlformats.org/officeDocument/2006/relationships/drawing" Target="../drawings/drawing100.xml"/>
</Relationships>
</file>

<file path=xl/worksheets/_rels/sheet107.xml.rels><?xml version="1.0" encoding="UTF-8"?>
<Relationships xmlns="http://schemas.openxmlformats.org/package/2006/relationships"><Relationship Id="rId1" Type="http://schemas.openxmlformats.org/officeDocument/2006/relationships/drawing" Target="../drawings/drawing101.xml"/>
</Relationships>
</file>

<file path=xl/worksheets/_rels/sheet108.xml.rels><?xml version="1.0" encoding="UTF-8"?>
<Relationships xmlns="http://schemas.openxmlformats.org/package/2006/relationships"><Relationship Id="rId1" Type="http://schemas.openxmlformats.org/officeDocument/2006/relationships/drawing" Target="../drawings/drawing102.xml"/>
</Relationships>
</file>

<file path=xl/worksheets/_rels/sheet109.xml.rels><?xml version="1.0" encoding="UTF-8"?>
<Relationships xmlns="http://schemas.openxmlformats.org/package/2006/relationships"><Relationship Id="rId1" Type="http://schemas.openxmlformats.org/officeDocument/2006/relationships/drawing" Target="../drawings/drawing103.xml"/>
</Relationships>
</file>

<file path=xl/worksheets/_rels/sheet110.xml.rels><?xml version="1.0" encoding="UTF-8"?>
<Relationships xmlns="http://schemas.openxmlformats.org/package/2006/relationships"><Relationship Id="rId1" Type="http://schemas.openxmlformats.org/officeDocument/2006/relationships/drawing" Target="../drawings/drawing104.xml"/>
</Relationships>
</file>

<file path=xl/worksheets/_rels/sheet111.xml.rels><?xml version="1.0" encoding="UTF-8"?>
<Relationships xmlns="http://schemas.openxmlformats.org/package/2006/relationships"><Relationship Id="rId1" Type="http://schemas.openxmlformats.org/officeDocument/2006/relationships/drawing" Target="../drawings/drawing105.xml"/>
</Relationships>
</file>

<file path=xl/worksheets/_rels/sheet112.xml.rels><?xml version="1.0" encoding="UTF-8"?>
<Relationships xmlns="http://schemas.openxmlformats.org/package/2006/relationships"><Relationship Id="rId1" Type="http://schemas.openxmlformats.org/officeDocument/2006/relationships/drawing" Target="../drawings/drawing106.xml"/>
</Relationships>
</file>

<file path=xl/worksheets/_rels/sheet113.xml.rels><?xml version="1.0" encoding="UTF-8"?>
<Relationships xmlns="http://schemas.openxmlformats.org/package/2006/relationships"><Relationship Id="rId1" Type="http://schemas.openxmlformats.org/officeDocument/2006/relationships/drawing" Target="../drawings/drawing107.xml"/>
</Relationships>
</file>

<file path=xl/worksheets/_rels/sheet114.xml.rels><?xml version="1.0" encoding="UTF-8"?>
<Relationships xmlns="http://schemas.openxmlformats.org/package/2006/relationships"><Relationship Id="rId1" Type="http://schemas.openxmlformats.org/officeDocument/2006/relationships/drawing" Target="../drawings/drawing108.xml"/>
</Relationships>
</file>

<file path=xl/worksheets/_rels/sheet115.xml.rels><?xml version="1.0" encoding="UTF-8"?>
<Relationships xmlns="http://schemas.openxmlformats.org/package/2006/relationships"><Relationship Id="rId1" Type="http://schemas.openxmlformats.org/officeDocument/2006/relationships/drawing" Target="../drawings/drawing109.xml"/>
</Relationships>
</file>

<file path=xl/worksheets/_rels/sheet116.xml.rels><?xml version="1.0" encoding="UTF-8"?>
<Relationships xmlns="http://schemas.openxmlformats.org/package/2006/relationships"><Relationship Id="rId1" Type="http://schemas.openxmlformats.org/officeDocument/2006/relationships/drawing" Target="../drawings/drawing110.xml"/>
</Relationships>
</file>

<file path=xl/worksheets/_rels/sheet117.xml.rels><?xml version="1.0" encoding="UTF-8"?>
<Relationships xmlns="http://schemas.openxmlformats.org/package/2006/relationships"><Relationship Id="rId1" Type="http://schemas.openxmlformats.org/officeDocument/2006/relationships/drawing" Target="../drawings/drawing111.xml"/>
</Relationships>
</file>

<file path=xl/worksheets/_rels/sheet118.xml.rels><?xml version="1.0" encoding="UTF-8"?>
<Relationships xmlns="http://schemas.openxmlformats.org/package/2006/relationships"><Relationship Id="rId1" Type="http://schemas.openxmlformats.org/officeDocument/2006/relationships/drawing" Target="../drawings/drawing112.xml"/>
</Relationships>
</file>

<file path=xl/worksheets/_rels/sheet119.xml.rels><?xml version="1.0" encoding="UTF-8"?>
<Relationships xmlns="http://schemas.openxmlformats.org/package/2006/relationships"><Relationship Id="rId1" Type="http://schemas.openxmlformats.org/officeDocument/2006/relationships/drawing" Target="../drawings/drawing113.xml"/>
</Relationships>
</file>

<file path=xl/worksheets/_rels/sheet120.xml.rels><?xml version="1.0" encoding="UTF-8"?>
<Relationships xmlns="http://schemas.openxmlformats.org/package/2006/relationships"><Relationship Id="rId1" Type="http://schemas.openxmlformats.org/officeDocument/2006/relationships/drawing" Target="../drawings/drawing114.xml"/>
</Relationships>
</file>

<file path=xl/worksheets/_rels/sheet121.xml.rels><?xml version="1.0" encoding="UTF-8"?>
<Relationships xmlns="http://schemas.openxmlformats.org/package/2006/relationships"><Relationship Id="rId1" Type="http://schemas.openxmlformats.org/officeDocument/2006/relationships/drawing" Target="../drawings/drawing115.xml"/>
</Relationships>
</file>

<file path=xl/worksheets/_rels/sheet122.xml.rels><?xml version="1.0" encoding="UTF-8"?>
<Relationships xmlns="http://schemas.openxmlformats.org/package/2006/relationships"><Relationship Id="rId1" Type="http://schemas.openxmlformats.org/officeDocument/2006/relationships/drawing" Target="../drawings/drawing116.xml"/>
</Relationships>
</file>

<file path=xl/worksheets/_rels/sheet123.xml.rels><?xml version="1.0" encoding="UTF-8"?>
<Relationships xmlns="http://schemas.openxmlformats.org/package/2006/relationships"><Relationship Id="rId1" Type="http://schemas.openxmlformats.org/officeDocument/2006/relationships/drawing" Target="../drawings/drawing117.xml"/>
</Relationships>
</file>

<file path=xl/worksheets/_rels/sheet124.xml.rels><?xml version="1.0" encoding="UTF-8"?>
<Relationships xmlns="http://schemas.openxmlformats.org/package/2006/relationships"><Relationship Id="rId1" Type="http://schemas.openxmlformats.org/officeDocument/2006/relationships/drawing" Target="../drawings/drawing118.xml"/>
</Relationships>
</file>

<file path=xl/worksheets/_rels/sheet125.xml.rels><?xml version="1.0" encoding="UTF-8"?>
<Relationships xmlns="http://schemas.openxmlformats.org/package/2006/relationships"><Relationship Id="rId1" Type="http://schemas.openxmlformats.org/officeDocument/2006/relationships/drawing" Target="../drawings/drawing119.xml"/>
</Relationships>
</file>

<file path=xl/worksheets/_rels/sheet126.xml.rels><?xml version="1.0" encoding="UTF-8"?>
<Relationships xmlns="http://schemas.openxmlformats.org/package/2006/relationships"><Relationship Id="rId1" Type="http://schemas.openxmlformats.org/officeDocument/2006/relationships/drawing" Target="../drawings/drawing120.xml"/>
</Relationships>
</file>

<file path=xl/worksheets/_rels/sheet127.xml.rels><?xml version="1.0" encoding="UTF-8"?>
<Relationships xmlns="http://schemas.openxmlformats.org/package/2006/relationships"><Relationship Id="rId1" Type="http://schemas.openxmlformats.org/officeDocument/2006/relationships/drawing" Target="../drawings/drawing121.xml"/>
</Relationships>
</file>

<file path=xl/worksheets/_rels/sheet128.xml.rels><?xml version="1.0" encoding="UTF-8"?>
<Relationships xmlns="http://schemas.openxmlformats.org/package/2006/relationships"><Relationship Id="rId1" Type="http://schemas.openxmlformats.org/officeDocument/2006/relationships/drawing" Target="../drawings/drawing122.xml"/>
</Relationships>
</file>

<file path=xl/worksheets/_rels/sheet129.xml.rels><?xml version="1.0" encoding="UTF-8"?>
<Relationships xmlns="http://schemas.openxmlformats.org/package/2006/relationships"><Relationship Id="rId1" Type="http://schemas.openxmlformats.org/officeDocument/2006/relationships/drawing" Target="../drawings/drawing123.xml"/>
</Relationships>
</file>

<file path=xl/worksheets/_rels/sheet130.xml.rels><?xml version="1.0" encoding="UTF-8"?>
<Relationships xmlns="http://schemas.openxmlformats.org/package/2006/relationships"><Relationship Id="rId1" Type="http://schemas.openxmlformats.org/officeDocument/2006/relationships/drawing" Target="../drawings/drawing124.xml"/>
</Relationships>
</file>

<file path=xl/worksheets/_rels/sheet131.xml.rels><?xml version="1.0" encoding="UTF-8"?>
<Relationships xmlns="http://schemas.openxmlformats.org/package/2006/relationships"><Relationship Id="rId1" Type="http://schemas.openxmlformats.org/officeDocument/2006/relationships/drawing" Target="../drawings/drawing125.xml"/>
</Relationships>
</file>

<file path=xl/worksheets/_rels/sheet132.xml.rels><?xml version="1.0" encoding="UTF-8"?>
<Relationships xmlns="http://schemas.openxmlformats.org/package/2006/relationships"><Relationship Id="rId1" Type="http://schemas.openxmlformats.org/officeDocument/2006/relationships/drawing" Target="../drawings/drawing126.xml"/>
</Relationships>
</file>

<file path=xl/worksheets/_rels/sheet133.xml.rels><?xml version="1.0" encoding="UTF-8"?>
<Relationships xmlns="http://schemas.openxmlformats.org/package/2006/relationships"><Relationship Id="rId1" Type="http://schemas.openxmlformats.org/officeDocument/2006/relationships/drawing" Target="../drawings/drawing127.xml"/>
</Relationships>
</file>

<file path=xl/worksheets/_rels/sheet134.xml.rels><?xml version="1.0" encoding="UTF-8"?>
<Relationships xmlns="http://schemas.openxmlformats.org/package/2006/relationships"><Relationship Id="rId1" Type="http://schemas.openxmlformats.org/officeDocument/2006/relationships/drawing" Target="../drawings/drawing128.xml"/>
</Relationships>
</file>

<file path=xl/worksheets/_rels/sheet135.xml.rels><?xml version="1.0" encoding="UTF-8"?>
<Relationships xmlns="http://schemas.openxmlformats.org/package/2006/relationships"><Relationship Id="rId1" Type="http://schemas.openxmlformats.org/officeDocument/2006/relationships/drawing" Target="../drawings/drawing129.xml"/>
</Relationships>
</file>

<file path=xl/worksheets/_rels/sheet136.xml.rels><?xml version="1.0" encoding="UTF-8"?>
<Relationships xmlns="http://schemas.openxmlformats.org/package/2006/relationships"><Relationship Id="rId1" Type="http://schemas.openxmlformats.org/officeDocument/2006/relationships/drawing" Target="../drawings/drawing130.xml"/>
</Relationships>
</file>

<file path=xl/worksheets/_rels/sheet137.xml.rels><?xml version="1.0" encoding="UTF-8"?>
<Relationships xmlns="http://schemas.openxmlformats.org/package/2006/relationships"><Relationship Id="rId1" Type="http://schemas.openxmlformats.org/officeDocument/2006/relationships/drawing" Target="../drawings/drawing131.xml"/>
</Relationships>
</file>

<file path=xl/worksheets/_rels/sheet138.xml.rels><?xml version="1.0" encoding="UTF-8"?>
<Relationships xmlns="http://schemas.openxmlformats.org/package/2006/relationships"><Relationship Id="rId1" Type="http://schemas.openxmlformats.org/officeDocument/2006/relationships/drawing" Target="../drawings/drawing132.xml"/>
</Relationships>
</file>

<file path=xl/worksheets/_rels/sheet139.xml.rels><?xml version="1.0" encoding="UTF-8"?>
<Relationships xmlns="http://schemas.openxmlformats.org/package/2006/relationships"><Relationship Id="rId1" Type="http://schemas.openxmlformats.org/officeDocument/2006/relationships/drawing" Target="../drawings/drawing133.xml"/>
</Relationships>
</file>

<file path=xl/worksheets/_rels/sheet140.xml.rels><?xml version="1.0" encoding="UTF-8"?>
<Relationships xmlns="http://schemas.openxmlformats.org/package/2006/relationships"><Relationship Id="rId1" Type="http://schemas.openxmlformats.org/officeDocument/2006/relationships/drawing" Target="../drawings/drawing134.xml"/>
</Relationships>
</file>

<file path=xl/worksheets/_rels/sheet141.xml.rels><?xml version="1.0" encoding="UTF-8"?>
<Relationships xmlns="http://schemas.openxmlformats.org/package/2006/relationships"><Relationship Id="rId1" Type="http://schemas.openxmlformats.org/officeDocument/2006/relationships/drawing" Target="../drawings/drawing135.xml"/>
</Relationships>
</file>

<file path=xl/worksheets/_rels/sheet142.xml.rels><?xml version="1.0" encoding="UTF-8"?>
<Relationships xmlns="http://schemas.openxmlformats.org/package/2006/relationships"><Relationship Id="rId1" Type="http://schemas.openxmlformats.org/officeDocument/2006/relationships/drawing" Target="../drawings/drawing136.xml"/>
</Relationships>
</file>

<file path=xl/worksheets/_rels/sheet143.xml.rels><?xml version="1.0" encoding="UTF-8"?>
<Relationships xmlns="http://schemas.openxmlformats.org/package/2006/relationships"><Relationship Id="rId1" Type="http://schemas.openxmlformats.org/officeDocument/2006/relationships/drawing" Target="../drawings/drawing137.xml"/>
</Relationships>
</file>

<file path=xl/worksheets/_rels/sheet144.xml.rels><?xml version="1.0" encoding="UTF-8"?>
<Relationships xmlns="http://schemas.openxmlformats.org/package/2006/relationships"><Relationship Id="rId1" Type="http://schemas.openxmlformats.org/officeDocument/2006/relationships/drawing" Target="../drawings/drawing138.xml"/>
</Relationships>
</file>

<file path=xl/worksheets/_rels/sheet145.xml.rels><?xml version="1.0" encoding="UTF-8"?>
<Relationships xmlns="http://schemas.openxmlformats.org/package/2006/relationships"><Relationship Id="rId1" Type="http://schemas.openxmlformats.org/officeDocument/2006/relationships/drawing" Target="../drawings/drawing139.xml"/>
</Relationships>
</file>

<file path=xl/worksheets/_rels/sheet146.xml.rels><?xml version="1.0" encoding="UTF-8"?>
<Relationships xmlns="http://schemas.openxmlformats.org/package/2006/relationships"><Relationship Id="rId1" Type="http://schemas.openxmlformats.org/officeDocument/2006/relationships/drawing" Target="../drawings/drawing140.xml"/>
</Relationships>
</file>

<file path=xl/worksheets/_rels/sheet147.xml.rels><?xml version="1.0" encoding="UTF-8"?>
<Relationships xmlns="http://schemas.openxmlformats.org/package/2006/relationships"><Relationship Id="rId1" Type="http://schemas.openxmlformats.org/officeDocument/2006/relationships/drawing" Target="../drawings/drawing141.xml"/>
</Relationships>
</file>

<file path=xl/worksheets/_rels/sheet148.xml.rels><?xml version="1.0" encoding="UTF-8"?>
<Relationships xmlns="http://schemas.openxmlformats.org/package/2006/relationships"><Relationship Id="rId1" Type="http://schemas.openxmlformats.org/officeDocument/2006/relationships/drawing" Target="../drawings/drawing142.xml"/>
</Relationships>
</file>

<file path=xl/worksheets/_rels/sheet149.xml.rels><?xml version="1.0" encoding="UTF-8"?>
<Relationships xmlns="http://schemas.openxmlformats.org/package/2006/relationships"><Relationship Id="rId1" Type="http://schemas.openxmlformats.org/officeDocument/2006/relationships/drawing" Target="../drawings/drawing143.xml"/>
</Relationships>
</file>

<file path=xl/worksheets/_rels/sheet150.xml.rels><?xml version="1.0" encoding="UTF-8"?>
<Relationships xmlns="http://schemas.openxmlformats.org/package/2006/relationships"><Relationship Id="rId1" Type="http://schemas.openxmlformats.org/officeDocument/2006/relationships/drawing" Target="../drawings/drawing14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40625" defaultRowHeight="14.25" zeroHeight="false" outlineLevelRow="0" outlineLevelCol="0"/>
  <cols>
    <col collapsed="false" customWidth="true" hidden="false" outlineLevel="0" max="1" min="1" style="1" width="30"/>
    <col collapsed="false" customWidth="true" hidden="false" outlineLevel="0" max="2" min="2" style="1" width="115"/>
  </cols>
  <sheetData>
    <row r="1" customFormat="false" ht="15" hidden="false" customHeight="true" outlineLevel="0" collapsed="false">
      <c r="A1" s="2" t="s">
        <v>0</v>
      </c>
      <c r="B1" s="3" t="s">
        <v>1</v>
      </c>
    </row>
    <row r="2" customFormat="false" ht="15" hidden="false" customHeight="true" outlineLevel="0" collapsed="false">
      <c r="A2" s="4" t="s">
        <v>2</v>
      </c>
      <c r="B2" s="3" t="s">
        <v>3</v>
      </c>
    </row>
    <row r="3" customFormat="false" ht="23.25" hidden="false" customHeight="true" outlineLevel="0" collapsed="false">
      <c r="A3" s="4" t="s">
        <v>4</v>
      </c>
      <c r="B3" s="3" t="s">
        <v>5</v>
      </c>
    </row>
    <row r="4" customFormat="false" ht="15" hidden="false" customHeight="true" outlineLevel="0" collapsed="false">
      <c r="A4" s="4" t="s">
        <v>6</v>
      </c>
      <c r="B4" s="3" t="s">
        <v>7</v>
      </c>
    </row>
    <row r="5" customFormat="false" ht="15" hidden="false" customHeight="true" outlineLevel="0" collapsed="false">
      <c r="A5" s="5"/>
      <c r="B5" s="3"/>
    </row>
    <row r="6" customFormat="false" ht="15" hidden="false" customHeight="true" outlineLevel="0" collapsed="false">
      <c r="A6" s="4" t="s">
        <v>8</v>
      </c>
      <c r="B6" s="3" t="s">
        <v>9</v>
      </c>
    </row>
    <row r="7" customFormat="false" ht="23.25" hidden="false" customHeight="true" outlineLevel="0" collapsed="false">
      <c r="A7" s="5"/>
      <c r="B7" s="3"/>
    </row>
    <row r="8" customFormat="false" ht="15" hidden="false" customHeight="true" outlineLevel="0" collapsed="false">
      <c r="A8" s="4" t="s">
        <v>10</v>
      </c>
      <c r="B8" s="3"/>
    </row>
    <row r="9" customFormat="false" ht="23.25" hidden="false" customHeight="true" outlineLevel="0" collapsed="false">
      <c r="A9" s="5" t="s">
        <v>11</v>
      </c>
      <c r="B9" s="3" t="s">
        <v>12</v>
      </c>
    </row>
    <row r="10" customFormat="false" ht="15" hidden="false" customHeight="true" outlineLevel="0" collapsed="false">
      <c r="A10" s="5" t="s">
        <v>13</v>
      </c>
      <c r="B10" s="3" t="s">
        <v>14</v>
      </c>
    </row>
    <row r="11" customFormat="false" ht="15" hidden="false" customHeight="true" outlineLevel="0" collapsed="false">
      <c r="A11" s="5" t="s">
        <v>15</v>
      </c>
      <c r="B11" s="3" t="s">
        <v>16</v>
      </c>
    </row>
    <row r="12" customFormat="false" ht="15" hidden="false" customHeight="true" outlineLevel="0" collapsed="false">
      <c r="A12" s="5" t="s">
        <v>17</v>
      </c>
      <c r="B12" s="3" t="s">
        <v>18</v>
      </c>
    </row>
    <row r="13" customFormat="false" ht="15" hidden="false" customHeight="true" outlineLevel="0" collapsed="false">
      <c r="A13" s="5"/>
      <c r="B13" s="3"/>
    </row>
    <row r="14" customFormat="false" ht="15" hidden="false" customHeight="true" outlineLevel="0" collapsed="false">
      <c r="A14" s="4" t="s">
        <v>19</v>
      </c>
      <c r="B14" s="3"/>
    </row>
    <row r="15" customFormat="false" ht="15" hidden="false" customHeight="true" outlineLevel="0" collapsed="false">
      <c r="A15" s="5" t="s">
        <v>20</v>
      </c>
      <c r="B15" s="3" t="s">
        <v>21</v>
      </c>
    </row>
    <row r="16" customFormat="false" ht="15" hidden="false" customHeight="true" outlineLevel="0" collapsed="false">
      <c r="A16" s="5" t="s">
        <v>22</v>
      </c>
      <c r="B16" s="3" t="s">
        <v>23</v>
      </c>
    </row>
    <row r="17" customFormat="false" ht="15" hidden="false" customHeight="true" outlineLevel="0" collapsed="false">
      <c r="A17" s="5" t="s">
        <v>24</v>
      </c>
      <c r="B17" s="3" t="s">
        <v>25</v>
      </c>
    </row>
    <row r="18" customFormat="false" ht="15" hidden="false" customHeight="true" outlineLevel="0" collapsed="false">
      <c r="A18" s="5" t="s">
        <v>26</v>
      </c>
      <c r="B18" s="3" t="s">
        <v>27</v>
      </c>
    </row>
    <row r="19" customFormat="false" ht="15" hidden="false" customHeight="true" outlineLevel="0" collapsed="false">
      <c r="A19" s="5" t="s">
        <v>28</v>
      </c>
      <c r="B19" s="3" t="s">
        <v>29</v>
      </c>
    </row>
    <row r="20" customFormat="false" ht="15" hidden="false" customHeight="true" outlineLevel="0" collapsed="false">
      <c r="A20" s="5" t="s">
        <v>30</v>
      </c>
      <c r="B20" s="3" t="s">
        <v>31</v>
      </c>
    </row>
    <row r="21" customFormat="false" ht="23.25" hidden="false" customHeight="true" outlineLevel="0" collapsed="false">
      <c r="A21" s="5"/>
      <c r="B21" s="3"/>
    </row>
    <row r="22" customFormat="false" ht="23.25" hidden="false" customHeight="true" outlineLevel="0" collapsed="false">
      <c r="A22" s="4" t="s">
        <v>32</v>
      </c>
      <c r="B22" s="3"/>
    </row>
    <row r="23" customFormat="false" ht="15" hidden="false" customHeight="true" outlineLevel="0" collapsed="false">
      <c r="A23" s="5" t="s">
        <v>33</v>
      </c>
      <c r="B23" s="3" t="s">
        <v>34</v>
      </c>
    </row>
    <row r="24" customFormat="false" ht="15" hidden="false" customHeight="true" outlineLevel="0" collapsed="false">
      <c r="A24" s="5" t="s">
        <v>35</v>
      </c>
      <c r="B24" s="3" t="s">
        <v>36</v>
      </c>
    </row>
    <row r="25" customFormat="false" ht="15" hidden="false" customHeight="true" outlineLevel="0" collapsed="false">
      <c r="A25" s="4" t="s">
        <v>37</v>
      </c>
      <c r="B25" s="3" t="s">
        <v>38</v>
      </c>
    </row>
    <row r="26" customFormat="false" ht="15" hidden="false" customHeight="true" outlineLevel="0" collapsed="false">
      <c r="A26" s="5" t="s">
        <v>39</v>
      </c>
      <c r="B26" s="3" t="s">
        <v>40</v>
      </c>
    </row>
    <row r="27" customFormat="false" ht="15" hidden="false" customHeight="true" outlineLevel="0" collapsed="false">
      <c r="A27" s="5" t="s">
        <v>41</v>
      </c>
      <c r="B27" s="3" t="s">
        <v>42</v>
      </c>
    </row>
    <row r="28" customFormat="false" ht="15" hidden="false" customHeight="true" outlineLevel="0" collapsed="false">
      <c r="A28" s="5" t="s">
        <v>43</v>
      </c>
      <c r="B28" s="3" t="s">
        <v>44</v>
      </c>
    </row>
    <row r="29" customFormat="false" ht="15" hidden="false" customHeight="true" outlineLevel="0" collapsed="false">
      <c r="A29" s="5" t="s">
        <v>45</v>
      </c>
      <c r="B29" s="3" t="s">
        <v>46</v>
      </c>
    </row>
    <row r="30" customFormat="false" ht="15" hidden="false" customHeight="true" outlineLevel="0" collapsed="false">
      <c r="A30" s="5" t="s">
        <v>47</v>
      </c>
      <c r="B30" s="3" t="s">
        <v>48</v>
      </c>
    </row>
    <row r="31" customFormat="false" ht="14.25" hidden="false" customHeight="true" outlineLevel="0" collapsed="false">
      <c r="A31" s="5" t="s">
        <v>49</v>
      </c>
      <c r="B31" s="3" t="s">
        <v>50</v>
      </c>
    </row>
    <row r="32" customFormat="false" ht="45.75" hidden="false" customHeight="true" outlineLevel="0" collapsed="false">
      <c r="A32" s="4" t="s">
        <v>51</v>
      </c>
      <c r="B32" s="3" t="s">
        <v>52</v>
      </c>
    </row>
    <row r="33" customFormat="false" ht="15" hidden="false" customHeight="true" outlineLevel="0" collapsed="false">
      <c r="A33" s="5" t="s">
        <v>53</v>
      </c>
      <c r="B33" s="3" t="s">
        <v>54</v>
      </c>
    </row>
    <row r="35" customFormat="false" ht="15" hidden="false" customHeight="true" outlineLevel="0" collapsed="false">
      <c r="A35" s="6" t="s">
        <v>55</v>
      </c>
      <c r="B35" s="6" t="s">
        <v>56</v>
      </c>
      <c r="C35" s="6" t="s">
        <v>57</v>
      </c>
      <c r="D35" s="6" t="s">
        <v>58</v>
      </c>
      <c r="E35" s="6" t="s">
        <v>59</v>
      </c>
      <c r="F35" s="6" t="s">
        <v>60</v>
      </c>
      <c r="G35" s="6" t="s">
        <v>61</v>
      </c>
      <c r="H35" s="6" t="s">
        <v>62</v>
      </c>
      <c r="I35" s="6" t="s">
        <v>63</v>
      </c>
      <c r="J35" s="6" t="s">
        <v>64</v>
      </c>
      <c r="K35" s="6" t="s">
        <v>65</v>
      </c>
      <c r="L35" s="6" t="s">
        <v>66</v>
      </c>
      <c r="M35" s="6" t="s">
        <v>67</v>
      </c>
      <c r="N35" s="6" t="s">
        <v>68</v>
      </c>
      <c r="O35" s="6" t="s">
        <v>69</v>
      </c>
      <c r="P35" s="6" t="s">
        <v>70</v>
      </c>
      <c r="Q35" s="6" t="s">
        <v>71</v>
      </c>
      <c r="R35" s="6" t="s">
        <v>72</v>
      </c>
      <c r="S35" s="6" t="s">
        <v>35</v>
      </c>
      <c r="T35" s="6" t="s">
        <v>33</v>
      </c>
      <c r="U35" s="6" t="s">
        <v>37</v>
      </c>
      <c r="V35" s="6" t="s">
        <v>73</v>
      </c>
      <c r="W35" s="6" t="s">
        <v>74</v>
      </c>
      <c r="X35" s="6" t="s">
        <v>75</v>
      </c>
      <c r="Y35" s="6" t="s">
        <v>76</v>
      </c>
      <c r="Z35" s="6" t="s">
        <v>77</v>
      </c>
      <c r="AA35" s="6" t="s">
        <v>78</v>
      </c>
    </row>
    <row r="36" customFormat="false" ht="15" hidden="false" customHeight="true" outlineLevel="0" collapsed="false">
      <c r="A36" s="7" t="n">
        <v>1</v>
      </c>
      <c r="B36" s="7" t="n">
        <v>1</v>
      </c>
      <c r="C36" s="7" t="s">
        <v>79</v>
      </c>
      <c r="D36" s="7" t="n">
        <v>2021</v>
      </c>
      <c r="E36" s="7" t="s">
        <v>80</v>
      </c>
      <c r="F36" s="7" t="s">
        <v>81</v>
      </c>
      <c r="G36" s="7" t="s">
        <v>82</v>
      </c>
      <c r="H36" s="7" t="n">
        <v>29.42</v>
      </c>
      <c r="I36" s="7" t="n">
        <v>76.57</v>
      </c>
      <c r="J36" s="7" t="s">
        <v>83</v>
      </c>
      <c r="K36" s="7" t="n">
        <v>10</v>
      </c>
      <c r="L36" s="7" t="s">
        <v>84</v>
      </c>
      <c r="M36" s="7" t="s">
        <v>85</v>
      </c>
      <c r="N36" s="7" t="s">
        <v>86</v>
      </c>
      <c r="O36" s="7" t="s">
        <v>87</v>
      </c>
      <c r="P36" s="7" t="n">
        <v>1.39</v>
      </c>
      <c r="Q36" s="7" t="n">
        <v>1.5</v>
      </c>
      <c r="R36" s="7" t="n">
        <v>1.44</v>
      </c>
      <c r="S36" s="7" t="n">
        <v>2</v>
      </c>
      <c r="T36" s="7" t="n">
        <v>3</v>
      </c>
      <c r="U36" s="7" t="s">
        <v>88</v>
      </c>
      <c r="V36" s="7" t="n">
        <v>19.89</v>
      </c>
      <c r="W36" s="7" t="n">
        <v>670</v>
      </c>
      <c r="X36" s="7" t="n">
        <v>8</v>
      </c>
      <c r="Y36" s="7" t="s">
        <v>89</v>
      </c>
      <c r="Z36" s="7" t="s">
        <v>90</v>
      </c>
      <c r="AA36" s="7" t="s">
        <v>91</v>
      </c>
    </row>
    <row r="37" customFormat="false" ht="15" hidden="false" customHeight="true" outlineLevel="0" collapsed="false"/>
    <row r="38" customFormat="false" ht="23.25" hidden="false" customHeight="true" outlineLevel="0" collapsed="false">
      <c r="A38" s="4" t="s">
        <v>92</v>
      </c>
      <c r="B38" s="3" t="s">
        <v>93</v>
      </c>
    </row>
    <row r="39" customFormat="false" ht="15" hidden="false" customHeight="true" outlineLevel="0" collapsed="false">
      <c r="A39" s="4" t="s">
        <v>94</v>
      </c>
      <c r="B39" s="3" t="s">
        <v>95</v>
      </c>
    </row>
    <row r="40" customFormat="false" ht="15" hidden="false" customHeight="true" outlineLevel="0" collapsed="false">
      <c r="A40" s="4" t="s">
        <v>96</v>
      </c>
      <c r="B40" s="3" t="s">
        <v>97</v>
      </c>
    </row>
    <row r="41" customFormat="false" ht="15" hidden="false" customHeight="true" outlineLevel="0" collapsed="false">
      <c r="A41" s="4" t="s">
        <v>98</v>
      </c>
      <c r="B41" s="3" t="s">
        <v>99</v>
      </c>
    </row>
    <row r="42" customFormat="false" ht="15" hidden="false" customHeight="true" outlineLevel="0" collapsed="false">
      <c r="A42" s="5"/>
      <c r="B42" s="3"/>
    </row>
    <row r="43" customFormat="false" ht="14.25" hidden="false" customHeight="true" outlineLevel="0" collapsed="false">
      <c r="A43" s="5"/>
      <c r="B43" s="3"/>
    </row>
    <row r="44" customFormat="false" ht="14.25" hidden="false" customHeight="true" outlineLevel="0" collapsed="false">
      <c r="A44" s="5"/>
      <c r="B44" s="3"/>
    </row>
    <row r="45" customFormat="false" ht="14.25" hidden="false" customHeight="true" outlineLevel="0" collapsed="false">
      <c r="A45" s="5" t="s">
        <v>100</v>
      </c>
      <c r="B45" s="3" t="s">
        <v>101</v>
      </c>
    </row>
    <row r="46" customFormat="false" ht="34.5" hidden="false" customHeight="true" outlineLevel="0" collapsed="false">
      <c r="A46" s="5" t="s">
        <v>102</v>
      </c>
      <c r="B46" s="3" t="s">
        <v>103</v>
      </c>
    </row>
    <row r="47" customFormat="false" ht="34.5" hidden="false" customHeight="true" outlineLevel="0" collapsed="false">
      <c r="A47" s="5" t="s">
        <v>104</v>
      </c>
      <c r="B47" s="3" t="s">
        <v>105</v>
      </c>
    </row>
    <row r="48" customFormat="false" ht="14.25" hidden="false" customHeight="true" outlineLevel="0" collapsed="false">
      <c r="A48" s="5" t="s">
        <v>106</v>
      </c>
      <c r="B48" s="3" t="s">
        <v>107</v>
      </c>
    </row>
    <row r="49" customFormat="false" ht="14.25" hidden="false" customHeight="true" outlineLevel="0" collapsed="false">
      <c r="A49" s="4" t="s">
        <v>108</v>
      </c>
      <c r="B49" s="5" t="s">
        <v>109</v>
      </c>
    </row>
    <row r="50" customFormat="false" ht="14.25" hidden="false" customHeight="true" outlineLevel="0" collapsed="false">
      <c r="A50" s="4" t="s">
        <v>110</v>
      </c>
      <c r="B50" s="5" t="s">
        <v>111</v>
      </c>
    </row>
    <row r="51" customFormat="false" ht="14.25" hidden="false" customHeight="true" outlineLevel="0" collapsed="false">
      <c r="A51" s="4" t="s">
        <v>112</v>
      </c>
      <c r="B51" s="5" t="s">
        <v>113</v>
      </c>
    </row>
    <row r="52" customFormat="false" ht="14.25" hidden="false" customHeight="true" outlineLevel="0" collapsed="false">
      <c r="A52" s="4" t="s">
        <v>114</v>
      </c>
      <c r="B52" s="5" t="s">
        <v>115</v>
      </c>
    </row>
    <row r="53" customFormat="false" ht="14.25" hidden="false" customHeight="true" outlineLevel="0" collapsed="false">
      <c r="A53" s="4" t="s">
        <v>116</v>
      </c>
      <c r="B53" s="5" t="s">
        <v>117</v>
      </c>
    </row>
    <row r="54" customFormat="false" ht="14.25" hidden="false" customHeight="true" outlineLevel="0" collapsed="false">
      <c r="A54" s="4" t="s">
        <v>118</v>
      </c>
      <c r="B54" s="5" t="s">
        <v>119</v>
      </c>
    </row>
    <row r="55" customFormat="false" ht="14.25" hidden="false" customHeight="true" outlineLevel="0" collapsed="false">
      <c r="A55" s="4" t="s">
        <v>120</v>
      </c>
      <c r="B55" s="5" t="s">
        <v>121</v>
      </c>
    </row>
    <row r="56" customFormat="false" ht="14.25" hidden="false" customHeight="true" outlineLevel="0" collapsed="false">
      <c r="A56" s="4" t="s">
        <v>122</v>
      </c>
      <c r="B56" s="5" t="s">
        <v>123</v>
      </c>
    </row>
    <row r="57" customFormat="false" ht="14.25" hidden="false" customHeight="true" outlineLevel="0" collapsed="false">
      <c r="A57" s="4" t="s">
        <v>124</v>
      </c>
      <c r="B57" s="5" t="s">
        <v>125</v>
      </c>
    </row>
    <row r="58" customFormat="false" ht="34.5" hidden="false" customHeight="true" outlineLevel="0" collapsed="false">
      <c r="A58" s="4" t="s">
        <v>126</v>
      </c>
      <c r="B58" s="3" t="s">
        <v>127</v>
      </c>
    </row>
    <row r="59" customFormat="false" ht="23.25" hidden="false" customHeight="true" outlineLevel="0" collapsed="false">
      <c r="A59" s="4" t="s">
        <v>128</v>
      </c>
      <c r="B59" s="3" t="s">
        <v>129</v>
      </c>
    </row>
    <row r="60" customFormat="false" ht="34.5" hidden="false" customHeight="true" outlineLevel="0" collapsed="false">
      <c r="A60" s="4" t="s">
        <v>130</v>
      </c>
      <c r="B60" s="3" t="s">
        <v>131</v>
      </c>
    </row>
    <row r="61" customFormat="false" ht="23.85" hidden="false" customHeight="false" outlineLevel="0" collapsed="false">
      <c r="A61" s="8" t="s">
        <v>132</v>
      </c>
      <c r="B61" s="3" t="s">
        <v>133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22"/>
    <col collapsed="false" customWidth="true" hidden="false" outlineLevel="0" max="3" min="3" style="1" width="60"/>
    <col collapsed="false" customWidth="true" hidden="false" outlineLevel="0" max="4" min="4" style="1" width="80"/>
    <col collapsed="false" customWidth="true" hidden="false" outlineLevel="0" max="5" min="5" style="1" width="26"/>
    <col collapsed="false" customWidth="true" hidden="false" outlineLevel="0" max="6" min="6" style="1" width="16"/>
  </cols>
  <sheetData>
    <row r="1" customFormat="false" ht="15" hidden="false" customHeight="true" outlineLevel="0" collapsed="false">
      <c r="A1" s="2" t="s">
        <v>134</v>
      </c>
    </row>
    <row r="3" customFormat="false" ht="15" hidden="false" customHeight="true" outlineLevel="0" collapsed="false">
      <c r="A3" s="9" t="s">
        <v>55</v>
      </c>
      <c r="B3" s="9" t="s">
        <v>135</v>
      </c>
      <c r="C3" s="9" t="s">
        <v>136</v>
      </c>
      <c r="D3" s="9" t="s">
        <v>137</v>
      </c>
      <c r="E3" s="9" t="s">
        <v>138</v>
      </c>
      <c r="F3" s="9" t="s">
        <v>139</v>
      </c>
    </row>
    <row r="4" customFormat="false" ht="15" hidden="false" customHeight="true" outlineLevel="0" collapsed="false">
      <c r="A4" s="10" t="s">
        <v>140</v>
      </c>
      <c r="B4" s="11"/>
      <c r="C4" s="11"/>
      <c r="D4" s="11"/>
      <c r="E4" s="11"/>
      <c r="F4" s="11"/>
    </row>
    <row r="5" customFormat="false" ht="23.25" hidden="false" customHeight="true" outlineLevel="0" collapsed="false">
      <c r="A5" s="12" t="n">
        <v>1</v>
      </c>
      <c r="B5" s="12" t="s">
        <v>141</v>
      </c>
      <c r="C5" s="12" t="s">
        <v>142</v>
      </c>
      <c r="D5" s="12" t="s">
        <v>143</v>
      </c>
      <c r="E5" s="12" t="s">
        <v>144</v>
      </c>
      <c r="F5" s="12" t="s">
        <v>145</v>
      </c>
    </row>
    <row r="6" customFormat="false" ht="23.25" hidden="false" customHeight="true" outlineLevel="0" collapsed="false">
      <c r="A6" s="12" t="n">
        <v>2</v>
      </c>
      <c r="B6" s="12" t="s">
        <v>141</v>
      </c>
      <c r="C6" s="12" t="s">
        <v>146</v>
      </c>
      <c r="D6" s="12" t="s">
        <v>147</v>
      </c>
      <c r="E6" s="12" t="s">
        <v>148</v>
      </c>
      <c r="F6" s="12" t="s">
        <v>145</v>
      </c>
    </row>
    <row r="7" customFormat="false" ht="15" hidden="false" customHeight="true" outlineLevel="0" collapsed="false">
      <c r="A7" s="12" t="n">
        <v>3</v>
      </c>
      <c r="B7" s="12" t="s">
        <v>141</v>
      </c>
      <c r="C7" s="12" t="s">
        <v>149</v>
      </c>
      <c r="D7" s="12" t="s">
        <v>150</v>
      </c>
      <c r="E7" s="12" t="s">
        <v>151</v>
      </c>
      <c r="F7" s="12" t="s">
        <v>145</v>
      </c>
    </row>
    <row r="8" customFormat="false" ht="23.25" hidden="false" customHeight="true" outlineLevel="0" collapsed="false">
      <c r="A8" s="12" t="n">
        <v>4</v>
      </c>
      <c r="B8" s="12" t="s">
        <v>141</v>
      </c>
      <c r="C8" s="12" t="s">
        <v>152</v>
      </c>
      <c r="D8" s="12" t="s">
        <v>153</v>
      </c>
      <c r="E8" s="12" t="s">
        <v>148</v>
      </c>
      <c r="F8" s="12" t="s">
        <v>145</v>
      </c>
    </row>
    <row r="9" customFormat="false" ht="23.25" hidden="false" customHeight="true" outlineLevel="0" collapsed="false">
      <c r="A9" s="12" t="n">
        <v>5</v>
      </c>
      <c r="B9" s="12" t="s">
        <v>141</v>
      </c>
      <c r="C9" s="12" t="s">
        <v>154</v>
      </c>
      <c r="D9" s="12" t="s">
        <v>155</v>
      </c>
      <c r="E9" s="12" t="s">
        <v>156</v>
      </c>
      <c r="F9" s="12" t="s">
        <v>145</v>
      </c>
    </row>
    <row r="10" customFormat="false" ht="23.25" hidden="false" customHeight="true" outlineLevel="0" collapsed="false">
      <c r="A10" s="12" t="n">
        <v>6</v>
      </c>
      <c r="B10" s="12" t="s">
        <v>141</v>
      </c>
      <c r="C10" s="12" t="s">
        <v>157</v>
      </c>
      <c r="D10" s="12" t="s">
        <v>158</v>
      </c>
      <c r="E10" s="12" t="s">
        <v>159</v>
      </c>
      <c r="F10" s="12" t="s">
        <v>145</v>
      </c>
    </row>
    <row r="11" customFormat="false" ht="23.25" hidden="false" customHeight="true" outlineLevel="0" collapsed="false">
      <c r="A11" s="12" t="n">
        <v>7</v>
      </c>
      <c r="B11" s="12" t="s">
        <v>141</v>
      </c>
      <c r="C11" s="12" t="s">
        <v>160</v>
      </c>
      <c r="D11" s="12" t="s">
        <v>161</v>
      </c>
      <c r="E11" s="12" t="s">
        <v>144</v>
      </c>
      <c r="F11" s="12" t="s">
        <v>145</v>
      </c>
    </row>
    <row r="12" customFormat="false" ht="23.25" hidden="false" customHeight="true" outlineLevel="0" collapsed="false">
      <c r="A12" s="12" t="n">
        <v>8</v>
      </c>
      <c r="B12" s="12" t="s">
        <v>141</v>
      </c>
      <c r="C12" s="12" t="s">
        <v>162</v>
      </c>
      <c r="D12" s="12" t="s">
        <v>163</v>
      </c>
      <c r="E12" s="12" t="s">
        <v>144</v>
      </c>
      <c r="F12" s="12" t="s">
        <v>145</v>
      </c>
    </row>
    <row r="13" customFormat="false" ht="23.25" hidden="false" customHeight="true" outlineLevel="0" collapsed="false">
      <c r="A13" s="12" t="n">
        <v>9</v>
      </c>
      <c r="B13" s="12" t="s">
        <v>141</v>
      </c>
      <c r="C13" s="12" t="s">
        <v>164</v>
      </c>
      <c r="D13" s="12" t="s">
        <v>165</v>
      </c>
      <c r="E13" s="12" t="s">
        <v>166</v>
      </c>
      <c r="F13" s="12" t="s">
        <v>145</v>
      </c>
    </row>
    <row r="14" customFormat="false" ht="34.5" hidden="false" customHeight="true" outlineLevel="0" collapsed="false">
      <c r="A14" s="12" t="n">
        <v>10</v>
      </c>
      <c r="B14" s="12" t="s">
        <v>141</v>
      </c>
      <c r="C14" s="12" t="s">
        <v>167</v>
      </c>
      <c r="D14" s="12" t="s">
        <v>168</v>
      </c>
      <c r="E14" s="12" t="s">
        <v>169</v>
      </c>
      <c r="F14" s="12" t="s">
        <v>145</v>
      </c>
    </row>
    <row r="15" customFormat="false" ht="23.25" hidden="false" customHeight="true" outlineLevel="0" collapsed="false">
      <c r="A15" s="12" t="n">
        <v>11</v>
      </c>
      <c r="B15" s="12" t="s">
        <v>141</v>
      </c>
      <c r="C15" s="12" t="s">
        <v>170</v>
      </c>
      <c r="D15" s="12"/>
      <c r="E15" s="12" t="s">
        <v>15</v>
      </c>
      <c r="F15" s="12" t="s">
        <v>145</v>
      </c>
    </row>
    <row r="16" customFormat="false" ht="15" hidden="false" customHeight="true" outlineLevel="0" collapsed="false">
      <c r="A16" s="10" t="s">
        <v>171</v>
      </c>
      <c r="B16" s="11"/>
      <c r="C16" s="11"/>
      <c r="D16" s="11"/>
      <c r="E16" s="11"/>
      <c r="F16" s="11"/>
    </row>
    <row r="17" customFormat="false" ht="34.5" hidden="false" customHeight="true" outlineLevel="0" collapsed="false">
      <c r="A17" s="12" t="n">
        <v>12</v>
      </c>
      <c r="B17" s="12" t="s">
        <v>172</v>
      </c>
      <c r="C17" s="12" t="s">
        <v>173</v>
      </c>
      <c r="D17" s="12" t="s">
        <v>174</v>
      </c>
      <c r="E17" s="12" t="s">
        <v>15</v>
      </c>
      <c r="F17" s="12" t="s">
        <v>145</v>
      </c>
    </row>
    <row r="18" customFormat="false" ht="45.75" hidden="false" customHeight="true" outlineLevel="0" collapsed="false">
      <c r="A18" s="12" t="n">
        <v>13</v>
      </c>
      <c r="B18" s="12" t="s">
        <v>172</v>
      </c>
      <c r="C18" s="12" t="s">
        <v>175</v>
      </c>
      <c r="D18" s="12" t="s">
        <v>176</v>
      </c>
      <c r="E18" s="12" t="s">
        <v>169</v>
      </c>
      <c r="F18" s="12" t="s">
        <v>145</v>
      </c>
    </row>
    <row r="19" customFormat="false" ht="23.25" hidden="false" customHeight="true" outlineLevel="0" collapsed="false">
      <c r="A19" s="12" t="n">
        <v>14</v>
      </c>
      <c r="B19" s="12" t="s">
        <v>172</v>
      </c>
      <c r="C19" s="12" t="s">
        <v>177</v>
      </c>
      <c r="D19" s="12" t="s">
        <v>178</v>
      </c>
      <c r="E19" s="12" t="s">
        <v>144</v>
      </c>
      <c r="F19" s="12" t="s">
        <v>145</v>
      </c>
    </row>
    <row r="20" customFormat="false" ht="34.5" hidden="false" customHeight="true" outlineLevel="0" collapsed="false">
      <c r="A20" s="12" t="n">
        <v>15</v>
      </c>
      <c r="B20" s="12" t="s">
        <v>172</v>
      </c>
      <c r="C20" s="12" t="s">
        <v>179</v>
      </c>
      <c r="D20" s="12"/>
      <c r="E20" s="12" t="s">
        <v>180</v>
      </c>
      <c r="F20" s="12" t="s">
        <v>145</v>
      </c>
    </row>
    <row r="21" customFormat="false" ht="15" hidden="false" customHeight="true" outlineLevel="0" collapsed="false">
      <c r="A21" s="12" t="n">
        <v>16</v>
      </c>
      <c r="B21" s="12" t="s">
        <v>172</v>
      </c>
      <c r="C21" s="12" t="s">
        <v>181</v>
      </c>
      <c r="D21" s="12" t="s">
        <v>182</v>
      </c>
      <c r="E21" s="12" t="s">
        <v>166</v>
      </c>
      <c r="F21" s="12" t="s">
        <v>145</v>
      </c>
    </row>
    <row r="22" customFormat="false" ht="23.25" hidden="false" customHeight="true" outlineLevel="0" collapsed="false">
      <c r="A22" s="12" t="n">
        <v>17</v>
      </c>
      <c r="B22" s="12" t="s">
        <v>172</v>
      </c>
      <c r="C22" s="12" t="s">
        <v>183</v>
      </c>
      <c r="D22" s="12" t="s">
        <v>184</v>
      </c>
      <c r="E22" s="12" t="s">
        <v>185</v>
      </c>
      <c r="F22" s="12" t="s">
        <v>145</v>
      </c>
    </row>
    <row r="23" customFormat="false" ht="15" hidden="false" customHeight="true" outlineLevel="0" collapsed="false">
      <c r="A23" s="12" t="n">
        <v>18</v>
      </c>
      <c r="B23" s="12" t="s">
        <v>172</v>
      </c>
      <c r="C23" s="12" t="s">
        <v>186</v>
      </c>
      <c r="D23" s="12" t="s">
        <v>187</v>
      </c>
      <c r="E23" s="12" t="s">
        <v>188</v>
      </c>
      <c r="F23" s="12" t="s">
        <v>145</v>
      </c>
    </row>
    <row r="24" customFormat="false" ht="23.25" hidden="false" customHeight="true" outlineLevel="0" collapsed="false">
      <c r="A24" s="12" t="n">
        <v>19</v>
      </c>
      <c r="B24" s="12" t="s">
        <v>172</v>
      </c>
      <c r="C24" s="12" t="s">
        <v>189</v>
      </c>
      <c r="D24" s="12"/>
      <c r="E24" s="12" t="s">
        <v>185</v>
      </c>
      <c r="F24" s="12" t="s">
        <v>145</v>
      </c>
    </row>
    <row r="25" customFormat="false" ht="23.25" hidden="false" customHeight="true" outlineLevel="0" collapsed="false">
      <c r="A25" s="12" t="n">
        <v>20</v>
      </c>
      <c r="B25" s="12" t="s">
        <v>172</v>
      </c>
      <c r="C25" s="12" t="s">
        <v>190</v>
      </c>
      <c r="D25" s="12" t="s">
        <v>191</v>
      </c>
      <c r="E25" s="12" t="s">
        <v>144</v>
      </c>
      <c r="F25" s="12" t="s">
        <v>145</v>
      </c>
    </row>
    <row r="26" customFormat="false" ht="23.25" hidden="false" customHeight="true" outlineLevel="0" collapsed="false">
      <c r="A26" s="12" t="n">
        <v>21</v>
      </c>
      <c r="B26" s="12" t="s">
        <v>172</v>
      </c>
      <c r="C26" s="12" t="s">
        <v>192</v>
      </c>
      <c r="D26" s="12" t="s">
        <v>193</v>
      </c>
      <c r="E26" s="12" t="s">
        <v>194</v>
      </c>
      <c r="F26" s="12" t="s">
        <v>145</v>
      </c>
    </row>
    <row r="27" customFormat="false" ht="15" hidden="false" customHeight="true" outlineLevel="0" collapsed="false">
      <c r="A27" s="10" t="s">
        <v>195</v>
      </c>
      <c r="B27" s="11"/>
      <c r="C27" s="11"/>
      <c r="D27" s="11"/>
      <c r="E27" s="11"/>
      <c r="F27" s="11"/>
    </row>
    <row r="28" customFormat="false" ht="23.25" hidden="false" customHeight="true" outlineLevel="0" collapsed="false">
      <c r="A28" s="12" t="n">
        <v>22</v>
      </c>
      <c r="B28" s="12" t="s">
        <v>196</v>
      </c>
      <c r="C28" s="12" t="s">
        <v>197</v>
      </c>
      <c r="D28" s="12" t="s">
        <v>198</v>
      </c>
      <c r="E28" s="12" t="s">
        <v>199</v>
      </c>
      <c r="F28" s="12" t="s">
        <v>145</v>
      </c>
    </row>
    <row r="29" customFormat="false" ht="23.25" hidden="false" customHeight="true" outlineLevel="0" collapsed="false">
      <c r="A29" s="12" t="n">
        <v>23</v>
      </c>
      <c r="B29" s="12" t="s">
        <v>196</v>
      </c>
      <c r="C29" s="12" t="s">
        <v>200</v>
      </c>
      <c r="D29" s="12" t="s">
        <v>201</v>
      </c>
      <c r="E29" s="12" t="s">
        <v>202</v>
      </c>
      <c r="F29" s="12" t="s">
        <v>145</v>
      </c>
    </row>
    <row r="30" customFormat="false" ht="23.25" hidden="false" customHeight="true" outlineLevel="0" collapsed="false">
      <c r="A30" s="12" t="n">
        <v>24</v>
      </c>
      <c r="B30" s="12" t="s">
        <v>196</v>
      </c>
      <c r="C30" s="12" t="s">
        <v>203</v>
      </c>
      <c r="D30" s="12" t="s">
        <v>204</v>
      </c>
      <c r="E30" s="12" t="s">
        <v>166</v>
      </c>
      <c r="F30" s="12" t="s">
        <v>145</v>
      </c>
    </row>
    <row r="31" customFormat="false" ht="23.25" hidden="false" customHeight="true" outlineLevel="0" collapsed="false">
      <c r="A31" s="12" t="n">
        <v>25</v>
      </c>
      <c r="B31" s="12" t="s">
        <v>196</v>
      </c>
      <c r="C31" s="12" t="s">
        <v>205</v>
      </c>
      <c r="D31" s="12" t="s">
        <v>206</v>
      </c>
      <c r="E31" s="12" t="s">
        <v>166</v>
      </c>
      <c r="F31" s="12" t="s">
        <v>145</v>
      </c>
    </row>
    <row r="32" customFormat="false" ht="23.25" hidden="false" customHeight="true" outlineLevel="0" collapsed="false">
      <c r="A32" s="12" t="n">
        <v>26</v>
      </c>
      <c r="B32" s="12" t="s">
        <v>196</v>
      </c>
      <c r="C32" s="12" t="s">
        <v>207</v>
      </c>
      <c r="D32" s="12" t="s">
        <v>208</v>
      </c>
      <c r="E32" s="12" t="s">
        <v>166</v>
      </c>
      <c r="F32" s="12" t="s">
        <v>145</v>
      </c>
    </row>
    <row r="33" customFormat="false" ht="23.25" hidden="false" customHeight="true" outlineLevel="0" collapsed="false">
      <c r="A33" s="13" t="n">
        <v>27</v>
      </c>
      <c r="B33" s="13" t="s">
        <v>196</v>
      </c>
      <c r="C33" s="13" t="s">
        <v>209</v>
      </c>
      <c r="D33" s="13" t="s">
        <v>210</v>
      </c>
      <c r="E33" s="13" t="s">
        <v>144</v>
      </c>
      <c r="F33" s="13" t="s">
        <v>211</v>
      </c>
    </row>
    <row r="34" customFormat="false" ht="34.5" hidden="false" customHeight="true" outlineLevel="0" collapsed="false">
      <c r="A34" s="12" t="n">
        <v>28</v>
      </c>
      <c r="B34" s="12" t="s">
        <v>196</v>
      </c>
      <c r="C34" s="12" t="s">
        <v>212</v>
      </c>
      <c r="D34" s="12"/>
      <c r="E34" s="12" t="s">
        <v>166</v>
      </c>
      <c r="F34" s="12" t="s">
        <v>145</v>
      </c>
    </row>
    <row r="35" customFormat="false" ht="23.25" hidden="false" customHeight="true" outlineLevel="0" collapsed="false">
      <c r="A35" s="12" t="n">
        <v>29</v>
      </c>
      <c r="B35" s="12" t="s">
        <v>196</v>
      </c>
      <c r="C35" s="12" t="s">
        <v>213</v>
      </c>
      <c r="D35" s="12" t="s">
        <v>214</v>
      </c>
      <c r="E35" s="12" t="s">
        <v>188</v>
      </c>
      <c r="F35" s="12" t="s">
        <v>145</v>
      </c>
    </row>
    <row r="36" customFormat="false" ht="15" hidden="false" customHeight="true" outlineLevel="0" collapsed="false">
      <c r="A36" s="10" t="s">
        <v>215</v>
      </c>
      <c r="B36" s="11"/>
      <c r="C36" s="11"/>
      <c r="D36" s="11"/>
      <c r="E36" s="11"/>
      <c r="F36" s="11"/>
    </row>
    <row r="37" customFormat="false" ht="23.25" hidden="false" customHeight="true" outlineLevel="0" collapsed="false">
      <c r="A37" s="12" t="n">
        <v>30</v>
      </c>
      <c r="B37" s="12" t="s">
        <v>216</v>
      </c>
      <c r="C37" s="12" t="s">
        <v>217</v>
      </c>
      <c r="D37" s="12" t="s">
        <v>218</v>
      </c>
      <c r="E37" s="12" t="s">
        <v>180</v>
      </c>
      <c r="F37" s="12" t="s">
        <v>145</v>
      </c>
    </row>
    <row r="38" customFormat="false" ht="23.25" hidden="false" customHeight="true" outlineLevel="0" collapsed="false">
      <c r="A38" s="12" t="n">
        <v>31</v>
      </c>
      <c r="B38" s="12" t="s">
        <v>216</v>
      </c>
      <c r="C38" s="12" t="s">
        <v>219</v>
      </c>
      <c r="D38" s="12" t="s">
        <v>220</v>
      </c>
      <c r="E38" s="12" t="s">
        <v>159</v>
      </c>
      <c r="F38" s="12" t="s">
        <v>145</v>
      </c>
    </row>
    <row r="39" customFormat="false" ht="23.25" hidden="false" customHeight="true" outlineLevel="0" collapsed="false">
      <c r="A39" s="12" t="n">
        <v>32</v>
      </c>
      <c r="B39" s="12" t="s">
        <v>216</v>
      </c>
      <c r="C39" s="12" t="s">
        <v>221</v>
      </c>
      <c r="D39" s="12" t="s">
        <v>222</v>
      </c>
      <c r="E39" s="12" t="s">
        <v>15</v>
      </c>
      <c r="F39" s="12" t="s">
        <v>145</v>
      </c>
    </row>
    <row r="40" customFormat="false" ht="34.5" hidden="false" customHeight="true" outlineLevel="0" collapsed="false">
      <c r="A40" s="12" t="n">
        <v>33</v>
      </c>
      <c r="B40" s="12" t="s">
        <v>216</v>
      </c>
      <c r="C40" s="12" t="s">
        <v>223</v>
      </c>
      <c r="D40" s="12" t="s">
        <v>224</v>
      </c>
      <c r="E40" s="12" t="s">
        <v>166</v>
      </c>
      <c r="F40" s="12" t="s">
        <v>145</v>
      </c>
    </row>
    <row r="41" customFormat="false" ht="34.5" hidden="false" customHeight="true" outlineLevel="0" collapsed="false">
      <c r="A41" s="12" t="n">
        <v>34</v>
      </c>
      <c r="B41" s="12" t="s">
        <v>216</v>
      </c>
      <c r="C41" s="12" t="s">
        <v>225</v>
      </c>
      <c r="D41" s="12" t="s">
        <v>226</v>
      </c>
      <c r="E41" s="12" t="s">
        <v>159</v>
      </c>
      <c r="F41" s="12" t="s">
        <v>145</v>
      </c>
    </row>
    <row r="42" customFormat="false" ht="15" hidden="false" customHeight="true" outlineLevel="0" collapsed="false">
      <c r="A42" s="10" t="s">
        <v>227</v>
      </c>
      <c r="B42" s="11"/>
      <c r="C42" s="11"/>
      <c r="D42" s="11"/>
      <c r="E42" s="11"/>
      <c r="F42" s="11"/>
    </row>
    <row r="43" customFormat="false" ht="15" hidden="false" customHeight="true" outlineLevel="0" collapsed="false">
      <c r="A43" s="12" t="n">
        <v>35</v>
      </c>
      <c r="B43" s="12" t="s">
        <v>228</v>
      </c>
      <c r="C43" s="12" t="s">
        <v>229</v>
      </c>
      <c r="D43" s="12" t="s">
        <v>230</v>
      </c>
      <c r="E43" s="12" t="s">
        <v>15</v>
      </c>
      <c r="F43" s="12" t="s">
        <v>145</v>
      </c>
    </row>
    <row r="44" customFormat="false" ht="23.25" hidden="false" customHeight="true" outlineLevel="0" collapsed="false">
      <c r="A44" s="12" t="n">
        <v>36</v>
      </c>
      <c r="B44" s="12" t="s">
        <v>228</v>
      </c>
      <c r="C44" s="12" t="s">
        <v>231</v>
      </c>
      <c r="D44" s="12" t="s">
        <v>232</v>
      </c>
      <c r="E44" s="12" t="s">
        <v>233</v>
      </c>
      <c r="F44" s="12" t="s">
        <v>145</v>
      </c>
    </row>
    <row r="45" customFormat="false" ht="23.25" hidden="false" customHeight="true" outlineLevel="0" collapsed="false">
      <c r="A45" s="12" t="n">
        <v>37</v>
      </c>
      <c r="B45" s="12" t="s">
        <v>228</v>
      </c>
      <c r="C45" s="12" t="s">
        <v>234</v>
      </c>
      <c r="D45" s="12" t="s">
        <v>235</v>
      </c>
      <c r="E45" s="12" t="s">
        <v>144</v>
      </c>
      <c r="F45" s="12" t="s">
        <v>145</v>
      </c>
    </row>
    <row r="46" customFormat="false" ht="23.25" hidden="false" customHeight="true" outlineLevel="0" collapsed="false">
      <c r="A46" s="12" t="n">
        <v>38</v>
      </c>
      <c r="B46" s="12" t="s">
        <v>228</v>
      </c>
      <c r="C46" s="12" t="s">
        <v>236</v>
      </c>
      <c r="D46" s="12"/>
      <c r="E46" s="12" t="s">
        <v>144</v>
      </c>
      <c r="F46" s="12" t="s">
        <v>145</v>
      </c>
    </row>
    <row r="47" customFormat="false" ht="23.25" hidden="false" customHeight="true" outlineLevel="0" collapsed="false">
      <c r="A47" s="12" t="n">
        <v>39</v>
      </c>
      <c r="B47" s="12" t="s">
        <v>228</v>
      </c>
      <c r="C47" s="12" t="s">
        <v>237</v>
      </c>
      <c r="D47" s="12" t="s">
        <v>238</v>
      </c>
      <c r="E47" s="12" t="s">
        <v>144</v>
      </c>
      <c r="F47" s="12" t="s">
        <v>145</v>
      </c>
    </row>
    <row r="48" customFormat="false" ht="15" hidden="false" customHeight="true" outlineLevel="0" collapsed="false">
      <c r="A48" s="10" t="s">
        <v>239</v>
      </c>
      <c r="B48" s="11"/>
      <c r="C48" s="11"/>
      <c r="D48" s="11"/>
      <c r="E48" s="11"/>
      <c r="F48" s="11"/>
    </row>
    <row r="49" customFormat="false" ht="15" hidden="false" customHeight="true" outlineLevel="0" collapsed="false">
      <c r="A49" s="12" t="n">
        <v>40</v>
      </c>
      <c r="B49" s="12" t="s">
        <v>240</v>
      </c>
      <c r="C49" s="12" t="s">
        <v>241</v>
      </c>
      <c r="D49" s="12" t="s">
        <v>242</v>
      </c>
      <c r="E49" s="12" t="s">
        <v>15</v>
      </c>
      <c r="F49" s="12" t="s">
        <v>145</v>
      </c>
    </row>
    <row r="50" customFormat="false" ht="23.25" hidden="false" customHeight="true" outlineLevel="0" collapsed="false">
      <c r="A50" s="12" t="n">
        <v>41</v>
      </c>
      <c r="B50" s="12" t="s">
        <v>240</v>
      </c>
      <c r="C50" s="12" t="s">
        <v>243</v>
      </c>
      <c r="D50" s="12" t="s">
        <v>244</v>
      </c>
      <c r="E50" s="12" t="s">
        <v>15</v>
      </c>
      <c r="F50" s="12" t="s">
        <v>145</v>
      </c>
    </row>
    <row r="51" customFormat="false" ht="15" hidden="false" customHeight="true" outlineLevel="0" collapsed="false">
      <c r="A51" s="12" t="n">
        <v>42</v>
      </c>
      <c r="B51" s="12" t="s">
        <v>240</v>
      </c>
      <c r="C51" s="12" t="s">
        <v>245</v>
      </c>
      <c r="D51" s="12"/>
      <c r="E51" s="12" t="s">
        <v>15</v>
      </c>
      <c r="F51" s="12" t="s">
        <v>145</v>
      </c>
    </row>
    <row r="52" customFormat="false" ht="34.5" hidden="false" customHeight="true" outlineLevel="0" collapsed="false">
      <c r="A52" s="12" t="n">
        <v>43</v>
      </c>
      <c r="B52" s="12" t="s">
        <v>240</v>
      </c>
      <c r="C52" s="12" t="s">
        <v>246</v>
      </c>
      <c r="D52" s="12" t="s">
        <v>247</v>
      </c>
      <c r="E52" s="12" t="s">
        <v>248</v>
      </c>
      <c r="F52" s="12" t="s">
        <v>145</v>
      </c>
    </row>
    <row r="53" customFormat="false" ht="15" hidden="false" customHeight="true" outlineLevel="0" collapsed="false">
      <c r="A53" s="10" t="s">
        <v>249</v>
      </c>
      <c r="B53" s="11"/>
      <c r="C53" s="11"/>
      <c r="D53" s="11"/>
      <c r="E53" s="11"/>
      <c r="F53" s="11"/>
    </row>
    <row r="54" customFormat="false" ht="15" hidden="false" customHeight="true" outlineLevel="0" collapsed="false">
      <c r="A54" s="12" t="n">
        <v>44</v>
      </c>
      <c r="B54" s="12" t="s">
        <v>250</v>
      </c>
      <c r="C54" s="12" t="s">
        <v>251</v>
      </c>
      <c r="D54" s="12"/>
      <c r="E54" s="12" t="s">
        <v>15</v>
      </c>
      <c r="F54" s="12" t="s">
        <v>145</v>
      </c>
    </row>
    <row r="55" customFormat="false" ht="34.5" hidden="false" customHeight="true" outlineLevel="0" collapsed="false">
      <c r="A55" s="12" t="n">
        <v>45</v>
      </c>
      <c r="B55" s="12" t="s">
        <v>250</v>
      </c>
      <c r="C55" s="12" t="s">
        <v>252</v>
      </c>
      <c r="D55" s="12" t="s">
        <v>253</v>
      </c>
      <c r="E55" s="12" t="s">
        <v>144</v>
      </c>
      <c r="F55" s="12" t="s">
        <v>145</v>
      </c>
    </row>
    <row r="56" customFormat="false" ht="23.25" hidden="false" customHeight="true" outlineLevel="0" collapsed="false">
      <c r="A56" s="12" t="n">
        <v>46</v>
      </c>
      <c r="B56" s="12" t="s">
        <v>250</v>
      </c>
      <c r="C56" s="12" t="s">
        <v>254</v>
      </c>
      <c r="D56" s="12" t="s">
        <v>255</v>
      </c>
      <c r="E56" s="12" t="s">
        <v>248</v>
      </c>
      <c r="F56" s="12" t="s">
        <v>145</v>
      </c>
    </row>
    <row r="57" customFormat="false" ht="15" hidden="false" customHeight="true" outlineLevel="0" collapsed="false">
      <c r="A57" s="10" t="s">
        <v>256</v>
      </c>
      <c r="B57" s="11"/>
      <c r="C57" s="11"/>
      <c r="D57" s="11"/>
      <c r="E57" s="11"/>
      <c r="F57" s="11"/>
    </row>
    <row r="58" customFormat="false" ht="23.25" hidden="false" customHeight="true" outlineLevel="0" collapsed="false">
      <c r="A58" s="12" t="n">
        <v>47</v>
      </c>
      <c r="B58" s="12" t="s">
        <v>257</v>
      </c>
      <c r="C58" s="12" t="s">
        <v>258</v>
      </c>
      <c r="D58" s="12" t="s">
        <v>259</v>
      </c>
      <c r="E58" s="12" t="s">
        <v>144</v>
      </c>
      <c r="F58" s="12" t="s">
        <v>145</v>
      </c>
    </row>
    <row r="59" customFormat="false" ht="34.5" hidden="false" customHeight="true" outlineLevel="0" collapsed="false">
      <c r="A59" s="12" t="n">
        <v>48</v>
      </c>
      <c r="B59" s="12" t="s">
        <v>257</v>
      </c>
      <c r="C59" s="12" t="s">
        <v>260</v>
      </c>
      <c r="D59" s="12" t="s">
        <v>261</v>
      </c>
      <c r="E59" s="12" t="s">
        <v>144</v>
      </c>
      <c r="F59" s="12" t="s">
        <v>145</v>
      </c>
    </row>
    <row r="60" customFormat="false" ht="45.75" hidden="false" customHeight="true" outlineLevel="0" collapsed="false">
      <c r="A60" s="12" t="n">
        <v>49</v>
      </c>
      <c r="B60" s="12" t="s">
        <v>257</v>
      </c>
      <c r="C60" s="12" t="s">
        <v>262</v>
      </c>
      <c r="D60" s="12" t="s">
        <v>263</v>
      </c>
      <c r="E60" s="12" t="s">
        <v>185</v>
      </c>
      <c r="F60" s="12" t="s">
        <v>145</v>
      </c>
    </row>
    <row r="61" customFormat="false" ht="23.25" hidden="false" customHeight="true" outlineLevel="0" collapsed="false">
      <c r="A61" s="12" t="n">
        <v>50</v>
      </c>
      <c r="B61" s="12" t="s">
        <v>257</v>
      </c>
      <c r="C61" s="12" t="s">
        <v>264</v>
      </c>
      <c r="D61" s="12"/>
      <c r="E61" s="12" t="s">
        <v>144</v>
      </c>
      <c r="F61" s="12" t="s">
        <v>145</v>
      </c>
    </row>
    <row r="62" customFormat="false" ht="34.5" hidden="false" customHeight="true" outlineLevel="0" collapsed="false">
      <c r="A62" s="12" t="n">
        <v>51</v>
      </c>
      <c r="B62" s="12" t="s">
        <v>257</v>
      </c>
      <c r="C62" s="12" t="s">
        <v>265</v>
      </c>
      <c r="D62" s="12"/>
      <c r="E62" s="12" t="s">
        <v>144</v>
      </c>
      <c r="F62" s="12" t="s">
        <v>145</v>
      </c>
    </row>
    <row r="63" customFormat="false" ht="34.5" hidden="false" customHeight="true" outlineLevel="0" collapsed="false">
      <c r="A63" s="12" t="n">
        <v>52</v>
      </c>
      <c r="B63" s="12" t="s">
        <v>257</v>
      </c>
      <c r="C63" s="12" t="s">
        <v>266</v>
      </c>
      <c r="D63" s="12" t="s">
        <v>267</v>
      </c>
      <c r="E63" s="12" t="s">
        <v>188</v>
      </c>
      <c r="F63" s="12" t="s">
        <v>145</v>
      </c>
    </row>
    <row r="64" customFormat="false" ht="23.25" hidden="false" customHeight="true" outlineLevel="0" collapsed="false">
      <c r="A64" s="12" t="n">
        <v>53</v>
      </c>
      <c r="B64" s="12" t="s">
        <v>257</v>
      </c>
      <c r="C64" s="12" t="s">
        <v>268</v>
      </c>
      <c r="D64" s="12" t="s">
        <v>269</v>
      </c>
      <c r="E64" s="12" t="s">
        <v>270</v>
      </c>
      <c r="F64" s="12" t="s">
        <v>145</v>
      </c>
    </row>
    <row r="65" customFormat="false" ht="23.25" hidden="false" customHeight="true" outlineLevel="0" collapsed="false">
      <c r="A65" s="12" t="n">
        <v>54</v>
      </c>
      <c r="B65" s="12" t="s">
        <v>257</v>
      </c>
      <c r="C65" s="12" t="s">
        <v>271</v>
      </c>
      <c r="D65" s="12" t="s">
        <v>272</v>
      </c>
      <c r="E65" s="12" t="s">
        <v>144</v>
      </c>
      <c r="F65" s="12" t="s">
        <v>145</v>
      </c>
    </row>
    <row r="66" customFormat="false" ht="23.25" hidden="false" customHeight="true" outlineLevel="0" collapsed="false">
      <c r="A66" s="12" t="n">
        <v>55</v>
      </c>
      <c r="B66" s="12" t="s">
        <v>257</v>
      </c>
      <c r="C66" s="12" t="s">
        <v>273</v>
      </c>
      <c r="D66" s="12" t="s">
        <v>274</v>
      </c>
      <c r="E66" s="12" t="s">
        <v>159</v>
      </c>
      <c r="F66" s="12" t="s">
        <v>145</v>
      </c>
    </row>
    <row r="67" customFormat="false" ht="23.25" hidden="false" customHeight="true" outlineLevel="0" collapsed="false">
      <c r="A67" s="13" t="n">
        <v>56</v>
      </c>
      <c r="B67" s="13" t="s">
        <v>257</v>
      </c>
      <c r="C67" s="13" t="s">
        <v>275</v>
      </c>
      <c r="D67" s="13" t="s">
        <v>276</v>
      </c>
      <c r="E67" s="13" t="s">
        <v>277</v>
      </c>
      <c r="F67" s="13" t="s">
        <v>278</v>
      </c>
    </row>
    <row r="68" customFormat="false" ht="23.25" hidden="false" customHeight="true" outlineLevel="0" collapsed="false">
      <c r="A68" s="12" t="n">
        <v>57</v>
      </c>
      <c r="B68" s="12" t="s">
        <v>257</v>
      </c>
      <c r="C68" s="12" t="s">
        <v>279</v>
      </c>
      <c r="D68" s="12"/>
      <c r="E68" s="12" t="s">
        <v>166</v>
      </c>
      <c r="F68" s="12" t="s">
        <v>145</v>
      </c>
    </row>
    <row r="69" customFormat="false" ht="34.5" hidden="false" customHeight="true" outlineLevel="0" collapsed="false">
      <c r="A69" s="12" t="n">
        <v>58</v>
      </c>
      <c r="B69" s="12" t="s">
        <v>257</v>
      </c>
      <c r="C69" s="12" t="s">
        <v>280</v>
      </c>
      <c r="D69" s="12" t="s">
        <v>281</v>
      </c>
      <c r="E69" s="12" t="s">
        <v>282</v>
      </c>
      <c r="F69" s="12" t="s">
        <v>145</v>
      </c>
    </row>
    <row r="70" customFormat="false" ht="23.25" hidden="false" customHeight="true" outlineLevel="0" collapsed="false">
      <c r="A70" s="12" t="n">
        <v>59</v>
      </c>
      <c r="B70" s="12" t="s">
        <v>257</v>
      </c>
      <c r="C70" s="12" t="s">
        <v>283</v>
      </c>
      <c r="D70" s="12"/>
      <c r="E70" s="12" t="s">
        <v>159</v>
      </c>
      <c r="F70" s="12" t="s">
        <v>145</v>
      </c>
    </row>
    <row r="71" customFormat="false" ht="15" hidden="false" customHeight="true" outlineLevel="0" collapsed="false">
      <c r="A71" s="10" t="s">
        <v>284</v>
      </c>
      <c r="B71" s="11"/>
      <c r="C71" s="11"/>
      <c r="D71" s="11"/>
      <c r="E71" s="11"/>
      <c r="F71" s="11"/>
    </row>
    <row r="72" customFormat="false" ht="34.5" hidden="false" customHeight="true" outlineLevel="0" collapsed="false">
      <c r="A72" s="12" t="n">
        <v>60</v>
      </c>
      <c r="B72" s="12" t="s">
        <v>285</v>
      </c>
      <c r="C72" s="12" t="s">
        <v>286</v>
      </c>
      <c r="D72" s="12" t="s">
        <v>287</v>
      </c>
      <c r="E72" s="12" t="s">
        <v>148</v>
      </c>
      <c r="F72" s="12" t="s">
        <v>145</v>
      </c>
    </row>
    <row r="73" customFormat="false" ht="34.5" hidden="false" customHeight="true" outlineLevel="0" collapsed="false">
      <c r="A73" s="12" t="n">
        <v>61</v>
      </c>
      <c r="B73" s="12" t="s">
        <v>285</v>
      </c>
      <c r="C73" s="12" t="s">
        <v>288</v>
      </c>
      <c r="D73" s="12" t="s">
        <v>289</v>
      </c>
      <c r="E73" s="12" t="s">
        <v>148</v>
      </c>
      <c r="F73" s="12" t="s">
        <v>145</v>
      </c>
    </row>
    <row r="74" customFormat="false" ht="23.25" hidden="false" customHeight="true" outlineLevel="0" collapsed="false">
      <c r="A74" s="12" t="n">
        <v>62</v>
      </c>
      <c r="B74" s="12" t="s">
        <v>216</v>
      </c>
      <c r="C74" s="12" t="s">
        <v>290</v>
      </c>
      <c r="D74" s="12" t="s">
        <v>291</v>
      </c>
      <c r="E74" s="12" t="s">
        <v>169</v>
      </c>
      <c r="F74" s="12" t="s">
        <v>145</v>
      </c>
    </row>
    <row r="75" customFormat="false" ht="34.5" hidden="false" customHeight="true" outlineLevel="0" collapsed="false">
      <c r="A75" s="12" t="n">
        <v>63</v>
      </c>
      <c r="B75" s="12" t="s">
        <v>257</v>
      </c>
      <c r="C75" s="12" t="s">
        <v>292</v>
      </c>
      <c r="D75" s="12" t="s">
        <v>293</v>
      </c>
      <c r="E75" s="12" t="s">
        <v>169</v>
      </c>
      <c r="F75" s="12" t="s">
        <v>145</v>
      </c>
    </row>
    <row r="76" customFormat="false" ht="23.25" hidden="false" customHeight="true" outlineLevel="0" collapsed="false">
      <c r="A76" s="12" t="n">
        <v>64</v>
      </c>
      <c r="B76" s="12" t="s">
        <v>294</v>
      </c>
      <c r="C76" s="12" t="s">
        <v>295</v>
      </c>
      <c r="D76" s="12" t="s">
        <v>296</v>
      </c>
      <c r="E76" s="12" t="s">
        <v>169</v>
      </c>
      <c r="F76" s="12" t="s">
        <v>145</v>
      </c>
    </row>
    <row r="77" customFormat="false" ht="23.25" hidden="false" customHeight="true" outlineLevel="0" collapsed="false">
      <c r="A77" s="12" t="n">
        <v>65</v>
      </c>
      <c r="B77" s="12" t="s">
        <v>297</v>
      </c>
      <c r="C77" s="12" t="s">
        <v>298</v>
      </c>
      <c r="D77" s="12" t="s">
        <v>299</v>
      </c>
      <c r="E77" s="12" t="s">
        <v>169</v>
      </c>
      <c r="F77" s="12" t="s">
        <v>145</v>
      </c>
    </row>
    <row r="78" customFormat="false" ht="23.25" hidden="false" customHeight="true" outlineLevel="0" collapsed="false">
      <c r="A78" s="12" t="n">
        <v>66</v>
      </c>
      <c r="B78" s="12" t="s">
        <v>257</v>
      </c>
      <c r="C78" s="12" t="s">
        <v>300</v>
      </c>
      <c r="D78" s="12" t="s">
        <v>301</v>
      </c>
      <c r="E78" s="12" t="s">
        <v>169</v>
      </c>
      <c r="F78" s="12" t="s">
        <v>145</v>
      </c>
    </row>
    <row r="79" customFormat="false" ht="15" hidden="false" customHeight="true" outlineLevel="0" collapsed="false">
      <c r="A79" s="10" t="s">
        <v>302</v>
      </c>
      <c r="B79" s="11"/>
      <c r="C79" s="11"/>
      <c r="D79" s="11"/>
      <c r="E79" s="11"/>
      <c r="F79" s="11"/>
    </row>
    <row r="80" customFormat="false" ht="45.75" hidden="false" customHeight="true" outlineLevel="0" collapsed="false">
      <c r="A80" s="12" t="n">
        <v>67</v>
      </c>
      <c r="B80" s="12" t="s">
        <v>141</v>
      </c>
      <c r="C80" s="12" t="s">
        <v>303</v>
      </c>
      <c r="D80" s="12" t="s">
        <v>304</v>
      </c>
      <c r="E80" s="12" t="s">
        <v>169</v>
      </c>
      <c r="F80" s="12" t="s">
        <v>145</v>
      </c>
    </row>
    <row r="81" customFormat="false" ht="45.75" hidden="false" customHeight="true" outlineLevel="0" collapsed="false">
      <c r="A81" s="12" t="n">
        <v>68</v>
      </c>
      <c r="B81" s="12" t="s">
        <v>172</v>
      </c>
      <c r="C81" s="12" t="s">
        <v>305</v>
      </c>
      <c r="D81" s="12" t="s">
        <v>306</v>
      </c>
      <c r="E81" s="12" t="s">
        <v>169</v>
      </c>
      <c r="F81" s="12" t="s">
        <v>145</v>
      </c>
    </row>
    <row r="82" customFormat="false" ht="34.5" hidden="false" customHeight="true" outlineLevel="0" collapsed="false">
      <c r="A82" s="12" t="n">
        <v>69</v>
      </c>
      <c r="B82" s="12" t="s">
        <v>172</v>
      </c>
      <c r="C82" s="12" t="s">
        <v>307</v>
      </c>
      <c r="D82" s="12" t="s">
        <v>308</v>
      </c>
      <c r="E82" s="12" t="s">
        <v>169</v>
      </c>
      <c r="F82" s="12" t="s">
        <v>145</v>
      </c>
    </row>
    <row r="83" customFormat="false" ht="23.25" hidden="false" customHeight="true" outlineLevel="0" collapsed="false">
      <c r="A83" s="12" t="n">
        <v>70</v>
      </c>
      <c r="B83" s="12" t="s">
        <v>172</v>
      </c>
      <c r="C83" s="12" t="s">
        <v>309</v>
      </c>
      <c r="D83" s="12" t="s">
        <v>310</v>
      </c>
      <c r="E83" s="12" t="s">
        <v>169</v>
      </c>
      <c r="F83" s="12" t="s">
        <v>145</v>
      </c>
    </row>
    <row r="84" customFormat="false" ht="34.5" hidden="false" customHeight="true" outlineLevel="0" collapsed="false">
      <c r="A84" s="12" t="n">
        <v>71</v>
      </c>
      <c r="B84" s="12" t="s">
        <v>216</v>
      </c>
      <c r="C84" s="12" t="s">
        <v>311</v>
      </c>
      <c r="D84" s="12" t="s">
        <v>312</v>
      </c>
      <c r="E84" s="12" t="s">
        <v>169</v>
      </c>
      <c r="F84" s="12" t="s">
        <v>145</v>
      </c>
    </row>
    <row r="85" customFormat="false" ht="23.25" hidden="false" customHeight="true" outlineLevel="0" collapsed="false">
      <c r="A85" s="12" t="n">
        <v>72</v>
      </c>
      <c r="B85" s="12" t="s">
        <v>216</v>
      </c>
      <c r="C85" s="12" t="s">
        <v>313</v>
      </c>
      <c r="D85" s="12" t="s">
        <v>314</v>
      </c>
      <c r="E85" s="12" t="s">
        <v>169</v>
      </c>
      <c r="F85" s="12" t="s">
        <v>145</v>
      </c>
    </row>
    <row r="86" customFormat="false" ht="23.25" hidden="false" customHeight="true" outlineLevel="0" collapsed="false">
      <c r="A86" s="12" t="n">
        <v>73</v>
      </c>
      <c r="B86" s="12" t="s">
        <v>257</v>
      </c>
      <c r="C86" s="12" t="s">
        <v>315</v>
      </c>
      <c r="D86" s="12" t="s">
        <v>316</v>
      </c>
      <c r="E86" s="12" t="s">
        <v>169</v>
      </c>
      <c r="F86" s="12" t="s">
        <v>145</v>
      </c>
    </row>
    <row r="87" customFormat="false" ht="34.5" hidden="false" customHeight="true" outlineLevel="0" collapsed="false">
      <c r="A87" s="12" t="n">
        <v>74</v>
      </c>
      <c r="B87" s="12" t="s">
        <v>257</v>
      </c>
      <c r="C87" s="12" t="s">
        <v>317</v>
      </c>
      <c r="D87" s="12" t="s">
        <v>318</v>
      </c>
      <c r="E87" s="12" t="s">
        <v>169</v>
      </c>
      <c r="F87" s="12" t="s">
        <v>145</v>
      </c>
    </row>
    <row r="88" customFormat="false" ht="23.25" hidden="false" customHeight="true" outlineLevel="0" collapsed="false">
      <c r="A88" s="12" t="n">
        <v>75</v>
      </c>
      <c r="B88" s="12" t="s">
        <v>257</v>
      </c>
      <c r="C88" s="12" t="s">
        <v>319</v>
      </c>
      <c r="D88" s="12" t="s">
        <v>320</v>
      </c>
      <c r="E88" s="12" t="s">
        <v>169</v>
      </c>
      <c r="F88" s="12" t="s">
        <v>145</v>
      </c>
    </row>
    <row r="89" customFormat="false" ht="34.5" hidden="false" customHeight="true" outlineLevel="0" collapsed="false">
      <c r="A89" s="12" t="n">
        <v>76</v>
      </c>
      <c r="B89" s="12" t="s">
        <v>257</v>
      </c>
      <c r="C89" s="12" t="s">
        <v>321</v>
      </c>
      <c r="D89" s="12" t="s">
        <v>322</v>
      </c>
      <c r="E89" s="12" t="s">
        <v>169</v>
      </c>
      <c r="F89" s="12" t="s">
        <v>145</v>
      </c>
    </row>
    <row r="90" customFormat="false" ht="34.5" hidden="false" customHeight="true" outlineLevel="0" collapsed="false">
      <c r="A90" s="12" t="n">
        <v>77</v>
      </c>
      <c r="B90" s="12" t="s">
        <v>257</v>
      </c>
      <c r="C90" s="12" t="s">
        <v>323</v>
      </c>
      <c r="D90" s="12" t="s">
        <v>324</v>
      </c>
      <c r="E90" s="12" t="s">
        <v>169</v>
      </c>
      <c r="F90" s="12" t="s">
        <v>145</v>
      </c>
    </row>
    <row r="91" customFormat="false" ht="23.25" hidden="false" customHeight="true" outlineLevel="0" collapsed="false">
      <c r="A91" s="12" t="n">
        <v>78</v>
      </c>
      <c r="B91" s="12" t="s">
        <v>172</v>
      </c>
      <c r="C91" s="12" t="s">
        <v>325</v>
      </c>
      <c r="D91" s="12" t="s">
        <v>326</v>
      </c>
      <c r="E91" s="12" t="s">
        <v>327</v>
      </c>
      <c r="F91" s="12" t="s">
        <v>328</v>
      </c>
    </row>
    <row r="92" customFormat="false" ht="15" hidden="false" customHeight="true" outlineLevel="0" collapsed="false">
      <c r="A92" s="12" t="n">
        <v>79</v>
      </c>
      <c r="B92" s="12" t="s">
        <v>228</v>
      </c>
      <c r="C92" s="12" t="s">
        <v>329</v>
      </c>
      <c r="D92" s="12" t="s">
        <v>330</v>
      </c>
      <c r="E92" s="12" t="s">
        <v>327</v>
      </c>
      <c r="F92" s="12" t="s">
        <v>331</v>
      </c>
    </row>
    <row r="93" customFormat="false" ht="34.5" hidden="false" customHeight="true" outlineLevel="0" collapsed="false">
      <c r="A93" s="12" t="n">
        <v>80</v>
      </c>
      <c r="B93" s="12" t="s">
        <v>257</v>
      </c>
      <c r="C93" s="12" t="s">
        <v>332</v>
      </c>
      <c r="D93" s="12" t="s">
        <v>333</v>
      </c>
      <c r="E93" s="12" t="s">
        <v>334</v>
      </c>
      <c r="F93" s="12" t="s">
        <v>328</v>
      </c>
    </row>
    <row r="94" customFormat="false" ht="23.25" hidden="false" customHeight="true" outlineLevel="0" collapsed="false">
      <c r="A94" s="12" t="n">
        <v>81</v>
      </c>
      <c r="B94" s="12" t="s">
        <v>257</v>
      </c>
      <c r="C94" s="12" t="s">
        <v>335</v>
      </c>
      <c r="D94" s="12" t="s">
        <v>336</v>
      </c>
      <c r="E94" s="12" t="s">
        <v>337</v>
      </c>
      <c r="F94" s="12" t="s">
        <v>338</v>
      </c>
    </row>
    <row r="95" customFormat="false" ht="23.25" hidden="false" customHeight="true" outlineLevel="0" collapsed="false">
      <c r="A95" s="12" t="n">
        <v>82</v>
      </c>
      <c r="B95" s="12" t="s">
        <v>257</v>
      </c>
      <c r="C95" s="12" t="s">
        <v>339</v>
      </c>
      <c r="D95" s="12" t="s">
        <v>340</v>
      </c>
      <c r="E95" s="12" t="s">
        <v>327</v>
      </c>
      <c r="F95" s="12" t="s">
        <v>328</v>
      </c>
    </row>
    <row r="96" customFormat="false" ht="34.5" hidden="false" customHeight="true" outlineLevel="0" collapsed="false">
      <c r="A96" s="12" t="n">
        <v>83</v>
      </c>
      <c r="B96" s="12" t="s">
        <v>228</v>
      </c>
      <c r="C96" s="12" t="s">
        <v>341</v>
      </c>
      <c r="D96" s="12" t="s">
        <v>342</v>
      </c>
      <c r="E96" s="12" t="s">
        <v>343</v>
      </c>
      <c r="F96" s="12" t="s">
        <v>145</v>
      </c>
    </row>
    <row r="97" customFormat="false" ht="23.25" hidden="false" customHeight="true" outlineLevel="0" collapsed="false">
      <c r="A97" s="12" t="n">
        <v>84</v>
      </c>
      <c r="B97" s="12" t="s">
        <v>257</v>
      </c>
      <c r="C97" s="12" t="s">
        <v>344</v>
      </c>
      <c r="D97" s="12" t="s">
        <v>345</v>
      </c>
      <c r="E97" s="12" t="s">
        <v>169</v>
      </c>
      <c r="F97" s="12" t="s">
        <v>145</v>
      </c>
    </row>
    <row r="98" customFormat="false" ht="23.25" hidden="false" customHeight="true" outlineLevel="0" collapsed="false">
      <c r="A98" s="12" t="n">
        <v>85</v>
      </c>
      <c r="B98" s="12" t="s">
        <v>141</v>
      </c>
      <c r="C98" s="12" t="s">
        <v>346</v>
      </c>
      <c r="D98" s="12" t="s">
        <v>347</v>
      </c>
      <c r="E98" s="12" t="s">
        <v>348</v>
      </c>
      <c r="F98" s="12" t="s">
        <v>349</v>
      </c>
    </row>
    <row r="99" customFormat="false" ht="23.25" hidden="false" customHeight="true" outlineLevel="0" collapsed="false">
      <c r="A99" s="12" t="n">
        <v>86</v>
      </c>
      <c r="B99" s="12" t="s">
        <v>172</v>
      </c>
      <c r="C99" s="12" t="s">
        <v>350</v>
      </c>
      <c r="D99" s="12" t="s">
        <v>351</v>
      </c>
      <c r="E99" s="12" t="s">
        <v>352</v>
      </c>
      <c r="F99" s="12" t="s">
        <v>349</v>
      </c>
    </row>
    <row r="100" customFormat="false" ht="23.25" hidden="false" customHeight="true" outlineLevel="0" collapsed="false">
      <c r="A100" s="12" t="n">
        <v>87</v>
      </c>
      <c r="B100" s="12" t="s">
        <v>257</v>
      </c>
      <c r="C100" s="12" t="s">
        <v>353</v>
      </c>
      <c r="D100" s="12" t="s">
        <v>354</v>
      </c>
      <c r="E100" s="12" t="s">
        <v>355</v>
      </c>
      <c r="F100" s="12" t="s">
        <v>356</v>
      </c>
    </row>
    <row r="101" customFormat="false" ht="23.25" hidden="false" customHeight="true" outlineLevel="0" collapsed="false">
      <c r="A101" s="12" t="n">
        <v>88</v>
      </c>
      <c r="B101" s="12" t="s">
        <v>257</v>
      </c>
      <c r="C101" s="12" t="s">
        <v>357</v>
      </c>
      <c r="D101" s="12" t="s">
        <v>358</v>
      </c>
      <c r="E101" s="12" t="s">
        <v>327</v>
      </c>
      <c r="F101" s="12" t="s">
        <v>349</v>
      </c>
    </row>
    <row r="102" customFormat="false" ht="34.5" hidden="false" customHeight="true" outlineLevel="0" collapsed="false">
      <c r="A102" s="12" t="n">
        <v>89</v>
      </c>
      <c r="B102" s="12" t="s">
        <v>216</v>
      </c>
      <c r="C102" s="12" t="s">
        <v>359</v>
      </c>
      <c r="D102" s="12" t="s">
        <v>360</v>
      </c>
      <c r="E102" s="12" t="s">
        <v>361</v>
      </c>
      <c r="F102" s="12" t="s">
        <v>349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40625" defaultRowHeight="14.25" zeroHeight="false" outlineLevelRow="0" outlineLevelCol="0"/>
  <cols>
    <col collapsed="false" customWidth="true" hidden="false" outlineLevel="0" max="1" min="1" style="1" width="14"/>
    <col collapsed="false" customWidth="true" hidden="false" outlineLevel="0" max="2" min="2" style="1" width="52"/>
    <col collapsed="false" customWidth="true" hidden="false" outlineLevel="0" max="3" min="3" style="1" width="72"/>
  </cols>
  <sheetData>
    <row r="1" customFormat="false" ht="23.25" hidden="false" customHeight="true" outlineLevel="0" collapsed="false">
      <c r="A1" s="14" t="s">
        <v>171</v>
      </c>
      <c r="B1" s="14"/>
      <c r="C1" s="14"/>
    </row>
    <row r="2" customFormat="false" ht="15" hidden="false" customHeight="true" outlineLevel="0" collapsed="false">
      <c r="A2" s="14" t="s">
        <v>362</v>
      </c>
      <c r="B2" s="14" t="s">
        <v>363</v>
      </c>
      <c r="C2" s="14" t="s">
        <v>364</v>
      </c>
    </row>
    <row r="3" customFormat="false" ht="15" hidden="false" customHeight="true" outlineLevel="0" collapsed="false">
      <c r="A3" s="3" t="s">
        <v>365</v>
      </c>
      <c r="B3" s="3" t="s">
        <v>366</v>
      </c>
      <c r="C3" s="3" t="s">
        <v>367</v>
      </c>
    </row>
    <row r="4" customFormat="false" ht="23.25" hidden="false" customHeight="true" outlineLevel="0" collapsed="false">
      <c r="A4" s="3" t="s">
        <v>368</v>
      </c>
      <c r="B4" s="3" t="s">
        <v>369</v>
      </c>
      <c r="C4" s="3" t="s">
        <v>370</v>
      </c>
    </row>
    <row r="5" customFormat="false" ht="15" hidden="false" customHeight="true" outlineLevel="0" collapsed="false">
      <c r="A5" s="3" t="s">
        <v>371</v>
      </c>
      <c r="B5" s="3" t="s">
        <v>372</v>
      </c>
      <c r="C5" s="3" t="s">
        <v>373</v>
      </c>
    </row>
    <row r="6" customFormat="false" ht="15" hidden="false" customHeight="true" outlineLevel="0" collapsed="false">
      <c r="A6" s="3" t="s">
        <v>374</v>
      </c>
      <c r="B6" s="3" t="s">
        <v>375</v>
      </c>
      <c r="C6" s="3" t="s">
        <v>376</v>
      </c>
    </row>
    <row r="7" customFormat="false" ht="23.25" hidden="false" customHeight="true" outlineLevel="0" collapsed="false">
      <c r="A7" s="3" t="s">
        <v>377</v>
      </c>
      <c r="B7" s="3" t="s">
        <v>378</v>
      </c>
      <c r="C7" s="3" t="s">
        <v>379</v>
      </c>
    </row>
    <row r="8" customFormat="false" ht="23.25" hidden="false" customHeight="true" outlineLevel="0" collapsed="false">
      <c r="A8" s="3" t="s">
        <v>380</v>
      </c>
      <c r="B8" s="3" t="s">
        <v>381</v>
      </c>
      <c r="C8" s="3" t="s">
        <v>382</v>
      </c>
    </row>
    <row r="9" customFormat="false" ht="15" hidden="false" customHeight="true" outlineLevel="0" collapsed="false">
      <c r="A9" s="3" t="s">
        <v>383</v>
      </c>
      <c r="B9" s="3" t="s">
        <v>384</v>
      </c>
      <c r="C9" s="3" t="s">
        <v>385</v>
      </c>
    </row>
    <row r="10" customFormat="false" ht="15" hidden="false" customHeight="true" outlineLevel="0" collapsed="false">
      <c r="A10" s="3" t="s">
        <v>386</v>
      </c>
      <c r="B10" s="3" t="s">
        <v>387</v>
      </c>
      <c r="C10" s="3" t="s">
        <v>388</v>
      </c>
    </row>
    <row r="11" customFormat="false" ht="15" hidden="false" customHeight="true" outlineLevel="0" collapsed="false">
      <c r="A11" s="14" t="s">
        <v>389</v>
      </c>
      <c r="B11" s="3" t="s">
        <v>390</v>
      </c>
      <c r="C11" s="3" t="s">
        <v>391</v>
      </c>
    </row>
    <row r="12" customFormat="false" ht="34.5" hidden="false" customHeight="true" outlineLevel="0" collapsed="false">
      <c r="A12" s="14" t="s">
        <v>392</v>
      </c>
      <c r="B12" s="3" t="s">
        <v>393</v>
      </c>
      <c r="C12" s="3" t="s">
        <v>394</v>
      </c>
    </row>
    <row r="13" customFormat="false" ht="23.25" hidden="false" customHeight="true" outlineLevel="0" collapsed="false">
      <c r="A13" s="14" t="s">
        <v>395</v>
      </c>
      <c r="B13" s="3" t="s">
        <v>396</v>
      </c>
      <c r="C13" s="3" t="s">
        <v>397</v>
      </c>
    </row>
    <row r="14" customFormat="false" ht="15" hidden="false" customHeight="true" outlineLevel="0" collapsed="false">
      <c r="A14" s="14" t="s">
        <v>398</v>
      </c>
      <c r="B14" s="3" t="s">
        <v>399</v>
      </c>
      <c r="C14" s="3" t="s">
        <v>400</v>
      </c>
    </row>
    <row r="15" customFormat="false" ht="15" hidden="false" customHeight="true" outlineLevel="0" collapsed="false">
      <c r="A15" s="3"/>
      <c r="B15" s="3"/>
      <c r="C15" s="3"/>
    </row>
    <row r="16" customFormat="false" ht="23.25" hidden="false" customHeight="true" outlineLevel="0" collapsed="false">
      <c r="A16" s="3" t="s">
        <v>401</v>
      </c>
      <c r="B16" s="3" t="s">
        <v>402</v>
      </c>
      <c r="C16" s="3" t="s">
        <v>403</v>
      </c>
    </row>
    <row r="17" customFormat="false" ht="15" hidden="false" customHeight="true" outlineLevel="0" collapsed="false">
      <c r="A17" s="3" t="s">
        <v>401</v>
      </c>
      <c r="B17" s="3" t="s">
        <v>404</v>
      </c>
      <c r="C17" s="3" t="s">
        <v>405</v>
      </c>
    </row>
    <row r="18" customFormat="false" ht="15" hidden="false" customHeight="true" outlineLevel="0" collapsed="false">
      <c r="A18" s="3" t="s">
        <v>401</v>
      </c>
      <c r="B18" s="3" t="s">
        <v>406</v>
      </c>
      <c r="C18" s="3" t="s">
        <v>407</v>
      </c>
    </row>
    <row r="19" customFormat="false" ht="23.25" hidden="false" customHeight="true" outlineLevel="0" collapsed="false">
      <c r="A19" s="3"/>
      <c r="B19" s="3"/>
      <c r="C19" s="3"/>
    </row>
    <row r="20" customFormat="false" ht="15" hidden="false" customHeight="true" outlineLevel="0" collapsed="false">
      <c r="A20" s="14" t="s">
        <v>408</v>
      </c>
      <c r="B20" s="14"/>
      <c r="C20" s="14"/>
    </row>
    <row r="21" customFormat="false" ht="15" hidden="false" customHeight="true" outlineLevel="0" collapsed="false">
      <c r="A21" s="3" t="s">
        <v>409</v>
      </c>
      <c r="B21" s="3" t="s">
        <v>410</v>
      </c>
      <c r="C21" s="3" t="s">
        <v>411</v>
      </c>
    </row>
    <row r="22" customFormat="false" ht="23.25" hidden="false" customHeight="true" outlineLevel="0" collapsed="false">
      <c r="A22" s="3" t="s">
        <v>409</v>
      </c>
      <c r="B22" s="3" t="s">
        <v>412</v>
      </c>
      <c r="C22" s="3"/>
    </row>
    <row r="23" customFormat="false" ht="15" hidden="false" customHeight="true" outlineLevel="0" collapsed="false">
      <c r="A23" s="3" t="s">
        <v>413</v>
      </c>
      <c r="B23" s="3" t="s">
        <v>414</v>
      </c>
      <c r="C23" s="3" t="s">
        <v>415</v>
      </c>
    </row>
    <row r="24" customFormat="false" ht="45.75" hidden="false" customHeight="true" outlineLevel="0" collapsed="false">
      <c r="A24" s="3" t="s">
        <v>413</v>
      </c>
      <c r="B24" s="3" t="s">
        <v>416</v>
      </c>
      <c r="C24" s="3"/>
    </row>
    <row r="25" customFormat="false" ht="15" hidden="false" customHeight="true" outlineLevel="0" collapsed="false">
      <c r="A25" s="3" t="s">
        <v>413</v>
      </c>
      <c r="B25" s="3" t="s">
        <v>417</v>
      </c>
      <c r="C25" s="3"/>
    </row>
    <row r="26" customFormat="false" ht="23.25" hidden="false" customHeight="true" outlineLevel="0" collapsed="false">
      <c r="A26" s="3" t="s">
        <v>413</v>
      </c>
      <c r="B26" s="3" t="s">
        <v>418</v>
      </c>
      <c r="C26" s="3"/>
    </row>
    <row r="27" customFormat="false" ht="15" hidden="false" customHeight="true" outlineLevel="0" collapsed="false">
      <c r="A27" s="3" t="s">
        <v>419</v>
      </c>
      <c r="B27" s="3" t="s">
        <v>420</v>
      </c>
      <c r="C27" s="3" t="s">
        <v>421</v>
      </c>
    </row>
    <row r="28" customFormat="false" ht="23.25" hidden="false" customHeight="true" outlineLevel="0" collapsed="false">
      <c r="A28" s="3" t="s">
        <v>422</v>
      </c>
      <c r="B28" s="3" t="s">
        <v>423</v>
      </c>
      <c r="C28" s="3" t="s">
        <v>424</v>
      </c>
    </row>
    <row r="29" customFormat="false" ht="14.25" hidden="false" customHeight="true" outlineLevel="0" collapsed="false">
      <c r="A29" s="3" t="s">
        <v>425</v>
      </c>
      <c r="B29" s="3" t="s">
        <v>426</v>
      </c>
      <c r="C29" s="3" t="s">
        <v>427</v>
      </c>
    </row>
    <row r="30" customFormat="false" ht="34.5" hidden="false" customHeight="true" outlineLevel="0" collapsed="false">
      <c r="A30" s="3" t="s">
        <v>428</v>
      </c>
      <c r="B30" s="3" t="s">
        <v>429</v>
      </c>
      <c r="C30" s="3" t="s">
        <v>430</v>
      </c>
    </row>
    <row r="31" customFormat="false" ht="23.25" hidden="false" customHeight="true" outlineLevel="0" collapsed="false">
      <c r="A31" s="3"/>
      <c r="B31" s="3"/>
      <c r="C31" s="3"/>
    </row>
    <row r="32" customFormat="false" ht="23.25" hidden="false" customHeight="true" outlineLevel="0" collapsed="false">
      <c r="A32" s="14" t="s">
        <v>431</v>
      </c>
      <c r="B32" s="14" t="s">
        <v>432</v>
      </c>
      <c r="C32" s="14"/>
    </row>
    <row r="33" customFormat="false" ht="15" hidden="false" customHeight="true" outlineLevel="0" collapsed="false"/>
    <row r="34" customFormat="false" ht="15" hidden="false" customHeight="true" outlineLevel="0" collapsed="false">
      <c r="A34" s="14" t="s">
        <v>433</v>
      </c>
      <c r="B34" s="14"/>
      <c r="C34" s="14"/>
    </row>
    <row r="35" customFormat="false" ht="23.25" hidden="false" customHeight="true" outlineLevel="0" collapsed="false">
      <c r="A35" s="3" t="s">
        <v>434</v>
      </c>
      <c r="B35" s="3" t="s">
        <v>435</v>
      </c>
      <c r="C35" s="3" t="s">
        <v>436</v>
      </c>
    </row>
    <row r="36" customFormat="false" ht="34.5" hidden="false" customHeight="true" outlineLevel="0" collapsed="false">
      <c r="A36" s="3" t="s">
        <v>37</v>
      </c>
      <c r="B36" s="3" t="s">
        <v>437</v>
      </c>
      <c r="C36" s="3" t="s">
        <v>438</v>
      </c>
    </row>
    <row r="37" customFormat="false" ht="34.5" hidden="false" customHeight="true" outlineLevel="0" collapsed="false">
      <c r="A37" s="3" t="s">
        <v>33</v>
      </c>
      <c r="B37" s="3" t="s">
        <v>439</v>
      </c>
      <c r="C37" s="3" t="s">
        <v>440</v>
      </c>
    </row>
    <row r="38" customFormat="false" ht="15" hidden="false" customHeight="true" outlineLevel="0" collapsed="false">
      <c r="A38" s="3" t="s">
        <v>39</v>
      </c>
      <c r="B38" s="3" t="s">
        <v>441</v>
      </c>
      <c r="C38" s="3" t="s">
        <v>442</v>
      </c>
    </row>
    <row r="39" customFormat="false" ht="34.5" hidden="false" customHeight="true" outlineLevel="0" collapsed="false"/>
    <row r="40" customFormat="false" ht="23.25" hidden="false" customHeight="true" outlineLevel="0" collapsed="false">
      <c r="A40" s="14" t="s">
        <v>443</v>
      </c>
      <c r="B40" s="14"/>
      <c r="C40" s="14"/>
    </row>
    <row r="41" customFormat="false" ht="45.75" hidden="false" customHeight="true" outlineLevel="0" collapsed="false">
      <c r="A41" s="3" t="s">
        <v>136</v>
      </c>
      <c r="B41" s="3" t="s">
        <v>444</v>
      </c>
      <c r="C41" s="3" t="s">
        <v>445</v>
      </c>
    </row>
    <row r="42" customFormat="false" ht="34.5" hidden="false" customHeight="true" outlineLevel="0" collapsed="false">
      <c r="A42" s="3" t="s">
        <v>446</v>
      </c>
      <c r="B42" s="3" t="s">
        <v>447</v>
      </c>
      <c r="C42" s="3" t="s">
        <v>448</v>
      </c>
    </row>
    <row r="43" customFormat="false" ht="34.5" hidden="false" customHeight="true" outlineLevel="0" collapsed="false">
      <c r="A43" s="3" t="s">
        <v>449</v>
      </c>
      <c r="B43" s="3" t="s">
        <v>450</v>
      </c>
      <c r="C43" s="3" t="s">
        <v>451</v>
      </c>
    </row>
    <row r="44" customFormat="false" ht="34.5" hidden="false" customHeight="true" outlineLevel="0" collapsed="false"/>
    <row r="45" customFormat="false" ht="34.5" hidden="false" customHeight="true" outlineLevel="0" collapsed="false">
      <c r="A45" s="15" t="s">
        <v>452</v>
      </c>
      <c r="B45" s="14"/>
      <c r="C45" s="14"/>
    </row>
    <row r="46" customFormat="false" ht="45.75" hidden="false" customHeight="true" outlineLevel="0" collapsed="false">
      <c r="A46" s="3" t="s">
        <v>453</v>
      </c>
      <c r="B46" s="3" t="s">
        <v>454</v>
      </c>
      <c r="C46" s="3" t="s">
        <v>455</v>
      </c>
    </row>
    <row r="47" customFormat="false" ht="34.5" hidden="false" customHeight="true" outlineLevel="0" collapsed="false">
      <c r="A47" s="3" t="s">
        <v>145</v>
      </c>
      <c r="B47" s="3" t="s">
        <v>456</v>
      </c>
      <c r="C47" s="3" t="s">
        <v>457</v>
      </c>
    </row>
    <row r="48" customFormat="false" ht="23.25" hidden="false" customHeight="true" outlineLevel="0" collapsed="false">
      <c r="A48" s="3" t="s">
        <v>458</v>
      </c>
      <c r="B48" s="3" t="s">
        <v>459</v>
      </c>
      <c r="C48" s="3" t="s">
        <v>460</v>
      </c>
    </row>
    <row r="49" customFormat="false" ht="34.5" hidden="false" customHeight="true" outlineLevel="0" collapsed="false"/>
    <row r="50" customFormat="false" ht="34.5" hidden="false" customHeight="true" outlineLevel="0" collapsed="false">
      <c r="A50" s="14" t="s">
        <v>461</v>
      </c>
      <c r="B50" s="14"/>
      <c r="C50" s="14"/>
    </row>
    <row r="51" customFormat="false" ht="23.25" hidden="false" customHeight="true" outlineLevel="0" collapsed="false">
      <c r="A51" s="3" t="s">
        <v>462</v>
      </c>
      <c r="B51" s="3" t="s">
        <v>463</v>
      </c>
      <c r="C51" s="3" t="s">
        <v>464</v>
      </c>
    </row>
    <row r="52" customFormat="false" ht="23.25" hidden="false" customHeight="true" outlineLevel="0" collapsed="false">
      <c r="A52" s="3" t="s">
        <v>465</v>
      </c>
      <c r="B52" s="3" t="s">
        <v>466</v>
      </c>
      <c r="C52" s="3" t="s">
        <v>467</v>
      </c>
    </row>
    <row r="53" customFormat="false" ht="23.25" hidden="false" customHeight="true" outlineLevel="0" collapsed="false">
      <c r="A53" s="3" t="s">
        <v>468</v>
      </c>
      <c r="B53" s="3" t="s">
        <v>469</v>
      </c>
      <c r="C53" s="3" t="s">
        <v>470</v>
      </c>
    </row>
    <row r="54" customFormat="false" ht="34.5" hidden="false" customHeight="true" outlineLevel="0" collapsed="false"/>
    <row r="55" customFormat="false" ht="23.25" hidden="false" customHeight="true" outlineLevel="0" collapsed="false">
      <c r="A55" s="14" t="s">
        <v>471</v>
      </c>
      <c r="B55" s="14"/>
      <c r="C55" s="14"/>
    </row>
    <row r="56" customFormat="false" ht="45.75" hidden="false" customHeight="true" outlineLevel="0" collapsed="false">
      <c r="A56" s="3" t="s">
        <v>472</v>
      </c>
      <c r="B56" s="3" t="s">
        <v>473</v>
      </c>
      <c r="C56" s="3" t="s">
        <v>474</v>
      </c>
    </row>
    <row r="57" customFormat="false" ht="34.5" hidden="false" customHeight="true" outlineLevel="0" collapsed="false">
      <c r="A57" s="3" t="s">
        <v>475</v>
      </c>
      <c r="B57" s="3" t="s">
        <v>476</v>
      </c>
      <c r="C57" s="3" t="s">
        <v>477</v>
      </c>
    </row>
    <row r="58" customFormat="false" ht="23.25" hidden="false" customHeight="true" outlineLevel="0" collapsed="false">
      <c r="A58" s="3" t="s">
        <v>478</v>
      </c>
      <c r="B58" s="3" t="s">
        <v>479</v>
      </c>
      <c r="C58" s="3" t="s">
        <v>480</v>
      </c>
    </row>
    <row r="59" customFormat="false" ht="45.75" hidden="false" customHeight="true" outlineLevel="0" collapsed="false"/>
    <row r="60" customFormat="false" ht="34.5" hidden="false" customHeight="true" outlineLevel="0" collapsed="false">
      <c r="A60" s="14" t="s">
        <v>481</v>
      </c>
      <c r="B60" s="14"/>
      <c r="C60" s="14"/>
    </row>
    <row r="61" customFormat="false" ht="34.5" hidden="false" customHeight="true" outlineLevel="0" collapsed="false">
      <c r="A61" s="3" t="s">
        <v>482</v>
      </c>
      <c r="B61" s="3" t="s">
        <v>483</v>
      </c>
      <c r="C61" s="3" t="s">
        <v>484</v>
      </c>
    </row>
    <row r="62" customFormat="false" ht="45.75" hidden="false" customHeight="true" outlineLevel="0" collapsed="false">
      <c r="A62" s="3" t="s">
        <v>485</v>
      </c>
      <c r="B62" s="3" t="s">
        <v>486</v>
      </c>
      <c r="C62" s="3" t="s">
        <v>487</v>
      </c>
    </row>
    <row r="63" customFormat="false" ht="57" hidden="false" customHeight="true" outlineLevel="0" collapsed="false">
      <c r="A63" s="3" t="s">
        <v>488</v>
      </c>
      <c r="B63" s="3" t="s">
        <v>489</v>
      </c>
      <c r="C63" s="3" t="s">
        <v>490</v>
      </c>
    </row>
    <row r="65" customFormat="false" ht="15" hidden="false" customHeight="true" outlineLevel="0" collapsed="false">
      <c r="A65" s="14" t="s">
        <v>491</v>
      </c>
      <c r="B65" s="14"/>
      <c r="C65" s="14"/>
    </row>
    <row r="66" customFormat="false" ht="15" hidden="false" customHeight="true" outlineLevel="0" collapsed="false">
      <c r="A66" s="3" t="s">
        <v>492</v>
      </c>
      <c r="B66" s="3" t="s">
        <v>493</v>
      </c>
      <c r="C66" s="3" t="s">
        <v>494</v>
      </c>
    </row>
    <row r="67" customFormat="false" ht="15" hidden="false" customHeight="true" outlineLevel="0" collapsed="false">
      <c r="A67" s="3" t="s">
        <v>495</v>
      </c>
      <c r="B67" s="3" t="s">
        <v>496</v>
      </c>
      <c r="C67" s="3" t="s">
        <v>497</v>
      </c>
    </row>
    <row r="69" customFormat="false" ht="15" hidden="false" customHeight="true" outlineLevel="0" collapsed="false">
      <c r="A69" s="16" t="s">
        <v>498</v>
      </c>
    </row>
    <row r="70" customFormat="false" ht="15" hidden="false" customHeight="true" outlineLevel="0" collapsed="false">
      <c r="A70" s="4" t="s">
        <v>499</v>
      </c>
      <c r="B70" s="5" t="s">
        <v>500</v>
      </c>
      <c r="C70" s="5" t="s">
        <v>501</v>
      </c>
    </row>
    <row r="71" customFormat="false" ht="15" hidden="false" customHeight="true" outlineLevel="0" collapsed="false">
      <c r="A71" s="4" t="s">
        <v>502</v>
      </c>
      <c r="B71" s="5" t="s">
        <v>503</v>
      </c>
      <c r="C71" s="5" t="s">
        <v>504</v>
      </c>
    </row>
    <row r="73" customFormat="false" ht="15" hidden="false" customHeight="true" outlineLevel="0" collapsed="false">
      <c r="A73" s="16" t="s">
        <v>505</v>
      </c>
    </row>
    <row r="74" customFormat="false" ht="15" hidden="false" customHeight="true" outlineLevel="0" collapsed="false">
      <c r="A74" s="4" t="s">
        <v>506</v>
      </c>
      <c r="B74" s="5" t="s">
        <v>507</v>
      </c>
      <c r="C74" s="5" t="s">
        <v>508</v>
      </c>
    </row>
    <row r="75" customFormat="false" ht="15" hidden="false" customHeight="true" outlineLevel="0" collapsed="false">
      <c r="A75" s="4" t="s">
        <v>509</v>
      </c>
      <c r="B75" s="5" t="s">
        <v>510</v>
      </c>
      <c r="C75" s="5" t="s">
        <v>511</v>
      </c>
    </row>
    <row r="76" customFormat="false" ht="15" hidden="false" customHeight="true" outlineLevel="0" collapsed="false"/>
    <row r="77" customFormat="false" ht="14.25" hidden="false" customHeight="true" outlineLevel="0" collapsed="false">
      <c r="A77" s="17" t="s">
        <v>512</v>
      </c>
      <c r="B77" s="17"/>
      <c r="C77" s="17"/>
    </row>
    <row r="78" customFormat="false" ht="14.25" hidden="false" customHeight="true" outlineLevel="0" collapsed="false">
      <c r="A78" s="18" t="s">
        <v>136</v>
      </c>
      <c r="B78" s="5" t="s">
        <v>513</v>
      </c>
      <c r="C78" s="5" t="s">
        <v>514</v>
      </c>
    </row>
    <row r="79" customFormat="false" ht="14.25" hidden="false" customHeight="true" outlineLevel="0" collapsed="false">
      <c r="A79" s="18" t="s">
        <v>515</v>
      </c>
      <c r="B79" s="5" t="s">
        <v>516</v>
      </c>
      <c r="C79" s="5" t="s">
        <v>517</v>
      </c>
    </row>
    <row r="80" customFormat="false" ht="14.25" hidden="false" customHeight="true" outlineLevel="0" collapsed="false">
      <c r="A80" s="18" t="s">
        <v>518</v>
      </c>
      <c r="B80" s="5" t="s">
        <v>519</v>
      </c>
      <c r="C80" s="5" t="s">
        <v>520</v>
      </c>
    </row>
    <row r="82" customFormat="false" ht="14.25" hidden="false" customHeight="true" outlineLevel="0" collapsed="false">
      <c r="A82" s="17" t="s">
        <v>521</v>
      </c>
      <c r="B82" s="17"/>
      <c r="C82" s="17"/>
    </row>
    <row r="83" customFormat="false" ht="14.25" hidden="false" customHeight="true" outlineLevel="0" collapsed="false">
      <c r="A83" s="18" t="s">
        <v>522</v>
      </c>
      <c r="B83" s="5" t="s">
        <v>523</v>
      </c>
      <c r="C83" s="5" t="s">
        <v>524</v>
      </c>
    </row>
    <row r="84" customFormat="false" ht="14.25" hidden="false" customHeight="true" outlineLevel="0" collapsed="false">
      <c r="A84" s="18" t="s">
        <v>525</v>
      </c>
      <c r="B84" s="5" t="s">
        <v>526</v>
      </c>
      <c r="C84" s="5" t="s">
        <v>527</v>
      </c>
    </row>
    <row r="85" customFormat="false" ht="14.25" hidden="false" customHeight="true" outlineLevel="0" collapsed="false">
      <c r="A85" s="18" t="s">
        <v>528</v>
      </c>
      <c r="B85" s="5" t="s">
        <v>529</v>
      </c>
      <c r="C85" s="5" t="s">
        <v>530</v>
      </c>
    </row>
    <row r="86" customFormat="false" ht="14.25" hidden="false" customHeight="true" outlineLevel="0" collapsed="false">
      <c r="A86" s="18" t="s">
        <v>531</v>
      </c>
      <c r="B86" s="5" t="s">
        <v>532</v>
      </c>
      <c r="C86" s="5" t="s">
        <v>533</v>
      </c>
    </row>
    <row r="87" customFormat="false" ht="14.25" hidden="false" customHeight="true" outlineLevel="0" collapsed="false">
      <c r="A87" s="18" t="s">
        <v>534</v>
      </c>
      <c r="B87" s="5" t="s">
        <v>535</v>
      </c>
      <c r="C87" s="5" t="s">
        <v>536</v>
      </c>
    </row>
    <row r="88" customFormat="false" ht="14.25" hidden="false" customHeight="true" outlineLevel="0" collapsed="false">
      <c r="A88" s="18" t="s">
        <v>537</v>
      </c>
      <c r="B88" s="5" t="s">
        <v>538</v>
      </c>
      <c r="C88" s="5" t="s">
        <v>539</v>
      </c>
    </row>
    <row r="89" customFormat="false" ht="14.25" hidden="false" customHeight="true" outlineLevel="0" collapsed="false">
      <c r="A89" s="18" t="s">
        <v>540</v>
      </c>
      <c r="B89" s="5" t="s">
        <v>541</v>
      </c>
      <c r="C89" s="5"/>
    </row>
    <row r="90" customFormat="false" ht="14.25" hidden="false" customHeight="true" outlineLevel="0" collapsed="false">
      <c r="A90" s="18" t="s">
        <v>542</v>
      </c>
      <c r="B90" s="5" t="s">
        <v>543</v>
      </c>
      <c r="C90" s="5" t="s">
        <v>544</v>
      </c>
    </row>
    <row r="91" customFormat="false" ht="14.25" hidden="false" customHeight="true" outlineLevel="0" collapsed="false">
      <c r="A91" s="18" t="s">
        <v>545</v>
      </c>
      <c r="B91" s="5" t="s">
        <v>546</v>
      </c>
      <c r="C91" s="5" t="s">
        <v>547</v>
      </c>
    </row>
    <row r="92" customFormat="false" ht="14.25" hidden="false" customHeight="true" outlineLevel="0" collapsed="false">
      <c r="A92" s="18" t="s">
        <v>548</v>
      </c>
      <c r="B92" s="5" t="s">
        <v>549</v>
      </c>
      <c r="C92" s="5" t="s">
        <v>550</v>
      </c>
    </row>
    <row r="93" customFormat="false" ht="14.25" hidden="false" customHeight="true" outlineLevel="0" collapsed="false">
      <c r="A93" s="18" t="s">
        <v>551</v>
      </c>
      <c r="B93" s="5" t="s">
        <v>552</v>
      </c>
      <c r="C93" s="5" t="s">
        <v>553</v>
      </c>
    </row>
    <row r="94" customFormat="false" ht="14.25" hidden="false" customHeight="true" outlineLevel="0" collapsed="false">
      <c r="A94" s="18" t="s">
        <v>554</v>
      </c>
      <c r="B94" s="5" t="s">
        <v>555</v>
      </c>
      <c r="C94" s="5" t="s">
        <v>556</v>
      </c>
    </row>
    <row r="95" customFormat="false" ht="14.25" hidden="false" customHeight="true" outlineLevel="0" collapsed="false">
      <c r="A95" s="18" t="s">
        <v>557</v>
      </c>
      <c r="B95" s="5" t="s">
        <v>558</v>
      </c>
      <c r="C95" s="5"/>
    </row>
    <row r="96" customFormat="false" ht="14.25" hidden="false" customHeight="true" outlineLevel="0" collapsed="false">
      <c r="A96" s="18" t="s">
        <v>559</v>
      </c>
      <c r="B96" s="5" t="s">
        <v>560</v>
      </c>
      <c r="C96" s="5" t="s">
        <v>561</v>
      </c>
    </row>
    <row r="97" customFormat="false" ht="14.25" hidden="false" customHeight="true" outlineLevel="0" collapsed="false">
      <c r="A97" s="18" t="s">
        <v>562</v>
      </c>
      <c r="B97" s="5" t="s">
        <v>563</v>
      </c>
      <c r="C97" s="5" t="s">
        <v>564</v>
      </c>
    </row>
    <row r="98" customFormat="false" ht="14.25" hidden="false" customHeight="true" outlineLevel="0" collapsed="false">
      <c r="A98" s="18" t="s">
        <v>565</v>
      </c>
      <c r="B98" s="5" t="s">
        <v>566</v>
      </c>
      <c r="C98" s="5"/>
    </row>
    <row r="99" customFormat="false" ht="14.25" hidden="false" customHeight="true" outlineLevel="0" collapsed="false">
      <c r="A99" s="18" t="s">
        <v>567</v>
      </c>
      <c r="B99" s="5" t="s">
        <v>568</v>
      </c>
      <c r="C99" s="5" t="s">
        <v>569</v>
      </c>
    </row>
    <row r="100" customFormat="false" ht="14.25" hidden="false" customHeight="true" outlineLevel="0" collapsed="false">
      <c r="A100" s="18" t="s">
        <v>570</v>
      </c>
      <c r="B100" s="5" t="s">
        <v>571</v>
      </c>
      <c r="C100" s="5"/>
    </row>
    <row r="101" customFormat="false" ht="14.25" hidden="false" customHeight="true" outlineLevel="0" collapsed="false">
      <c r="A101" s="18" t="s">
        <v>572</v>
      </c>
      <c r="B101" s="5" t="s">
        <v>573</v>
      </c>
      <c r="C101" s="5" t="s">
        <v>574</v>
      </c>
    </row>
    <row r="102" customFormat="false" ht="14.25" hidden="false" customHeight="true" outlineLevel="0" collapsed="false">
      <c r="A102" s="18" t="s">
        <v>575</v>
      </c>
      <c r="B102" s="5" t="s">
        <v>576</v>
      </c>
      <c r="C102" s="5"/>
    </row>
    <row r="103" customFormat="false" ht="14.25" hidden="false" customHeight="true" outlineLevel="0" collapsed="false">
      <c r="A103" s="18" t="s">
        <v>577</v>
      </c>
      <c r="B103" s="5" t="s">
        <v>578</v>
      </c>
      <c r="C103" s="5" t="s">
        <v>579</v>
      </c>
    </row>
    <row r="104" customFormat="false" ht="14.25" hidden="false" customHeight="true" outlineLevel="0" collapsed="false">
      <c r="A104" s="18" t="s">
        <v>580</v>
      </c>
      <c r="B104" s="5" t="s">
        <v>581</v>
      </c>
      <c r="C104" s="5" t="s">
        <v>582</v>
      </c>
    </row>
    <row r="105" customFormat="false" ht="14.25" hidden="false" customHeight="true" outlineLevel="0" collapsed="false">
      <c r="A105" s="18" t="s">
        <v>583</v>
      </c>
      <c r="B105" s="5" t="s">
        <v>584</v>
      </c>
      <c r="C105" s="5" t="s">
        <v>585</v>
      </c>
    </row>
    <row r="106" customFormat="false" ht="14.25" hidden="false" customHeight="true" outlineLevel="0" collapsed="false">
      <c r="A106" s="18" t="s">
        <v>586</v>
      </c>
      <c r="B106" s="5" t="s">
        <v>587</v>
      </c>
      <c r="C106" s="5" t="s">
        <v>588</v>
      </c>
    </row>
    <row r="107" customFormat="false" ht="14.25" hidden="false" customHeight="true" outlineLevel="0" collapsed="false">
      <c r="A107" s="18" t="s">
        <v>589</v>
      </c>
      <c r="B107" s="5" t="s">
        <v>590</v>
      </c>
      <c r="C107" s="5" t="s">
        <v>591</v>
      </c>
    </row>
    <row r="108" customFormat="false" ht="14.25" hidden="false" customHeight="true" outlineLevel="0" collapsed="false">
      <c r="A108" s="18" t="s">
        <v>592</v>
      </c>
      <c r="B108" s="5" t="s">
        <v>593</v>
      </c>
      <c r="C108" s="5" t="s">
        <v>594</v>
      </c>
    </row>
    <row r="109" customFormat="false" ht="14.25" hidden="false" customHeight="true" outlineLevel="0" collapsed="false">
      <c r="A109" s="18" t="s">
        <v>595</v>
      </c>
      <c r="B109" s="5" t="s">
        <v>596</v>
      </c>
      <c r="C109" s="5" t="s">
        <v>597</v>
      </c>
    </row>
    <row r="110" customFormat="false" ht="14.25" hidden="false" customHeight="true" outlineLevel="0" collapsed="false">
      <c r="A110" s="18" t="s">
        <v>598</v>
      </c>
      <c r="B110" s="5" t="s">
        <v>599</v>
      </c>
      <c r="C110" s="5" t="s">
        <v>600</v>
      </c>
    </row>
    <row r="111" customFormat="false" ht="14.25" hidden="false" customHeight="true" outlineLevel="0" collapsed="false">
      <c r="A111" s="18" t="s">
        <v>601</v>
      </c>
      <c r="B111" s="5" t="s">
        <v>602</v>
      </c>
      <c r="C111" s="5" t="s">
        <v>603</v>
      </c>
    </row>
    <row r="112" customFormat="false" ht="14.25" hidden="false" customHeight="true" outlineLevel="0" collapsed="false">
      <c r="A112" s="18" t="s">
        <v>604</v>
      </c>
      <c r="B112" s="5" t="s">
        <v>605</v>
      </c>
      <c r="C112" s="5" t="s">
        <v>606</v>
      </c>
    </row>
    <row r="113" customFormat="false" ht="14.25" hidden="false" customHeight="true" outlineLevel="0" collapsed="false">
      <c r="A113" s="18" t="s">
        <v>607</v>
      </c>
      <c r="B113" s="5" t="s">
        <v>608</v>
      </c>
      <c r="C113" s="5" t="s">
        <v>609</v>
      </c>
    </row>
    <row r="114" customFormat="false" ht="14.25" hidden="false" customHeight="true" outlineLevel="0" collapsed="false">
      <c r="A114" s="18" t="s">
        <v>610</v>
      </c>
      <c r="B114" s="5" t="s">
        <v>611</v>
      </c>
      <c r="C114" s="5" t="s">
        <v>612</v>
      </c>
    </row>
    <row r="115" customFormat="false" ht="14.25" hidden="false" customHeight="true" outlineLevel="0" collapsed="false">
      <c r="A115" s="18" t="s">
        <v>122</v>
      </c>
      <c r="B115" s="5" t="s">
        <v>613</v>
      </c>
      <c r="C115" s="5" t="s">
        <v>614</v>
      </c>
    </row>
    <row r="116" customFormat="false" ht="14.25" hidden="false" customHeight="true" outlineLevel="0" collapsed="false">
      <c r="A116" s="18" t="s">
        <v>615</v>
      </c>
      <c r="B116" s="5" t="s">
        <v>616</v>
      </c>
      <c r="C116" s="5" t="s">
        <v>617</v>
      </c>
    </row>
    <row r="117" customFormat="false" ht="14.25" hidden="false" customHeight="true" outlineLevel="0" collapsed="false">
      <c r="A117" s="18" t="s">
        <v>618</v>
      </c>
      <c r="B117" s="5" t="s">
        <v>619</v>
      </c>
      <c r="C117" s="5" t="s">
        <v>620</v>
      </c>
    </row>
    <row r="118" customFormat="false" ht="14.25" hidden="false" customHeight="true" outlineLevel="0" collapsed="false">
      <c r="A118" s="18" t="s">
        <v>621</v>
      </c>
      <c r="B118" s="5" t="s">
        <v>622</v>
      </c>
      <c r="C118" s="5" t="s">
        <v>623</v>
      </c>
    </row>
    <row r="119" customFormat="false" ht="14.25" hidden="false" customHeight="true" outlineLevel="0" collapsed="false">
      <c r="A119" s="18" t="s">
        <v>624</v>
      </c>
      <c r="B119" s="5" t="s">
        <v>625</v>
      </c>
      <c r="C119" s="5" t="s">
        <v>626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1" width="24"/>
    <col collapsed="false" customWidth="true" hidden="false" outlineLevel="0" max="2" min="2" style="1" width="60"/>
    <col collapsed="false" customWidth="true" hidden="false" outlineLevel="0" max="3" min="3" style="1" width="55"/>
    <col collapsed="false" customWidth="true" hidden="false" outlineLevel="0" max="4" min="4" style="1" width="16"/>
    <col collapsed="false" customWidth="true" hidden="false" outlineLevel="0" max="5" min="5" style="1" width="50"/>
    <col collapsed="false" customWidth="true" hidden="false" outlineLevel="0" max="6" min="6" style="1" width="34"/>
  </cols>
  <sheetData>
    <row r="1" customFormat="false" ht="15" hidden="false" customHeight="true" outlineLevel="0" collapsed="false">
      <c r="A1" s="19" t="s">
        <v>627</v>
      </c>
      <c r="B1" s="19" t="s">
        <v>628</v>
      </c>
      <c r="C1" s="19" t="s">
        <v>629</v>
      </c>
      <c r="D1" s="19" t="s">
        <v>630</v>
      </c>
      <c r="E1" s="19" t="s">
        <v>631</v>
      </c>
      <c r="F1" s="19" t="s">
        <v>632</v>
      </c>
    </row>
    <row r="2" customFormat="false" ht="23.25" hidden="false" customHeight="true" outlineLevel="0" collapsed="false">
      <c r="A2" s="3" t="s">
        <v>37</v>
      </c>
      <c r="B2" s="3" t="s">
        <v>633</v>
      </c>
      <c r="C2" s="3" t="s">
        <v>634</v>
      </c>
      <c r="D2" s="3" t="s">
        <v>635</v>
      </c>
      <c r="E2" s="3" t="s">
        <v>636</v>
      </c>
      <c r="F2" s="3" t="s">
        <v>637</v>
      </c>
    </row>
    <row r="3" customFormat="false" ht="23.25" hidden="false" customHeight="true" outlineLevel="0" collapsed="false">
      <c r="A3" s="3" t="s">
        <v>35</v>
      </c>
      <c r="B3" s="3" t="s">
        <v>638</v>
      </c>
      <c r="C3" s="3" t="s">
        <v>639</v>
      </c>
      <c r="D3" s="3" t="s">
        <v>640</v>
      </c>
      <c r="E3" s="3" t="s">
        <v>641</v>
      </c>
      <c r="F3" s="3" t="s">
        <v>642</v>
      </c>
    </row>
    <row r="4" customFormat="false" ht="23.25" hidden="false" customHeight="true" outlineLevel="0" collapsed="false">
      <c r="A4" s="3" t="s">
        <v>643</v>
      </c>
      <c r="B4" s="3" t="s">
        <v>644</v>
      </c>
      <c r="C4" s="3" t="s">
        <v>645</v>
      </c>
      <c r="D4" s="3" t="s">
        <v>646</v>
      </c>
      <c r="E4" s="3" t="s">
        <v>647</v>
      </c>
      <c r="F4" s="3" t="s">
        <v>648</v>
      </c>
    </row>
    <row r="5" customFormat="false" ht="23.25" hidden="false" customHeight="true" outlineLevel="0" collapsed="false">
      <c r="A5" s="3" t="s">
        <v>649</v>
      </c>
      <c r="B5" s="3" t="s">
        <v>650</v>
      </c>
      <c r="C5" s="3" t="s">
        <v>651</v>
      </c>
      <c r="D5" s="3" t="s">
        <v>652</v>
      </c>
      <c r="E5" s="3" t="s">
        <v>653</v>
      </c>
      <c r="F5" s="3" t="s">
        <v>654</v>
      </c>
    </row>
    <row r="6" customFormat="false" ht="15" hidden="false" customHeight="true" outlineLevel="0" collapsed="false">
      <c r="A6" s="3" t="s">
        <v>655</v>
      </c>
      <c r="B6" s="3" t="s">
        <v>656</v>
      </c>
      <c r="C6" s="3" t="s">
        <v>657</v>
      </c>
      <c r="D6" s="3" t="s">
        <v>646</v>
      </c>
      <c r="E6" s="3" t="s">
        <v>658</v>
      </c>
      <c r="F6" s="3"/>
    </row>
    <row r="7" customFormat="false" ht="23.25" hidden="false" customHeight="true" outlineLevel="0" collapsed="false">
      <c r="A7" s="3" t="s">
        <v>659</v>
      </c>
      <c r="B7" s="3" t="s">
        <v>660</v>
      </c>
      <c r="C7" s="3" t="s">
        <v>661</v>
      </c>
      <c r="D7" s="3" t="s">
        <v>635</v>
      </c>
      <c r="E7" s="3" t="s">
        <v>662</v>
      </c>
      <c r="F7" s="3"/>
    </row>
    <row r="8" customFormat="false" ht="23.25" hidden="false" customHeight="true" outlineLevel="0" collapsed="false">
      <c r="A8" s="3" t="s">
        <v>663</v>
      </c>
      <c r="B8" s="3" t="s">
        <v>664</v>
      </c>
      <c r="C8" s="3" t="s">
        <v>665</v>
      </c>
      <c r="D8" s="3" t="s">
        <v>666</v>
      </c>
      <c r="E8" s="3" t="s">
        <v>667</v>
      </c>
      <c r="F8" s="3" t="s">
        <v>668</v>
      </c>
    </row>
    <row r="9" customFormat="false" ht="15" hidden="false" customHeight="true" outlineLevel="0" collapsed="false">
      <c r="A9" s="3" t="s">
        <v>669</v>
      </c>
      <c r="B9" s="3" t="s">
        <v>670</v>
      </c>
      <c r="C9" s="3" t="s">
        <v>671</v>
      </c>
      <c r="D9" s="3" t="s">
        <v>672</v>
      </c>
      <c r="E9" s="3" t="s">
        <v>673</v>
      </c>
      <c r="F9" s="3" t="s">
        <v>674</v>
      </c>
    </row>
    <row r="10" customFormat="false" ht="15" hidden="false" customHeight="true" outlineLevel="0" collapsed="false">
      <c r="A10" s="3" t="s">
        <v>675</v>
      </c>
      <c r="B10" s="3" t="s">
        <v>676</v>
      </c>
      <c r="C10" s="3" t="s">
        <v>677</v>
      </c>
      <c r="D10" s="3" t="s">
        <v>678</v>
      </c>
      <c r="E10" s="3" t="s">
        <v>679</v>
      </c>
      <c r="F10" s="3"/>
    </row>
    <row r="11" customFormat="false" ht="15" hidden="false" customHeight="true" outlineLevel="0" collapsed="false">
      <c r="A11" s="3" t="s">
        <v>680</v>
      </c>
      <c r="B11" s="3" t="s">
        <v>681</v>
      </c>
      <c r="C11" s="3" t="s">
        <v>682</v>
      </c>
      <c r="D11" s="3" t="s">
        <v>683</v>
      </c>
      <c r="E11" s="3" t="s">
        <v>684</v>
      </c>
      <c r="F11" s="3" t="s">
        <v>685</v>
      </c>
    </row>
    <row r="12" customFormat="false" ht="15" hidden="false" customHeight="true" outlineLevel="0" collapsed="false">
      <c r="A12" s="3" t="s">
        <v>686</v>
      </c>
      <c r="B12" s="3" t="s">
        <v>687</v>
      </c>
      <c r="C12" s="3" t="s">
        <v>688</v>
      </c>
      <c r="D12" s="3" t="s">
        <v>635</v>
      </c>
      <c r="E12" s="3" t="s">
        <v>689</v>
      </c>
      <c r="F12" s="3" t="s">
        <v>685</v>
      </c>
    </row>
    <row r="13" customFormat="false" ht="15" hidden="false" customHeight="true" outlineLevel="0" collapsed="false">
      <c r="A13" s="3" t="s">
        <v>690</v>
      </c>
      <c r="B13" s="3" t="s">
        <v>691</v>
      </c>
      <c r="C13" s="3" t="s">
        <v>692</v>
      </c>
      <c r="D13" s="3" t="s">
        <v>635</v>
      </c>
      <c r="E13" s="3" t="s">
        <v>693</v>
      </c>
      <c r="F13" s="3" t="s">
        <v>685</v>
      </c>
    </row>
    <row r="14" customFormat="false" ht="15" hidden="false" customHeight="true" outlineLevel="0" collapsed="false">
      <c r="A14" s="3" t="s">
        <v>694</v>
      </c>
      <c r="B14" s="3" t="s">
        <v>695</v>
      </c>
      <c r="C14" s="3" t="s">
        <v>696</v>
      </c>
      <c r="D14" s="3" t="s">
        <v>635</v>
      </c>
      <c r="E14" s="3" t="s">
        <v>697</v>
      </c>
      <c r="F14" s="3" t="s">
        <v>685</v>
      </c>
    </row>
    <row r="15" customFormat="false" ht="15" hidden="false" customHeight="true" outlineLevel="0" collapsed="false">
      <c r="A15" s="3" t="s">
        <v>698</v>
      </c>
      <c r="B15" s="3" t="s">
        <v>699</v>
      </c>
      <c r="C15" s="3" t="s">
        <v>700</v>
      </c>
      <c r="D15" s="3" t="s">
        <v>701</v>
      </c>
      <c r="E15" s="3" t="s">
        <v>702</v>
      </c>
      <c r="F15" s="3" t="s">
        <v>703</v>
      </c>
    </row>
    <row r="16" customFormat="false" ht="23.25" hidden="false" customHeight="true" outlineLevel="0" collapsed="false">
      <c r="A16" s="3" t="s">
        <v>704</v>
      </c>
      <c r="B16" s="3" t="s">
        <v>705</v>
      </c>
      <c r="C16" s="3" t="s">
        <v>706</v>
      </c>
      <c r="D16" s="3" t="s">
        <v>707</v>
      </c>
      <c r="E16" s="3" t="s">
        <v>708</v>
      </c>
      <c r="F16" s="3" t="s">
        <v>654</v>
      </c>
    </row>
    <row r="17" customFormat="false" ht="15" hidden="false" customHeight="true" outlineLevel="0" collapsed="false">
      <c r="A17" s="3" t="s">
        <v>709</v>
      </c>
      <c r="B17" s="3" t="s">
        <v>710</v>
      </c>
      <c r="C17" s="3" t="s">
        <v>711</v>
      </c>
      <c r="D17" s="3" t="s">
        <v>712</v>
      </c>
      <c r="E17" s="3" t="s">
        <v>713</v>
      </c>
      <c r="F17" s="3" t="s">
        <v>714</v>
      </c>
    </row>
    <row r="18" customFormat="false" ht="15" hidden="false" customHeight="true" outlineLevel="0" collapsed="false">
      <c r="A18" s="3" t="s">
        <v>715</v>
      </c>
      <c r="B18" s="3" t="s">
        <v>716</v>
      </c>
      <c r="C18" s="3" t="s">
        <v>717</v>
      </c>
      <c r="D18" s="3" t="s">
        <v>683</v>
      </c>
      <c r="E18" s="3" t="s">
        <v>718</v>
      </c>
      <c r="F18" s="3" t="s">
        <v>719</v>
      </c>
    </row>
    <row r="19" customFormat="false" ht="15" hidden="false" customHeight="true" outlineLevel="0" collapsed="false">
      <c r="A19" s="3" t="s">
        <v>720</v>
      </c>
      <c r="B19" s="3" t="s">
        <v>721</v>
      </c>
      <c r="C19" s="3" t="s">
        <v>722</v>
      </c>
      <c r="D19" s="3" t="s">
        <v>646</v>
      </c>
      <c r="E19" s="3" t="s">
        <v>723</v>
      </c>
      <c r="F19" s="3"/>
    </row>
    <row r="20" customFormat="false" ht="23.25" hidden="false" customHeight="true" outlineLevel="0" collapsed="false">
      <c r="A20" s="3" t="s">
        <v>724</v>
      </c>
      <c r="B20" s="3" t="s">
        <v>725</v>
      </c>
      <c r="C20" s="3" t="s">
        <v>726</v>
      </c>
      <c r="D20" s="3" t="s">
        <v>727</v>
      </c>
      <c r="E20" s="3" t="s">
        <v>728</v>
      </c>
      <c r="F20" s="3"/>
    </row>
    <row r="21" customFormat="false" ht="15" hidden="false" customHeight="true" outlineLevel="0" collapsed="false">
      <c r="A21" s="3" t="s">
        <v>729</v>
      </c>
      <c r="B21" s="3" t="s">
        <v>730</v>
      </c>
      <c r="C21" s="3" t="s">
        <v>731</v>
      </c>
      <c r="D21" s="3" t="s">
        <v>732</v>
      </c>
      <c r="E21" s="3" t="s">
        <v>733</v>
      </c>
      <c r="F21" s="3" t="s">
        <v>734</v>
      </c>
    </row>
    <row r="22" customFormat="false" ht="15" hidden="false" customHeight="true" outlineLevel="0" collapsed="false">
      <c r="A22" s="3" t="s">
        <v>735</v>
      </c>
      <c r="B22" s="3" t="s">
        <v>736</v>
      </c>
      <c r="C22" s="3" t="s">
        <v>737</v>
      </c>
      <c r="D22" s="3" t="s">
        <v>666</v>
      </c>
      <c r="E22" s="3" t="s">
        <v>738</v>
      </c>
      <c r="F22" s="3"/>
    </row>
    <row r="23" customFormat="false" ht="15" hidden="false" customHeight="true" outlineLevel="0" collapsed="false">
      <c r="A23" s="3" t="s">
        <v>739</v>
      </c>
      <c r="B23" s="3" t="s">
        <v>740</v>
      </c>
      <c r="C23" s="3" t="s">
        <v>741</v>
      </c>
      <c r="D23" s="3" t="s">
        <v>742</v>
      </c>
      <c r="E23" s="3" t="s">
        <v>743</v>
      </c>
      <c r="F23" s="3"/>
    </row>
    <row r="24" customFormat="false" ht="23.25" hidden="false" customHeight="true" outlineLevel="0" collapsed="false">
      <c r="A24" s="3" t="s">
        <v>744</v>
      </c>
      <c r="B24" s="3" t="s">
        <v>745</v>
      </c>
      <c r="C24" s="3" t="s">
        <v>746</v>
      </c>
      <c r="D24" s="3" t="s">
        <v>732</v>
      </c>
      <c r="E24" s="3" t="s">
        <v>747</v>
      </c>
      <c r="F24" s="3" t="s">
        <v>748</v>
      </c>
    </row>
    <row r="25" customFormat="false" ht="23.25" hidden="false" customHeight="true" outlineLevel="0" collapsed="false">
      <c r="A25" s="3" t="s">
        <v>749</v>
      </c>
      <c r="B25" s="3" t="s">
        <v>750</v>
      </c>
      <c r="C25" s="3" t="s">
        <v>751</v>
      </c>
      <c r="D25" s="3" t="s">
        <v>752</v>
      </c>
      <c r="E25" s="3" t="s">
        <v>753</v>
      </c>
      <c r="F25" s="3" t="s">
        <v>748</v>
      </c>
    </row>
    <row r="26" customFormat="false" ht="23.25" hidden="false" customHeight="true" outlineLevel="0" collapsed="false">
      <c r="A26" s="3" t="s">
        <v>754</v>
      </c>
      <c r="B26" s="3" t="s">
        <v>755</v>
      </c>
      <c r="C26" s="3" t="s">
        <v>756</v>
      </c>
      <c r="D26" s="3" t="s">
        <v>727</v>
      </c>
      <c r="E26" s="3" t="s">
        <v>757</v>
      </c>
      <c r="F26" s="3" t="s">
        <v>748</v>
      </c>
    </row>
    <row r="27" customFormat="false" ht="15" hidden="false" customHeight="true" outlineLevel="0" collapsed="false">
      <c r="A27" s="3" t="s">
        <v>758</v>
      </c>
      <c r="B27" s="3" t="s">
        <v>759</v>
      </c>
      <c r="C27" s="3" t="s">
        <v>760</v>
      </c>
      <c r="D27" s="3" t="s">
        <v>761</v>
      </c>
      <c r="E27" s="3" t="s">
        <v>762</v>
      </c>
      <c r="F27" s="3" t="s">
        <v>748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R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2"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7" min="6" style="1" width="30"/>
    <col collapsed="false" customWidth="true" hidden="false" outlineLevel="0" max="9" min="8" style="1" width="20"/>
    <col collapsed="false" customWidth="true" hidden="false" outlineLevel="0" max="32" min="10" style="1" width="11"/>
    <col collapsed="false" customWidth="true" hidden="false" outlineLevel="0" max="33" min="33" style="1" width="30"/>
    <col collapsed="false" customWidth="true" hidden="false" outlineLevel="0" max="38" min="34" style="1" width="11"/>
    <col collapsed="false" customWidth="true" hidden="false" outlineLevel="0" max="43" min="39" style="1" width="30"/>
    <col collapsed="false" customWidth="true" hidden="false" outlineLevel="0" max="44" min="44" style="1" width="26"/>
  </cols>
  <sheetData>
    <row r="1" customFormat="false" ht="45.75" hidden="false" customHeight="true" outlineLevel="0" collapsed="false">
      <c r="A1" s="20" t="s">
        <v>55</v>
      </c>
      <c r="B1" s="20" t="s">
        <v>56</v>
      </c>
      <c r="C1" s="20" t="s">
        <v>57</v>
      </c>
      <c r="D1" s="20" t="s">
        <v>58</v>
      </c>
      <c r="E1" s="20" t="s">
        <v>59</v>
      </c>
      <c r="F1" s="20" t="s">
        <v>763</v>
      </c>
      <c r="G1" s="20" t="s">
        <v>764</v>
      </c>
      <c r="H1" s="20" t="s">
        <v>60</v>
      </c>
      <c r="I1" s="20" t="s">
        <v>61</v>
      </c>
      <c r="J1" s="20" t="s">
        <v>62</v>
      </c>
      <c r="K1" s="20" t="s">
        <v>63</v>
      </c>
      <c r="L1" s="20" t="s">
        <v>765</v>
      </c>
      <c r="M1" s="20" t="s">
        <v>766</v>
      </c>
      <c r="N1" s="20" t="s">
        <v>767</v>
      </c>
      <c r="O1" s="20" t="s">
        <v>64</v>
      </c>
      <c r="P1" s="20" t="s">
        <v>768</v>
      </c>
      <c r="Q1" s="20" t="s">
        <v>65</v>
      </c>
      <c r="R1" s="20" t="s">
        <v>769</v>
      </c>
      <c r="S1" s="20" t="s">
        <v>66</v>
      </c>
      <c r="T1" s="20" t="s">
        <v>67</v>
      </c>
      <c r="U1" s="20" t="s">
        <v>770</v>
      </c>
      <c r="V1" s="21" t="s">
        <v>771</v>
      </c>
      <c r="W1" s="21" t="s">
        <v>772</v>
      </c>
      <c r="X1" s="21" t="s">
        <v>73</v>
      </c>
      <c r="Y1" s="21" t="s">
        <v>75</v>
      </c>
      <c r="Z1" s="21" t="s">
        <v>773</v>
      </c>
      <c r="AA1" s="21" t="s">
        <v>774</v>
      </c>
      <c r="AB1" s="21" t="s">
        <v>775</v>
      </c>
      <c r="AC1" s="21" t="s">
        <v>776</v>
      </c>
      <c r="AD1" s="21" t="s">
        <v>777</v>
      </c>
      <c r="AE1" s="21" t="s">
        <v>778</v>
      </c>
      <c r="AF1" s="21" t="s">
        <v>74</v>
      </c>
      <c r="AG1" s="22" t="s">
        <v>779</v>
      </c>
      <c r="AH1" s="22" t="s">
        <v>780</v>
      </c>
      <c r="AI1" s="22" t="s">
        <v>781</v>
      </c>
      <c r="AJ1" s="22" t="s">
        <v>782</v>
      </c>
      <c r="AK1" s="22" t="s">
        <v>783</v>
      </c>
      <c r="AL1" s="22" t="s">
        <v>784</v>
      </c>
      <c r="AM1" s="22" t="s">
        <v>785</v>
      </c>
      <c r="AN1" s="22" t="s">
        <v>786</v>
      </c>
      <c r="AO1" s="22" t="s">
        <v>787</v>
      </c>
      <c r="AP1" s="22" t="s">
        <v>788</v>
      </c>
      <c r="AQ1" s="22" t="s">
        <v>789</v>
      </c>
      <c r="AR1" s="22" t="s">
        <v>790</v>
      </c>
    </row>
    <row r="2" customFormat="false" ht="15" hidden="false" customHeight="true" outlineLevel="0" collapsed="false">
      <c r="A2" s="5" t="n">
        <v>164</v>
      </c>
      <c r="B2" s="5" t="n">
        <v>164</v>
      </c>
      <c r="C2" s="5" t="s">
        <v>791</v>
      </c>
      <c r="D2" s="5" t="n">
        <v>2000</v>
      </c>
      <c r="E2" s="5" t="s">
        <v>792</v>
      </c>
      <c r="F2" s="5" t="s">
        <v>793</v>
      </c>
      <c r="G2" s="5" t="s">
        <v>794</v>
      </c>
      <c r="H2" s="5" t="s">
        <v>795</v>
      </c>
      <c r="I2" s="5" t="s">
        <v>796</v>
      </c>
      <c r="J2" s="5"/>
      <c r="K2" s="5"/>
      <c r="L2" s="5"/>
      <c r="M2" s="5"/>
      <c r="N2" s="5" t="s">
        <v>797</v>
      </c>
      <c r="O2" s="5" t="s">
        <v>798</v>
      </c>
      <c r="P2" s="5" t="s">
        <v>799</v>
      </c>
      <c r="Q2" s="5" t="s">
        <v>800</v>
      </c>
      <c r="R2" s="5" t="s">
        <v>801</v>
      </c>
      <c r="S2" s="5" t="s">
        <v>802</v>
      </c>
      <c r="T2" s="5"/>
      <c r="U2" s="5"/>
      <c r="V2" s="5"/>
      <c r="W2" s="5"/>
      <c r="X2" s="5"/>
      <c r="Y2" s="5"/>
      <c r="Z2" s="5"/>
      <c r="AA2" s="5"/>
      <c r="AB2" s="5"/>
      <c r="AC2" s="5"/>
      <c r="AD2" s="5"/>
      <c r="AE2" s="5"/>
      <c r="AF2" s="5"/>
      <c r="AG2" s="5" t="s">
        <v>803</v>
      </c>
      <c r="AH2" s="5"/>
      <c r="AI2" s="5"/>
      <c r="AJ2" s="5" t="s">
        <v>804</v>
      </c>
      <c r="AK2" s="5" t="n">
        <v>26</v>
      </c>
      <c r="AL2" s="5" t="n">
        <v>33</v>
      </c>
      <c r="AM2" s="5" t="s">
        <v>805</v>
      </c>
      <c r="AN2" s="5" t="s">
        <v>806</v>
      </c>
      <c r="AO2" s="5" t="s">
        <v>807</v>
      </c>
      <c r="AP2" s="5" t="s">
        <v>808</v>
      </c>
      <c r="AQ2" s="5" t="s">
        <v>809</v>
      </c>
      <c r="AR2" s="23" t="s">
        <v>810</v>
      </c>
    </row>
    <row r="3" customFormat="false" ht="15" hidden="false" customHeight="true" outlineLevel="0" collapsed="false">
      <c r="A3" s="5" t="n">
        <v>165</v>
      </c>
      <c r="B3" s="5" t="n">
        <v>165</v>
      </c>
      <c r="C3" s="5" t="s">
        <v>811</v>
      </c>
      <c r="D3" s="5" t="n">
        <v>2012</v>
      </c>
      <c r="E3" s="5" t="s">
        <v>812</v>
      </c>
      <c r="F3" s="5" t="s">
        <v>813</v>
      </c>
      <c r="G3" s="5" t="s">
        <v>814</v>
      </c>
      <c r="H3" s="5" t="s">
        <v>815</v>
      </c>
      <c r="I3" s="5" t="s">
        <v>816</v>
      </c>
      <c r="J3" s="5" t="n">
        <v>28.633</v>
      </c>
      <c r="K3" s="5" t="n">
        <v>77.183</v>
      </c>
      <c r="L3" s="5" t="s">
        <v>817</v>
      </c>
      <c r="M3" s="5" t="s">
        <v>818</v>
      </c>
      <c r="N3" s="5" t="s">
        <v>819</v>
      </c>
      <c r="O3" s="5" t="s">
        <v>83</v>
      </c>
      <c r="P3" s="5" t="n">
        <v>2006</v>
      </c>
      <c r="Q3" s="5" t="s">
        <v>820</v>
      </c>
      <c r="R3" s="5" t="n">
        <v>2</v>
      </c>
      <c r="S3" s="5" t="s">
        <v>821</v>
      </c>
      <c r="T3" s="5" t="s">
        <v>85</v>
      </c>
      <c r="U3" s="5" t="s">
        <v>822</v>
      </c>
      <c r="V3" s="5" t="n">
        <v>52.06</v>
      </c>
      <c r="W3" s="5" t="n">
        <v>22.54</v>
      </c>
      <c r="X3" s="5" t="n">
        <v>25.4</v>
      </c>
      <c r="Y3" s="5" t="n">
        <v>8.16</v>
      </c>
      <c r="Z3" s="5" t="n">
        <v>5.2</v>
      </c>
      <c r="AA3" s="5" t="n">
        <v>1.5</v>
      </c>
      <c r="AB3" s="5"/>
      <c r="AC3" s="5"/>
      <c r="AD3" s="5"/>
      <c r="AE3" s="5"/>
      <c r="AF3" s="5"/>
      <c r="AG3" s="5" t="s">
        <v>823</v>
      </c>
      <c r="AH3" s="5" t="s">
        <v>824</v>
      </c>
      <c r="AI3" s="5" t="s">
        <v>825</v>
      </c>
      <c r="AJ3" s="5" t="s">
        <v>826</v>
      </c>
      <c r="AK3" s="5"/>
      <c r="AL3" s="5"/>
      <c r="AM3" s="5" t="s">
        <v>827</v>
      </c>
      <c r="AN3" s="5" t="s">
        <v>828</v>
      </c>
      <c r="AO3" s="5" t="s">
        <v>829</v>
      </c>
      <c r="AP3" s="5" t="s">
        <v>830</v>
      </c>
      <c r="AQ3" s="5" t="s">
        <v>809</v>
      </c>
      <c r="AR3" s="23" t="s">
        <v>831</v>
      </c>
    </row>
    <row r="4" customFormat="false" ht="15" hidden="false" customHeight="true" outlineLevel="0" collapsed="false">
      <c r="A4" s="5" t="n">
        <v>166</v>
      </c>
      <c r="B4" s="5" t="n">
        <v>166</v>
      </c>
      <c r="C4" s="5" t="s">
        <v>832</v>
      </c>
      <c r="D4" s="5" t="n">
        <v>2014</v>
      </c>
      <c r="E4" s="5" t="s">
        <v>833</v>
      </c>
      <c r="F4" s="5" t="s">
        <v>834</v>
      </c>
      <c r="G4" s="5" t="s">
        <v>835</v>
      </c>
      <c r="H4" s="5" t="s">
        <v>836</v>
      </c>
      <c r="I4" s="5" t="s">
        <v>837</v>
      </c>
      <c r="J4" s="5" t="n">
        <v>29.067</v>
      </c>
      <c r="K4" s="5" t="n">
        <v>77.767</v>
      </c>
      <c r="L4" s="5" t="s">
        <v>838</v>
      </c>
      <c r="M4" s="5" t="s">
        <v>839</v>
      </c>
      <c r="N4" s="5" t="s">
        <v>819</v>
      </c>
      <c r="O4" s="5" t="s">
        <v>83</v>
      </c>
      <c r="P4" s="5" t="n">
        <v>1993</v>
      </c>
      <c r="Q4" s="5" t="n">
        <v>2011</v>
      </c>
      <c r="R4" s="5" t="s">
        <v>840</v>
      </c>
      <c r="S4" s="5" t="s">
        <v>802</v>
      </c>
      <c r="T4" s="5" t="s">
        <v>85</v>
      </c>
      <c r="U4" s="5" t="s">
        <v>841</v>
      </c>
      <c r="V4" s="5" t="n">
        <v>55</v>
      </c>
      <c r="W4" s="5" t="n">
        <v>18</v>
      </c>
      <c r="X4" s="5" t="n">
        <v>27</v>
      </c>
      <c r="Y4" s="5" t="n">
        <v>7.98</v>
      </c>
      <c r="Z4" s="5" t="n">
        <v>4.1</v>
      </c>
      <c r="AA4" s="5" t="n">
        <v>1.55</v>
      </c>
      <c r="AB4" s="5" t="n">
        <v>5</v>
      </c>
      <c r="AC4" s="5" t="n">
        <v>45.5</v>
      </c>
      <c r="AD4" s="5"/>
      <c r="AE4" s="5"/>
      <c r="AF4" s="5" t="n">
        <v>863</v>
      </c>
      <c r="AG4" s="5" t="s">
        <v>842</v>
      </c>
      <c r="AH4" s="5" t="s">
        <v>843</v>
      </c>
      <c r="AI4" s="5" t="s">
        <v>844</v>
      </c>
      <c r="AJ4" s="5" t="s">
        <v>845</v>
      </c>
      <c r="AK4" s="5" t="n">
        <v>26</v>
      </c>
      <c r="AL4" s="5" t="n">
        <v>33</v>
      </c>
      <c r="AM4" s="5" t="s">
        <v>846</v>
      </c>
      <c r="AN4" s="5" t="s">
        <v>847</v>
      </c>
      <c r="AO4" s="5" t="s">
        <v>848</v>
      </c>
      <c r="AP4" s="5" t="s">
        <v>849</v>
      </c>
      <c r="AQ4" s="5" t="s">
        <v>809</v>
      </c>
      <c r="AR4" s="23" t="s">
        <v>850</v>
      </c>
    </row>
    <row r="5" customFormat="false" ht="15" hidden="false" customHeight="true" outlineLevel="0" collapsed="false">
      <c r="A5" s="5" t="n">
        <v>167</v>
      </c>
      <c r="B5" s="5" t="n">
        <v>167</v>
      </c>
      <c r="C5" s="5" t="s">
        <v>851</v>
      </c>
      <c r="D5" s="5" t="n">
        <v>2023</v>
      </c>
      <c r="E5" s="5" t="s">
        <v>852</v>
      </c>
      <c r="F5" s="5" t="s">
        <v>853</v>
      </c>
      <c r="G5" s="5" t="s">
        <v>854</v>
      </c>
      <c r="H5" s="5" t="s">
        <v>855</v>
      </c>
      <c r="I5" s="5" t="s">
        <v>856</v>
      </c>
      <c r="J5" s="5"/>
      <c r="K5" s="5"/>
      <c r="L5" s="5"/>
      <c r="M5" s="5"/>
      <c r="N5" s="5"/>
      <c r="O5" s="5"/>
      <c r="P5" s="5" t="n">
        <v>2015</v>
      </c>
      <c r="Q5" s="5" t="s">
        <v>857</v>
      </c>
      <c r="R5" s="5"/>
      <c r="S5" s="5"/>
      <c r="T5" s="5"/>
      <c r="U5" s="5"/>
      <c r="V5" s="5"/>
      <c r="W5" s="5"/>
      <c r="X5" s="5"/>
      <c r="Y5" s="5"/>
      <c r="Z5" s="5"/>
      <c r="AA5" s="5"/>
      <c r="AB5" s="5"/>
      <c r="AC5" s="5"/>
      <c r="AD5" s="5"/>
      <c r="AE5" s="5"/>
      <c r="AF5" s="5"/>
      <c r="AG5" s="5" t="s">
        <v>858</v>
      </c>
      <c r="AH5" s="5"/>
      <c r="AI5" s="5"/>
      <c r="AJ5" s="5"/>
      <c r="AK5" s="5"/>
      <c r="AL5" s="5"/>
      <c r="AM5" s="5"/>
      <c r="AN5" s="5"/>
      <c r="AO5" s="5" t="s">
        <v>859</v>
      </c>
      <c r="AP5" s="5" t="s">
        <v>860</v>
      </c>
      <c r="AQ5" s="5" t="s">
        <v>809</v>
      </c>
      <c r="AR5" s="23" t="s">
        <v>861</v>
      </c>
    </row>
    <row r="6" customFormat="false" ht="15" hidden="false" customHeight="true" outlineLevel="0" collapsed="false">
      <c r="A6" s="5" t="n">
        <v>168</v>
      </c>
      <c r="B6" s="5" t="n">
        <v>168</v>
      </c>
      <c r="C6" s="5" t="s">
        <v>862</v>
      </c>
      <c r="D6" s="5" t="n">
        <v>2020</v>
      </c>
      <c r="E6" s="5" t="s">
        <v>863</v>
      </c>
      <c r="F6" s="5" t="s">
        <v>864</v>
      </c>
      <c r="G6" s="5" t="s">
        <v>865</v>
      </c>
      <c r="H6" s="5" t="s">
        <v>866</v>
      </c>
      <c r="I6" s="5" t="s">
        <v>867</v>
      </c>
      <c r="J6" s="5" t="n">
        <v>30.933</v>
      </c>
      <c r="K6" s="5" t="n">
        <v>75.867</v>
      </c>
      <c r="L6" s="5" t="s">
        <v>868</v>
      </c>
      <c r="M6" s="5" t="s">
        <v>869</v>
      </c>
      <c r="N6" s="5" t="s">
        <v>819</v>
      </c>
      <c r="O6" s="5" t="s">
        <v>870</v>
      </c>
      <c r="P6" s="5" t="n">
        <v>2011</v>
      </c>
      <c r="Q6" s="5" t="n">
        <v>2016</v>
      </c>
      <c r="R6" s="5" t="n">
        <v>1</v>
      </c>
      <c r="S6" s="5" t="s">
        <v>84</v>
      </c>
      <c r="T6" s="5" t="s">
        <v>85</v>
      </c>
      <c r="U6" s="5" t="s">
        <v>871</v>
      </c>
      <c r="V6" s="5"/>
      <c r="W6" s="5"/>
      <c r="X6" s="5"/>
      <c r="Y6" s="5" t="n">
        <v>7.4</v>
      </c>
      <c r="Z6" s="5"/>
      <c r="AA6" s="5"/>
      <c r="AB6" s="5"/>
      <c r="AC6" s="5"/>
      <c r="AD6" s="5"/>
      <c r="AE6" s="5"/>
      <c r="AF6" s="5" t="n">
        <v>734</v>
      </c>
      <c r="AG6" s="5" t="s">
        <v>872</v>
      </c>
      <c r="AH6" s="5" t="s">
        <v>873</v>
      </c>
      <c r="AI6" s="5" t="s">
        <v>874</v>
      </c>
      <c r="AJ6" s="5"/>
      <c r="AK6" s="5"/>
      <c r="AL6" s="5"/>
      <c r="AM6" s="5" t="s">
        <v>875</v>
      </c>
      <c r="AN6" s="5" t="s">
        <v>876</v>
      </c>
      <c r="AO6" s="5" t="s">
        <v>877</v>
      </c>
      <c r="AP6" s="5" t="s">
        <v>878</v>
      </c>
      <c r="AQ6" s="5" t="s">
        <v>809</v>
      </c>
      <c r="AR6" s="23" t="s">
        <v>879</v>
      </c>
    </row>
    <row r="7" customFormat="false" ht="15" hidden="false" customHeight="true" outlineLevel="0" collapsed="false">
      <c r="A7" s="5" t="n">
        <v>169</v>
      </c>
      <c r="B7" s="5" t="n">
        <v>169</v>
      </c>
      <c r="C7" s="5" t="s">
        <v>880</v>
      </c>
      <c r="D7" s="5" t="n">
        <v>2005</v>
      </c>
      <c r="E7" s="5" t="s">
        <v>792</v>
      </c>
      <c r="F7" s="5" t="s">
        <v>881</v>
      </c>
      <c r="G7" s="5" t="s">
        <v>882</v>
      </c>
      <c r="H7" s="5" t="s">
        <v>836</v>
      </c>
      <c r="I7" s="5" t="s">
        <v>883</v>
      </c>
      <c r="J7" s="5"/>
      <c r="K7" s="5"/>
      <c r="L7" s="5"/>
      <c r="M7" s="5"/>
      <c r="N7" s="5"/>
      <c r="O7" s="5"/>
      <c r="P7" s="5"/>
      <c r="Q7" s="5"/>
      <c r="R7" s="5"/>
      <c r="S7" s="5"/>
      <c r="T7" s="5"/>
      <c r="U7" s="5"/>
      <c r="V7" s="5"/>
      <c r="W7" s="5"/>
      <c r="X7" s="5"/>
      <c r="Y7" s="5"/>
      <c r="Z7" s="5"/>
      <c r="AA7" s="5"/>
      <c r="AB7" s="5"/>
      <c r="AC7" s="5"/>
      <c r="AD7" s="5"/>
      <c r="AE7" s="5"/>
      <c r="AF7" s="5"/>
      <c r="AG7" s="5" t="s">
        <v>884</v>
      </c>
      <c r="AH7" s="5"/>
      <c r="AI7" s="5"/>
      <c r="AJ7" s="5"/>
      <c r="AK7" s="5"/>
      <c r="AL7" s="5"/>
      <c r="AM7" s="5"/>
      <c r="AN7" s="5"/>
      <c r="AO7" s="5" t="s">
        <v>885</v>
      </c>
      <c r="AP7" s="5" t="s">
        <v>860</v>
      </c>
      <c r="AQ7" s="5" t="s">
        <v>809</v>
      </c>
      <c r="AR7" s="23" t="s">
        <v>886</v>
      </c>
    </row>
    <row r="8" customFormat="false" ht="15" hidden="false" customHeight="true" outlineLevel="0" collapsed="false">
      <c r="A8" s="5" t="s">
        <v>887</v>
      </c>
      <c r="B8" s="5" t="s">
        <v>887</v>
      </c>
      <c r="C8" s="5" t="s">
        <v>888</v>
      </c>
      <c r="D8" s="5" t="n">
        <v>2019</v>
      </c>
      <c r="E8" s="5" t="s">
        <v>833</v>
      </c>
      <c r="F8" s="5" t="s">
        <v>889</v>
      </c>
      <c r="G8" s="5" t="s">
        <v>890</v>
      </c>
      <c r="H8" s="5" t="s">
        <v>891</v>
      </c>
      <c r="I8" s="5" t="s">
        <v>892</v>
      </c>
      <c r="J8" s="5" t="n">
        <v>29.7</v>
      </c>
      <c r="K8" s="5" t="n">
        <v>76.96</v>
      </c>
      <c r="L8" s="5" t="s">
        <v>893</v>
      </c>
      <c r="M8" s="5" t="s">
        <v>894</v>
      </c>
      <c r="N8" s="5" t="s">
        <v>895</v>
      </c>
      <c r="O8" s="5" t="s">
        <v>83</v>
      </c>
      <c r="P8" s="5" t="n">
        <v>2009</v>
      </c>
      <c r="Q8" s="5" t="s">
        <v>896</v>
      </c>
      <c r="R8" s="5" t="s">
        <v>897</v>
      </c>
      <c r="S8" s="5" t="s">
        <v>84</v>
      </c>
      <c r="T8" s="5" t="s">
        <v>85</v>
      </c>
      <c r="U8" s="5" t="s">
        <v>898</v>
      </c>
      <c r="V8" s="5"/>
      <c r="W8" s="5"/>
      <c r="X8" s="5"/>
      <c r="Y8" s="5"/>
      <c r="Z8" s="5"/>
      <c r="AA8" s="5"/>
      <c r="AB8" s="5" t="n">
        <v>2</v>
      </c>
      <c r="AC8" s="5" t="n">
        <v>42.5</v>
      </c>
      <c r="AD8" s="5"/>
      <c r="AE8" s="5"/>
      <c r="AF8" s="5" t="n">
        <v>700</v>
      </c>
      <c r="AG8" s="5" t="s">
        <v>899</v>
      </c>
      <c r="AH8" s="5"/>
      <c r="AI8" s="5"/>
      <c r="AJ8" s="5"/>
      <c r="AK8" s="5"/>
      <c r="AL8" s="5"/>
      <c r="AM8" s="5" t="s">
        <v>900</v>
      </c>
      <c r="AN8" s="5"/>
      <c r="AO8" s="5" t="s">
        <v>901</v>
      </c>
      <c r="AP8" s="5" t="s">
        <v>902</v>
      </c>
      <c r="AQ8" s="5" t="s">
        <v>809</v>
      </c>
      <c r="AR8" s="23" t="s">
        <v>903</v>
      </c>
    </row>
    <row r="9" customFormat="false" ht="15" hidden="false" customHeight="true" outlineLevel="0" collapsed="false">
      <c r="A9" s="5" t="s">
        <v>904</v>
      </c>
      <c r="B9" s="5" t="s">
        <v>904</v>
      </c>
      <c r="C9" s="5" t="s">
        <v>905</v>
      </c>
      <c r="D9" s="5" t="n">
        <v>2019</v>
      </c>
      <c r="E9" s="5" t="s">
        <v>906</v>
      </c>
      <c r="F9" s="5" t="s">
        <v>907</v>
      </c>
      <c r="G9" s="5" t="s">
        <v>908</v>
      </c>
      <c r="H9" s="5" t="s">
        <v>891</v>
      </c>
      <c r="I9" s="5" t="s">
        <v>892</v>
      </c>
      <c r="J9" s="5" t="n">
        <v>29.7</v>
      </c>
      <c r="K9" s="5" t="n">
        <v>76.95</v>
      </c>
      <c r="L9" s="5"/>
      <c r="M9" s="5"/>
      <c r="N9" s="5" t="s">
        <v>819</v>
      </c>
      <c r="O9" s="5" t="s">
        <v>83</v>
      </c>
      <c r="P9" s="5" t="n">
        <v>2009</v>
      </c>
      <c r="Q9" s="5" t="n">
        <v>2013</v>
      </c>
      <c r="R9" s="5" t="n">
        <v>1</v>
      </c>
      <c r="S9" s="5" t="s">
        <v>84</v>
      </c>
      <c r="T9" s="5" t="s">
        <v>85</v>
      </c>
      <c r="U9" s="5" t="s">
        <v>909</v>
      </c>
      <c r="V9" s="5"/>
      <c r="W9" s="5"/>
      <c r="X9" s="5"/>
      <c r="Y9" s="5"/>
      <c r="Z9" s="5" t="n">
        <v>4.5</v>
      </c>
      <c r="AA9" s="5"/>
      <c r="AB9" s="5" t="n">
        <v>11.62</v>
      </c>
      <c r="AC9" s="5" t="n">
        <v>31.68</v>
      </c>
      <c r="AD9" s="5"/>
      <c r="AE9" s="5"/>
      <c r="AF9" s="5" t="n">
        <v>670</v>
      </c>
      <c r="AG9" s="5" t="s">
        <v>899</v>
      </c>
      <c r="AH9" s="5"/>
      <c r="AI9" s="5"/>
      <c r="AJ9" s="5"/>
      <c r="AK9" s="5"/>
      <c r="AL9" s="5"/>
      <c r="AM9" s="5" t="s">
        <v>910</v>
      </c>
      <c r="AN9" s="5"/>
      <c r="AO9" s="5" t="s">
        <v>911</v>
      </c>
      <c r="AP9" s="5" t="s">
        <v>912</v>
      </c>
      <c r="AQ9" s="5" t="s">
        <v>809</v>
      </c>
      <c r="AR9" s="23" t="s">
        <v>913</v>
      </c>
    </row>
    <row r="10" customFormat="false" ht="15" hidden="false" customHeight="true" outlineLevel="0" collapsed="false">
      <c r="A10" s="5" t="s">
        <v>914</v>
      </c>
      <c r="B10" s="5" t="s">
        <v>914</v>
      </c>
      <c r="C10" s="5" t="s">
        <v>915</v>
      </c>
      <c r="D10" s="5" t="n">
        <v>2020</v>
      </c>
      <c r="E10" s="5" t="s">
        <v>916</v>
      </c>
      <c r="F10" s="5" t="s">
        <v>917</v>
      </c>
      <c r="G10" s="5" t="s">
        <v>918</v>
      </c>
      <c r="H10" s="5" t="s">
        <v>815</v>
      </c>
      <c r="I10" s="5" t="s">
        <v>919</v>
      </c>
      <c r="J10" s="5" t="n">
        <v>28.4</v>
      </c>
      <c r="K10" s="5" t="n">
        <v>77.1</v>
      </c>
      <c r="L10" s="5" t="s">
        <v>920</v>
      </c>
      <c r="M10" s="5" t="s">
        <v>921</v>
      </c>
      <c r="N10" s="5" t="s">
        <v>819</v>
      </c>
      <c r="O10" s="5" t="s">
        <v>83</v>
      </c>
      <c r="P10" s="5" t="n">
        <v>2003</v>
      </c>
      <c r="Q10" s="5" t="s">
        <v>922</v>
      </c>
      <c r="R10" s="5"/>
      <c r="S10" s="5" t="s">
        <v>802</v>
      </c>
      <c r="T10" s="5" t="s">
        <v>85</v>
      </c>
      <c r="U10" s="5" t="s">
        <v>822</v>
      </c>
      <c r="V10" s="5" t="n">
        <v>52.1</v>
      </c>
      <c r="W10" s="5" t="n">
        <v>22.5</v>
      </c>
      <c r="X10" s="5" t="n">
        <v>25.4</v>
      </c>
      <c r="Y10" s="5" t="n">
        <v>8.45</v>
      </c>
      <c r="Z10" s="5" t="n">
        <v>5.1</v>
      </c>
      <c r="AA10" s="5" t="n">
        <v>1.5</v>
      </c>
      <c r="AB10" s="5" t="n">
        <v>18</v>
      </c>
      <c r="AC10" s="5" t="n">
        <v>35.2</v>
      </c>
      <c r="AD10" s="5"/>
      <c r="AE10" s="5"/>
      <c r="AF10" s="5" t="n">
        <v>750</v>
      </c>
      <c r="AG10" s="5" t="s">
        <v>923</v>
      </c>
      <c r="AH10" s="5" t="s">
        <v>924</v>
      </c>
      <c r="AI10" s="5" t="s">
        <v>925</v>
      </c>
      <c r="AJ10" s="5" t="s">
        <v>926</v>
      </c>
      <c r="AK10" s="5"/>
      <c r="AL10" s="5"/>
      <c r="AM10" s="5" t="s">
        <v>927</v>
      </c>
      <c r="AN10" s="5"/>
      <c r="AO10" s="5" t="s">
        <v>928</v>
      </c>
      <c r="AP10" s="5" t="s">
        <v>929</v>
      </c>
      <c r="AQ10" s="5" t="s">
        <v>809</v>
      </c>
      <c r="AR10" s="23" t="s">
        <v>930</v>
      </c>
    </row>
    <row r="11" customFormat="false" ht="15" hidden="false" customHeight="true" outlineLevel="0" collapsed="false">
      <c r="A11" s="5" t="s">
        <v>931</v>
      </c>
      <c r="B11" s="5" t="s">
        <v>931</v>
      </c>
      <c r="C11" s="5" t="s">
        <v>932</v>
      </c>
      <c r="D11" s="5" t="n">
        <v>2023</v>
      </c>
      <c r="E11" s="5" t="s">
        <v>933</v>
      </c>
      <c r="F11" s="5" t="s">
        <v>934</v>
      </c>
      <c r="G11" s="5" t="s">
        <v>935</v>
      </c>
      <c r="H11" s="5" t="s">
        <v>936</v>
      </c>
      <c r="I11" s="5" t="s">
        <v>937</v>
      </c>
      <c r="J11" s="5" t="n">
        <v>35.27</v>
      </c>
      <c r="K11" s="5" t="n">
        <v>119.38</v>
      </c>
      <c r="L11" s="5"/>
      <c r="M11" s="5"/>
      <c r="N11" s="5" t="s">
        <v>938</v>
      </c>
      <c r="O11" s="5" t="s">
        <v>870</v>
      </c>
      <c r="P11" s="5" t="n">
        <v>2017</v>
      </c>
      <c r="Q11" s="5" t="s">
        <v>939</v>
      </c>
      <c r="R11" s="5" t="s">
        <v>940</v>
      </c>
      <c r="S11" s="5" t="s">
        <v>821</v>
      </c>
      <c r="T11" s="5"/>
      <c r="U11" s="5" t="s">
        <v>941</v>
      </c>
      <c r="V11" s="5"/>
      <c r="W11" s="5"/>
      <c r="X11" s="5"/>
      <c r="Y11" s="5" t="n">
        <v>6.8</v>
      </c>
      <c r="Z11" s="5" t="n">
        <v>5.75</v>
      </c>
      <c r="AA11" s="5" t="n">
        <v>1.423</v>
      </c>
      <c r="AB11" s="5"/>
      <c r="AC11" s="5"/>
      <c r="AD11" s="5" t="n">
        <v>12.6</v>
      </c>
      <c r="AE11" s="5"/>
      <c r="AF11" s="5" t="n">
        <v>916</v>
      </c>
      <c r="AG11" s="5" t="s">
        <v>942</v>
      </c>
      <c r="AH11" s="5" t="s">
        <v>943</v>
      </c>
      <c r="AI11" s="5" t="s">
        <v>944</v>
      </c>
      <c r="AJ11" s="5" t="s">
        <v>945</v>
      </c>
      <c r="AK11" s="5"/>
      <c r="AL11" s="5"/>
      <c r="AM11" s="5" t="s">
        <v>946</v>
      </c>
      <c r="AN11" s="5"/>
      <c r="AO11" s="5" t="s">
        <v>947</v>
      </c>
      <c r="AP11" s="5" t="s">
        <v>948</v>
      </c>
      <c r="AQ11" s="5" t="s">
        <v>809</v>
      </c>
      <c r="AR11" s="23" t="s">
        <v>949</v>
      </c>
    </row>
    <row r="12" customFormat="false" ht="15" hidden="false" customHeight="true" outlineLevel="0" collapsed="false"/>
    <row r="13" customFormat="false" ht="15" hidden="false" customHeight="true" outlineLevel="0" collapsed="false"/>
    <row r="14" customFormat="false" ht="15" hidden="false" customHeight="true" outlineLevel="0" collapsed="false"/>
    <row r="15" customFormat="false" ht="15" hidden="false" customHeight="true" outlineLevel="0" collapsed="false"/>
    <row r="16" customFormat="false" ht="15" hidden="false" customHeight="true" outlineLevel="0" collapsed="false"/>
    <row r="17" customFormat="false" ht="15" hidden="false" customHeight="true" outlineLevel="0" collapsed="false"/>
    <row r="18" customFormat="false" ht="15" hidden="false" customHeight="true" outlineLevel="0" collapsed="false"/>
    <row r="19" customFormat="false" ht="15" hidden="false" customHeight="true" outlineLevel="0" collapsed="false"/>
    <row r="20" customFormat="false" ht="15" hidden="false" customHeight="true" outlineLevel="0" collapsed="false"/>
    <row r="21" customFormat="false" ht="15" hidden="false" customHeight="true" outlineLevel="0" collapsed="false"/>
    <row r="22" customFormat="false" ht="15" hidden="false" customHeight="true" outlineLevel="0" collapsed="false"/>
    <row r="23" customFormat="false" ht="15" hidden="false" customHeight="true" outlineLevel="0" collapsed="false"/>
    <row r="24" customFormat="false" ht="15" hidden="false" customHeight="true" outlineLevel="0" collapsed="false"/>
    <row r="25" customFormat="false" ht="15" hidden="false" customHeight="true" outlineLevel="0" collapsed="false"/>
    <row r="26" customFormat="false" ht="15" hidden="false" customHeight="true" outlineLevel="0" collapsed="false"/>
    <row r="27" customFormat="false" ht="15" hidden="false" customHeight="true" outlineLevel="0" collapsed="false"/>
    <row r="28" customFormat="false" ht="15" hidden="false" customHeight="true" outlineLevel="0" collapsed="false"/>
    <row r="29" customFormat="false" ht="15" hidden="false" customHeight="true" outlineLevel="0" collapsed="false"/>
    <row r="30" customFormat="false" ht="15" hidden="false" customHeight="true" outlineLevel="0" collapsed="false"/>
    <row r="31" customFormat="false" ht="15" hidden="false" customHeight="true" outlineLevel="0" collapsed="false"/>
    <row r="32" customFormat="false" ht="15" hidden="false" customHeight="true" outlineLevel="0" collapsed="false"/>
    <row r="33" customFormat="false" ht="15" hidden="false" customHeight="true" outlineLevel="0" collapsed="false"/>
    <row r="34" customFormat="false" ht="15" hidden="false" customHeight="true" outlineLevel="0" collapsed="false"/>
    <row r="35" customFormat="false" ht="15" hidden="false" customHeight="true" outlineLevel="0" collapsed="false"/>
    <row r="36" customFormat="false" ht="15" hidden="false" customHeight="true" outlineLevel="0" collapsed="false"/>
    <row r="37" customFormat="false" ht="15" hidden="false" customHeight="true" outlineLevel="0" collapsed="false"/>
    <row r="38" customFormat="false" ht="15" hidden="false" customHeight="true" outlineLevel="0" collapsed="false"/>
    <row r="39" customFormat="false" ht="15" hidden="false" customHeight="true" outlineLevel="0" collapsed="false"/>
    <row r="40" customFormat="false" ht="15" hidden="false" customHeight="true" outlineLevel="0" collapsed="false"/>
    <row r="41" customFormat="false" ht="15" hidden="false" customHeight="true" outlineLevel="0" collapsed="false"/>
    <row r="42" customFormat="false" ht="15" hidden="false" customHeight="true" outlineLevel="0" collapsed="false"/>
    <row r="43" customFormat="false" ht="15" hidden="false" customHeight="true" outlineLevel="0" collapsed="false"/>
    <row r="44" customFormat="false" ht="15" hidden="false" customHeight="true" outlineLevel="0" collapsed="false"/>
    <row r="45" customFormat="false" ht="15" hidden="false" customHeight="true" outlineLevel="0" collapsed="false"/>
    <row r="46" customFormat="false" ht="15" hidden="false" customHeight="true" outlineLevel="0" collapsed="false"/>
    <row r="47" customFormat="false" ht="15" hidden="false" customHeight="true" outlineLevel="0" collapsed="false"/>
    <row r="48" customFormat="false" ht="15" hidden="false" customHeight="true" outlineLevel="0" collapsed="false"/>
    <row r="49" customFormat="false" ht="15" hidden="false" customHeight="true" outlineLevel="0" collapsed="false"/>
    <row r="50" customFormat="false" ht="15" hidden="false" customHeight="true" outlineLevel="0" collapsed="false"/>
    <row r="51" customFormat="false" ht="15" hidden="false" customHeight="true" outlineLevel="0" collapsed="false"/>
    <row r="52" customFormat="false" ht="15" hidden="false" customHeight="true" outlineLevel="0" collapsed="false"/>
  </sheetData>
  <autoFilter ref="A1:AR1"/>
  <dataValidations count="3">
    <dataValidation allowBlank="true" errorStyle="stop" operator="between" showDropDown="false" showErrorMessage="false" showInputMessage="false" sqref="O2:O1001" type="list">
      <formula1>"ST,TEMP"</formula1>
      <formula2>0</formula2>
    </dataValidation>
    <dataValidation allowBlank="true" errorStyle="stop" operator="between" showDropDown="false" showErrorMessage="false" showInputMessage="false" sqref="T2:T1001" type="list">
      <formula1>"LOAMY,SANDY,CLAYEY"</formula1>
      <formula2>0</formula2>
    </dataValidation>
    <dataValidation allowBlank="true" errorStyle="stop" operator="between" showDropDown="false" showErrorMessage="false" showInputMessage="false" sqref="S2:S1001"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16"/>
    <col collapsed="false" customWidth="true" hidden="false" outlineLevel="0" max="3" min="3" style="1" width="34"/>
    <col collapsed="false" customWidth="true" hidden="false" outlineLevel="0" max="4" min="4" style="1" width="7"/>
    <col collapsed="false" customWidth="true" hidden="false" outlineLevel="0" max="5" min="5" style="1" width="30"/>
    <col collapsed="false" customWidth="true" hidden="false" outlineLevel="0" max="6" min="6" style="1" width="12"/>
    <col collapsed="false" customWidth="true" hidden="false" outlineLevel="0" max="7" min="7" style="1" width="8"/>
    <col collapsed="false" customWidth="true" hidden="false" outlineLevel="0" max="8" min="8" style="1" width="10"/>
    <col collapsed="false" customWidth="true" hidden="false" outlineLevel="0" max="10" min="9" style="1" width="90"/>
  </cols>
  <sheetData>
    <row r="1" customFormat="false" ht="15" hidden="false" customHeight="true" outlineLevel="0" collapsed="false">
      <c r="A1" s="2" t="s">
        <v>950</v>
      </c>
    </row>
    <row r="3" customFormat="false" ht="34.5" hidden="false" customHeight="true" outlineLevel="0" collapsed="false">
      <c r="A3" s="9" t="s">
        <v>55</v>
      </c>
      <c r="B3" s="9" t="s">
        <v>951</v>
      </c>
      <c r="C3" s="9" t="s">
        <v>57</v>
      </c>
      <c r="D3" s="9" t="s">
        <v>58</v>
      </c>
      <c r="E3" s="9" t="s">
        <v>59</v>
      </c>
      <c r="F3" s="9" t="s">
        <v>139</v>
      </c>
      <c r="G3" s="9" t="s">
        <v>952</v>
      </c>
      <c r="H3" s="9" t="s">
        <v>953</v>
      </c>
      <c r="I3" s="9" t="s">
        <v>954</v>
      </c>
      <c r="J3" s="9" t="s">
        <v>955</v>
      </c>
    </row>
    <row r="4" customFormat="false" ht="15" hidden="false" customHeight="true" outlineLevel="0" collapsed="false">
      <c r="A4" s="5" t="n">
        <v>1</v>
      </c>
      <c r="B4" s="5" t="n">
        <v>164</v>
      </c>
      <c r="C4" s="5" t="s">
        <v>791</v>
      </c>
      <c r="D4" s="5" t="n">
        <v>2000</v>
      </c>
      <c r="E4" s="5" t="s">
        <v>792</v>
      </c>
      <c r="F4" s="5" t="s">
        <v>956</v>
      </c>
      <c r="G4" s="5" t="n">
        <v>120</v>
      </c>
      <c r="H4" s="5" t="n">
        <v>5</v>
      </c>
      <c r="I4" s="5" t="s">
        <v>957</v>
      </c>
      <c r="J4" s="5" t="s">
        <v>808</v>
      </c>
    </row>
    <row r="5" customFormat="false" ht="15" hidden="false" customHeight="true" outlineLevel="0" collapsed="false">
      <c r="A5" s="5" t="n">
        <v>2</v>
      </c>
      <c r="B5" s="5" t="n">
        <v>165</v>
      </c>
      <c r="C5" s="5" t="s">
        <v>811</v>
      </c>
      <c r="D5" s="5" t="n">
        <v>2012</v>
      </c>
      <c r="E5" s="5" t="s">
        <v>812</v>
      </c>
      <c r="F5" s="5" t="s">
        <v>956</v>
      </c>
      <c r="G5" s="5" t="n">
        <v>38</v>
      </c>
      <c r="H5" s="5" t="n">
        <v>14</v>
      </c>
      <c r="I5" s="5" t="s">
        <v>958</v>
      </c>
      <c r="J5" s="5" t="s">
        <v>830</v>
      </c>
    </row>
    <row r="6" customFormat="false" ht="15" hidden="false" customHeight="true" outlineLevel="0" collapsed="false">
      <c r="A6" s="5" t="n">
        <v>3</v>
      </c>
      <c r="B6" s="5" t="n">
        <v>166</v>
      </c>
      <c r="C6" s="5" t="s">
        <v>832</v>
      </c>
      <c r="D6" s="5" t="n">
        <v>2014</v>
      </c>
      <c r="E6" s="5" t="s">
        <v>833</v>
      </c>
      <c r="F6" s="5" t="s">
        <v>956</v>
      </c>
      <c r="G6" s="5" t="n">
        <v>53</v>
      </c>
      <c r="H6" s="5" t="n">
        <v>13</v>
      </c>
      <c r="I6" s="5" t="s">
        <v>959</v>
      </c>
      <c r="J6" s="5" t="s">
        <v>849</v>
      </c>
    </row>
    <row r="7" customFormat="false" ht="15" hidden="false" customHeight="true" outlineLevel="0" collapsed="false">
      <c r="A7" s="5" t="n">
        <v>4</v>
      </c>
      <c r="B7" s="5" t="n">
        <v>167</v>
      </c>
      <c r="C7" s="5" t="s">
        <v>851</v>
      </c>
      <c r="D7" s="5" t="n">
        <v>2023</v>
      </c>
      <c r="E7" s="5" t="s">
        <v>852</v>
      </c>
      <c r="F7" s="5" t="s">
        <v>434</v>
      </c>
      <c r="G7" s="5" t="n">
        <v>0</v>
      </c>
      <c r="H7" s="5" t="n">
        <v>0</v>
      </c>
      <c r="I7" s="5" t="s">
        <v>635</v>
      </c>
      <c r="J7" s="5" t="s">
        <v>860</v>
      </c>
    </row>
    <row r="8" customFormat="false" ht="15" hidden="false" customHeight="true" outlineLevel="0" collapsed="false">
      <c r="A8" s="5" t="n">
        <v>5</v>
      </c>
      <c r="B8" s="5" t="n">
        <v>168</v>
      </c>
      <c r="C8" s="5" t="s">
        <v>862</v>
      </c>
      <c r="D8" s="5" t="n">
        <v>2020</v>
      </c>
      <c r="E8" s="5" t="s">
        <v>863</v>
      </c>
      <c r="F8" s="5" t="s">
        <v>956</v>
      </c>
      <c r="G8" s="5" t="n">
        <v>27</v>
      </c>
      <c r="H8" s="5" t="n">
        <v>19</v>
      </c>
      <c r="I8" s="5" t="s">
        <v>960</v>
      </c>
      <c r="J8" s="5" t="s">
        <v>878</v>
      </c>
    </row>
    <row r="9" customFormat="false" ht="15" hidden="false" customHeight="true" outlineLevel="0" collapsed="false">
      <c r="A9" s="5" t="n">
        <v>6</v>
      </c>
      <c r="B9" s="5" t="n">
        <v>169</v>
      </c>
      <c r="C9" s="5" t="s">
        <v>880</v>
      </c>
      <c r="D9" s="5" t="n">
        <v>2005</v>
      </c>
      <c r="E9" s="5" t="s">
        <v>792</v>
      </c>
      <c r="F9" s="5" t="s">
        <v>434</v>
      </c>
      <c r="G9" s="5" t="n">
        <v>0</v>
      </c>
      <c r="H9" s="5" t="n">
        <v>0</v>
      </c>
      <c r="I9" s="5" t="s">
        <v>635</v>
      </c>
      <c r="J9" s="5" t="s">
        <v>860</v>
      </c>
    </row>
    <row r="10" customFormat="false" ht="15" hidden="false" customHeight="true" outlineLevel="0" collapsed="false">
      <c r="A10" s="5" t="n">
        <v>7</v>
      </c>
      <c r="B10" s="5" t="s">
        <v>887</v>
      </c>
      <c r="C10" s="5" t="s">
        <v>888</v>
      </c>
      <c r="D10" s="5" t="n">
        <v>2019</v>
      </c>
      <c r="E10" s="5" t="s">
        <v>833</v>
      </c>
      <c r="F10" s="5" t="s">
        <v>956</v>
      </c>
      <c r="G10" s="5" t="n">
        <v>46</v>
      </c>
      <c r="H10" s="5" t="n">
        <v>11</v>
      </c>
      <c r="I10" s="5" t="s">
        <v>961</v>
      </c>
      <c r="J10" s="5" t="s">
        <v>902</v>
      </c>
    </row>
    <row r="11" customFormat="false" ht="15" hidden="false" customHeight="true" outlineLevel="0" collapsed="false">
      <c r="A11" s="5" t="n">
        <v>8</v>
      </c>
      <c r="B11" s="5" t="s">
        <v>904</v>
      </c>
      <c r="C11" s="5" t="s">
        <v>905</v>
      </c>
      <c r="D11" s="5" t="n">
        <v>2019</v>
      </c>
      <c r="E11" s="5" t="s">
        <v>906</v>
      </c>
      <c r="F11" s="5" t="s">
        <v>956</v>
      </c>
      <c r="G11" s="5" t="n">
        <v>25</v>
      </c>
      <c r="H11" s="5" t="n">
        <v>13</v>
      </c>
      <c r="I11" s="5" t="s">
        <v>962</v>
      </c>
      <c r="J11" s="5" t="s">
        <v>912</v>
      </c>
    </row>
    <row r="12" customFormat="false" ht="15" hidden="false" customHeight="true" outlineLevel="0" collapsed="false">
      <c r="A12" s="5" t="n">
        <v>9</v>
      </c>
      <c r="B12" s="5" t="s">
        <v>914</v>
      </c>
      <c r="C12" s="5" t="s">
        <v>915</v>
      </c>
      <c r="D12" s="5" t="n">
        <v>2020</v>
      </c>
      <c r="E12" s="5" t="s">
        <v>916</v>
      </c>
      <c r="F12" s="5" t="s">
        <v>956</v>
      </c>
      <c r="G12" s="5" t="n">
        <v>136</v>
      </c>
      <c r="H12" s="5" t="n">
        <v>17</v>
      </c>
      <c r="I12" s="5" t="s">
        <v>963</v>
      </c>
      <c r="J12" s="5" t="s">
        <v>929</v>
      </c>
    </row>
    <row r="13" customFormat="false" ht="15" hidden="false" customHeight="true" outlineLevel="0" collapsed="false">
      <c r="A13" s="5" t="n">
        <v>10</v>
      </c>
      <c r="B13" s="5" t="s">
        <v>931</v>
      </c>
      <c r="C13" s="5" t="s">
        <v>932</v>
      </c>
      <c r="D13" s="5" t="n">
        <v>2023</v>
      </c>
      <c r="E13" s="5" t="s">
        <v>933</v>
      </c>
      <c r="F13" s="5" t="s">
        <v>956</v>
      </c>
      <c r="G13" s="5" t="n">
        <v>50</v>
      </c>
      <c r="H13" s="5" t="n">
        <v>16</v>
      </c>
      <c r="I13" s="5" t="s">
        <v>964</v>
      </c>
      <c r="J13" s="5" t="s">
        <v>948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26"/>
    <col collapsed="false" customWidth="true" hidden="false" outlineLevel="0" max="3" min="3" style="1" width="40"/>
    <col collapsed="false" customWidth="true" hidden="false" outlineLevel="0" max="5" min="4" style="1" width="9"/>
    <col collapsed="false" customWidth="true" hidden="false" outlineLevel="0" max="6" min="6" style="1" width="120"/>
  </cols>
  <sheetData>
    <row r="1" customFormat="false" ht="15" hidden="false" customHeight="true" outlineLevel="0" collapsed="false">
      <c r="A1" s="2" t="s">
        <v>965</v>
      </c>
    </row>
    <row r="3" customFormat="false" ht="23.25" hidden="false" customHeight="true" outlineLevel="0" collapsed="false">
      <c r="A3" s="9" t="s">
        <v>55</v>
      </c>
      <c r="B3" s="9" t="s">
        <v>966</v>
      </c>
      <c r="C3" s="9" t="s">
        <v>630</v>
      </c>
      <c r="D3" s="9" t="s">
        <v>952</v>
      </c>
      <c r="E3" s="9" t="s">
        <v>967</v>
      </c>
      <c r="F3" s="9" t="s">
        <v>968</v>
      </c>
    </row>
    <row r="4" customFormat="false" ht="15" hidden="false" customHeight="true" outlineLevel="0" collapsed="false">
      <c r="A4" s="24" t="n">
        <v>1</v>
      </c>
      <c r="B4" s="24" t="s">
        <v>969</v>
      </c>
      <c r="C4" s="24" t="s">
        <v>89</v>
      </c>
      <c r="D4" s="24" t="n">
        <v>21</v>
      </c>
      <c r="E4" s="24" t="n">
        <v>4</v>
      </c>
      <c r="F4" s="12" t="s">
        <v>970</v>
      </c>
    </row>
    <row r="5" customFormat="false" ht="15" hidden="false" customHeight="true" outlineLevel="0" collapsed="false">
      <c r="A5" s="24" t="n">
        <v>2</v>
      </c>
      <c r="B5" s="24" t="s">
        <v>971</v>
      </c>
      <c r="C5" s="24" t="s">
        <v>89</v>
      </c>
      <c r="D5" s="24" t="n">
        <v>0</v>
      </c>
      <c r="E5" s="24" t="n">
        <v>0</v>
      </c>
      <c r="F5" s="12" t="s">
        <v>972</v>
      </c>
    </row>
    <row r="6" customFormat="false" ht="15" hidden="false" customHeight="true" outlineLevel="0" collapsed="false">
      <c r="A6" s="24" t="n">
        <v>3</v>
      </c>
      <c r="B6" s="24" t="s">
        <v>973</v>
      </c>
      <c r="C6" s="24" t="s">
        <v>742</v>
      </c>
      <c r="D6" s="24" t="n">
        <v>21</v>
      </c>
      <c r="E6" s="24" t="n">
        <v>4</v>
      </c>
      <c r="F6" s="12" t="s">
        <v>970</v>
      </c>
    </row>
    <row r="7" customFormat="false" ht="15" hidden="false" customHeight="true" outlineLevel="0" collapsed="false">
      <c r="A7" s="24" t="n">
        <v>4</v>
      </c>
      <c r="B7" s="24" t="s">
        <v>974</v>
      </c>
      <c r="C7" s="24" t="s">
        <v>742</v>
      </c>
      <c r="D7" s="24" t="n">
        <v>0</v>
      </c>
      <c r="E7" s="24" t="n">
        <v>0</v>
      </c>
      <c r="F7" s="12" t="s">
        <v>972</v>
      </c>
    </row>
    <row r="8" customFormat="false" ht="15" hidden="false" customHeight="true" outlineLevel="0" collapsed="false">
      <c r="A8" s="24" t="n">
        <v>5</v>
      </c>
      <c r="B8" s="24" t="s">
        <v>975</v>
      </c>
      <c r="C8" s="24" t="s">
        <v>742</v>
      </c>
      <c r="D8" s="24" t="n">
        <v>0</v>
      </c>
      <c r="E8" s="24" t="n">
        <v>0</v>
      </c>
      <c r="F8" s="12" t="s">
        <v>972</v>
      </c>
    </row>
    <row r="9" customFormat="false" ht="15" hidden="false" customHeight="true" outlineLevel="0" collapsed="false">
      <c r="A9" s="24" t="n">
        <v>6</v>
      </c>
      <c r="B9" s="24" t="s">
        <v>976</v>
      </c>
      <c r="C9" s="24" t="s">
        <v>742</v>
      </c>
      <c r="D9" s="24" t="n">
        <v>0</v>
      </c>
      <c r="E9" s="24" t="n">
        <v>0</v>
      </c>
      <c r="F9" s="12" t="s">
        <v>972</v>
      </c>
    </row>
    <row r="10" customFormat="false" ht="15" hidden="false" customHeight="true" outlineLevel="0" collapsed="false">
      <c r="A10" s="24" t="n">
        <v>7</v>
      </c>
      <c r="B10" s="24" t="s">
        <v>977</v>
      </c>
      <c r="C10" s="24" t="s">
        <v>978</v>
      </c>
      <c r="D10" s="24" t="n">
        <v>23</v>
      </c>
      <c r="E10" s="24" t="n">
        <v>5</v>
      </c>
      <c r="F10" s="12" t="s">
        <v>979</v>
      </c>
    </row>
    <row r="11" customFormat="false" ht="15" hidden="false" customHeight="true" outlineLevel="0" collapsed="false">
      <c r="A11" s="24" t="n">
        <v>8</v>
      </c>
      <c r="B11" s="24" t="s">
        <v>980</v>
      </c>
      <c r="C11" s="24" t="s">
        <v>981</v>
      </c>
      <c r="D11" s="24" t="n">
        <v>3</v>
      </c>
      <c r="E11" s="24" t="n">
        <v>1</v>
      </c>
      <c r="F11" s="12" t="s">
        <v>982</v>
      </c>
    </row>
    <row r="12" customFormat="false" ht="15" hidden="false" customHeight="true" outlineLevel="0" collapsed="false">
      <c r="A12" s="24" t="n">
        <v>9</v>
      </c>
      <c r="B12" s="24" t="s">
        <v>983</v>
      </c>
      <c r="C12" s="24" t="s">
        <v>984</v>
      </c>
      <c r="D12" s="24" t="n">
        <v>12</v>
      </c>
      <c r="E12" s="24" t="n">
        <v>2</v>
      </c>
      <c r="F12" s="12" t="s">
        <v>985</v>
      </c>
    </row>
    <row r="13" customFormat="false" ht="15" hidden="false" customHeight="true" outlineLevel="0" collapsed="false">
      <c r="A13" s="24" t="n">
        <v>10</v>
      </c>
      <c r="B13" s="24" t="s">
        <v>986</v>
      </c>
      <c r="C13" s="24" t="s">
        <v>987</v>
      </c>
      <c r="D13" s="24" t="n">
        <v>9</v>
      </c>
      <c r="E13" s="24" t="n">
        <v>3</v>
      </c>
      <c r="F13" s="12" t="s">
        <v>988</v>
      </c>
    </row>
    <row r="14" customFormat="false" ht="15" hidden="false" customHeight="true" outlineLevel="0" collapsed="false">
      <c r="A14" s="24" t="n">
        <v>11</v>
      </c>
      <c r="B14" s="24" t="s">
        <v>989</v>
      </c>
      <c r="C14" s="24" t="s">
        <v>990</v>
      </c>
      <c r="D14" s="24" t="n">
        <v>12</v>
      </c>
      <c r="E14" s="24" t="n">
        <v>4</v>
      </c>
      <c r="F14" s="12" t="s">
        <v>991</v>
      </c>
    </row>
    <row r="15" customFormat="false" ht="15" hidden="false" customHeight="true" outlineLevel="0" collapsed="false">
      <c r="A15" s="24" t="n">
        <v>12</v>
      </c>
      <c r="B15" s="24" t="s">
        <v>992</v>
      </c>
      <c r="C15" s="24" t="s">
        <v>993</v>
      </c>
      <c r="D15" s="24" t="n">
        <v>9</v>
      </c>
      <c r="E15" s="24" t="n">
        <v>3</v>
      </c>
      <c r="F15" s="12" t="s">
        <v>988</v>
      </c>
    </row>
    <row r="16" customFormat="false" ht="15" hidden="false" customHeight="true" outlineLevel="0" collapsed="false">
      <c r="A16" s="24" t="n">
        <v>13</v>
      </c>
      <c r="B16" s="24" t="s">
        <v>994</v>
      </c>
      <c r="C16" s="24" t="s">
        <v>995</v>
      </c>
      <c r="D16" s="24" t="n">
        <v>7</v>
      </c>
      <c r="E16" s="24" t="n">
        <v>2</v>
      </c>
      <c r="F16" s="12" t="s">
        <v>996</v>
      </c>
    </row>
    <row r="17" customFormat="false" ht="15" hidden="false" customHeight="true" outlineLevel="0" collapsed="false">
      <c r="A17" s="24" t="n">
        <v>14</v>
      </c>
      <c r="B17" s="24" t="s">
        <v>997</v>
      </c>
      <c r="C17" s="24" t="s">
        <v>998</v>
      </c>
      <c r="D17" s="24" t="n">
        <v>7</v>
      </c>
      <c r="E17" s="24" t="n">
        <v>2</v>
      </c>
      <c r="F17" s="12" t="s">
        <v>996</v>
      </c>
    </row>
    <row r="18" customFormat="false" ht="15" hidden="false" customHeight="true" outlineLevel="0" collapsed="false">
      <c r="A18" s="24" t="n">
        <v>15</v>
      </c>
      <c r="B18" s="24" t="s">
        <v>999</v>
      </c>
      <c r="C18" s="24" t="s">
        <v>1000</v>
      </c>
      <c r="D18" s="24" t="n">
        <v>0</v>
      </c>
      <c r="E18" s="24" t="n">
        <v>0</v>
      </c>
      <c r="F18" s="12" t="s">
        <v>972</v>
      </c>
    </row>
    <row r="19" customFormat="false" ht="15" hidden="false" customHeight="true" outlineLevel="0" collapsed="false">
      <c r="A19" s="24" t="n">
        <v>16</v>
      </c>
      <c r="B19" s="24" t="s">
        <v>1001</v>
      </c>
      <c r="C19" s="24" t="s">
        <v>1002</v>
      </c>
      <c r="D19" s="24" t="n">
        <v>10</v>
      </c>
      <c r="E19" s="24" t="n">
        <v>2</v>
      </c>
      <c r="F19" s="12" t="s">
        <v>1003</v>
      </c>
    </row>
    <row r="20" customFormat="false" ht="15" hidden="false" customHeight="true" outlineLevel="0" collapsed="false">
      <c r="A20" s="24" t="n">
        <v>17</v>
      </c>
      <c r="B20" s="24" t="s">
        <v>1004</v>
      </c>
      <c r="C20" s="24" t="s">
        <v>1005</v>
      </c>
      <c r="D20" s="24" t="n">
        <v>1</v>
      </c>
      <c r="E20" s="24" t="n">
        <v>1</v>
      </c>
      <c r="F20" s="12" t="s">
        <v>1006</v>
      </c>
    </row>
    <row r="21" customFormat="false" ht="15" hidden="false" customHeight="true" outlineLevel="0" collapsed="false">
      <c r="A21" s="24" t="n">
        <v>18</v>
      </c>
      <c r="B21" s="24" t="s">
        <v>1007</v>
      </c>
      <c r="C21" s="24" t="s">
        <v>1008</v>
      </c>
      <c r="D21" s="24" t="n">
        <v>7</v>
      </c>
      <c r="E21" s="24" t="n">
        <v>2</v>
      </c>
      <c r="F21" s="12" t="s">
        <v>1009</v>
      </c>
    </row>
    <row r="22" customFormat="false" ht="15" hidden="false" customHeight="true" outlineLevel="0" collapsed="false">
      <c r="A22" s="24" t="n">
        <v>19</v>
      </c>
      <c r="B22" s="24" t="s">
        <v>1010</v>
      </c>
      <c r="C22" s="24" t="s">
        <v>1011</v>
      </c>
      <c r="D22" s="24" t="n">
        <v>7</v>
      </c>
      <c r="E22" s="24" t="n">
        <v>2</v>
      </c>
      <c r="F22" s="12" t="s">
        <v>1009</v>
      </c>
    </row>
    <row r="23" customFormat="false" ht="15" hidden="false" customHeight="true" outlineLevel="0" collapsed="false">
      <c r="A23" s="24" t="n">
        <v>20</v>
      </c>
      <c r="B23" s="24" t="s">
        <v>1012</v>
      </c>
      <c r="C23" s="24" t="s">
        <v>1013</v>
      </c>
      <c r="D23" s="24" t="n">
        <v>8</v>
      </c>
      <c r="E23" s="24" t="n">
        <v>1</v>
      </c>
      <c r="F23" s="12" t="s">
        <v>1014</v>
      </c>
    </row>
    <row r="24" customFormat="false" ht="15" hidden="false" customHeight="true" outlineLevel="0" collapsed="false">
      <c r="A24" s="24" t="n">
        <v>21</v>
      </c>
      <c r="B24" s="24" t="s">
        <v>1015</v>
      </c>
      <c r="C24" s="24" t="s">
        <v>1016</v>
      </c>
      <c r="D24" s="24" t="n">
        <v>7</v>
      </c>
      <c r="E24" s="24" t="n">
        <v>2</v>
      </c>
      <c r="F24" s="12" t="s">
        <v>1009</v>
      </c>
    </row>
    <row r="25" customFormat="false" ht="15" hidden="false" customHeight="true" outlineLevel="0" collapsed="false">
      <c r="A25" s="24" t="n">
        <v>22</v>
      </c>
      <c r="B25" s="24" t="s">
        <v>1017</v>
      </c>
      <c r="C25" s="24" t="s">
        <v>1018</v>
      </c>
      <c r="D25" s="24" t="n">
        <v>7</v>
      </c>
      <c r="E25" s="24" t="n">
        <v>2</v>
      </c>
      <c r="F25" s="12" t="s">
        <v>1009</v>
      </c>
    </row>
    <row r="26" customFormat="false" ht="15" hidden="false" customHeight="true" outlineLevel="0" collapsed="false">
      <c r="A26" s="24" t="n">
        <v>23</v>
      </c>
      <c r="B26" s="24" t="s">
        <v>1019</v>
      </c>
      <c r="C26" s="24" t="s">
        <v>1020</v>
      </c>
      <c r="D26" s="24" t="n">
        <v>0</v>
      </c>
      <c r="E26" s="24" t="n">
        <v>0</v>
      </c>
      <c r="F26" s="12" t="s">
        <v>972</v>
      </c>
    </row>
    <row r="27" customFormat="false" ht="15" hidden="false" customHeight="true" outlineLevel="0" collapsed="false">
      <c r="A27" s="24" t="n">
        <v>24</v>
      </c>
      <c r="B27" s="24" t="s">
        <v>1021</v>
      </c>
      <c r="C27" s="24" t="s">
        <v>1022</v>
      </c>
      <c r="D27" s="24" t="n">
        <v>0</v>
      </c>
      <c r="E27" s="24" t="n">
        <v>0</v>
      </c>
      <c r="F27" s="12" t="s">
        <v>972</v>
      </c>
    </row>
    <row r="28" customFormat="false" ht="15" hidden="false" customHeight="true" outlineLevel="0" collapsed="false">
      <c r="A28" s="24" t="n">
        <v>25</v>
      </c>
      <c r="B28" s="24" t="s">
        <v>1023</v>
      </c>
      <c r="C28" s="24" t="s">
        <v>1024</v>
      </c>
      <c r="D28" s="24" t="n">
        <v>0</v>
      </c>
      <c r="E28" s="24" t="n">
        <v>0</v>
      </c>
      <c r="F28" s="12" t="s">
        <v>972</v>
      </c>
    </row>
    <row r="29" customFormat="false" ht="15" hidden="false" customHeight="true" outlineLevel="0" collapsed="false">
      <c r="A29" s="24" t="n">
        <v>26</v>
      </c>
      <c r="B29" s="24" t="s">
        <v>1025</v>
      </c>
      <c r="C29" s="24" t="s">
        <v>1026</v>
      </c>
      <c r="D29" s="24" t="n">
        <v>0</v>
      </c>
      <c r="E29" s="24" t="n">
        <v>0</v>
      </c>
      <c r="F29" s="12" t="s">
        <v>972</v>
      </c>
    </row>
    <row r="30" customFormat="false" ht="15" hidden="false" customHeight="true" outlineLevel="0" collapsed="false">
      <c r="A30" s="24" t="n">
        <v>27</v>
      </c>
      <c r="B30" s="24" t="s">
        <v>94</v>
      </c>
      <c r="C30" s="24" t="s">
        <v>672</v>
      </c>
      <c r="D30" s="24" t="n">
        <v>28</v>
      </c>
      <c r="E30" s="24" t="n">
        <v>6</v>
      </c>
      <c r="F30" s="12" t="s">
        <v>1027</v>
      </c>
    </row>
    <row r="31" customFormat="false" ht="15" hidden="false" customHeight="true" outlineLevel="0" collapsed="false">
      <c r="A31" s="24" t="n">
        <v>28</v>
      </c>
      <c r="B31" s="24" t="s">
        <v>1028</v>
      </c>
      <c r="C31" s="24" t="s">
        <v>672</v>
      </c>
      <c r="D31" s="24" t="n">
        <v>7</v>
      </c>
      <c r="E31" s="24" t="n">
        <v>2</v>
      </c>
      <c r="F31" s="12" t="s">
        <v>996</v>
      </c>
    </row>
    <row r="32" customFormat="false" ht="15" hidden="false" customHeight="true" outlineLevel="0" collapsed="false">
      <c r="A32" s="24" t="n">
        <v>29</v>
      </c>
      <c r="B32" s="24" t="s">
        <v>1029</v>
      </c>
      <c r="C32" s="24" t="s">
        <v>672</v>
      </c>
      <c r="D32" s="24" t="n">
        <v>0</v>
      </c>
      <c r="E32" s="24" t="n">
        <v>0</v>
      </c>
      <c r="F32" s="12" t="s">
        <v>972</v>
      </c>
    </row>
    <row r="33" customFormat="false" ht="15" hidden="false" customHeight="true" outlineLevel="0" collapsed="false">
      <c r="A33" s="24" t="n">
        <v>30</v>
      </c>
      <c r="B33" s="24" t="s">
        <v>1030</v>
      </c>
      <c r="C33" s="24" t="s">
        <v>672</v>
      </c>
      <c r="D33" s="24" t="n">
        <v>0</v>
      </c>
      <c r="E33" s="24" t="n">
        <v>0</v>
      </c>
      <c r="F33" s="12" t="s">
        <v>972</v>
      </c>
    </row>
    <row r="34" customFormat="false" ht="15" hidden="false" customHeight="true" outlineLevel="0" collapsed="false">
      <c r="A34" s="24" t="n">
        <v>31</v>
      </c>
      <c r="B34" s="24" t="s">
        <v>1031</v>
      </c>
      <c r="C34" s="24" t="s">
        <v>1032</v>
      </c>
      <c r="D34" s="24" t="n">
        <v>4</v>
      </c>
      <c r="E34" s="24" t="n">
        <v>1</v>
      </c>
      <c r="F34" s="12" t="s">
        <v>1033</v>
      </c>
    </row>
    <row r="35" customFormat="false" ht="15" hidden="false" customHeight="true" outlineLevel="0" collapsed="false">
      <c r="A35" s="24" t="n">
        <v>32</v>
      </c>
      <c r="B35" s="24" t="s">
        <v>1034</v>
      </c>
      <c r="C35" s="24" t="s">
        <v>1035</v>
      </c>
      <c r="D35" s="24" t="n">
        <v>0</v>
      </c>
      <c r="E35" s="24" t="n">
        <v>0</v>
      </c>
      <c r="F35" s="12" t="s">
        <v>972</v>
      </c>
    </row>
    <row r="36" customFormat="false" ht="15" hidden="false" customHeight="true" outlineLevel="0" collapsed="false">
      <c r="A36" s="24" t="n">
        <v>33</v>
      </c>
      <c r="B36" s="24" t="s">
        <v>1036</v>
      </c>
      <c r="C36" s="24" t="s">
        <v>1037</v>
      </c>
      <c r="D36" s="24" t="n">
        <v>0</v>
      </c>
      <c r="E36" s="24" t="n">
        <v>0</v>
      </c>
      <c r="F36" s="12" t="s">
        <v>972</v>
      </c>
    </row>
    <row r="37" customFormat="false" ht="15" hidden="false" customHeight="true" outlineLevel="0" collapsed="false">
      <c r="A37" s="24" t="n">
        <v>34</v>
      </c>
      <c r="B37" s="24" t="s">
        <v>1038</v>
      </c>
      <c r="C37" s="24" t="s">
        <v>1039</v>
      </c>
      <c r="D37" s="24" t="n">
        <v>0</v>
      </c>
      <c r="E37" s="24" t="n">
        <v>0</v>
      </c>
      <c r="F37" s="12" t="s">
        <v>972</v>
      </c>
    </row>
    <row r="38" customFormat="false" ht="15" hidden="false" customHeight="true" outlineLevel="0" collapsed="false">
      <c r="A38" s="24" t="n">
        <v>35</v>
      </c>
      <c r="B38" s="24" t="s">
        <v>1040</v>
      </c>
      <c r="C38" s="24" t="s">
        <v>1041</v>
      </c>
      <c r="D38" s="24" t="n">
        <v>0</v>
      </c>
      <c r="E38" s="24" t="n">
        <v>0</v>
      </c>
      <c r="F38" s="12" t="s">
        <v>972</v>
      </c>
    </row>
    <row r="39" customFormat="false" ht="15" hidden="false" customHeight="true" outlineLevel="0" collapsed="false">
      <c r="A39" s="24" t="n">
        <v>36</v>
      </c>
      <c r="B39" s="24" t="s">
        <v>1042</v>
      </c>
      <c r="C39" s="24" t="s">
        <v>1043</v>
      </c>
      <c r="D39" s="24" t="n">
        <v>0</v>
      </c>
      <c r="E39" s="24" t="n">
        <v>0</v>
      </c>
      <c r="F39" s="12" t="s">
        <v>972</v>
      </c>
    </row>
    <row r="40" customFormat="false" ht="15" hidden="false" customHeight="true" outlineLevel="0" collapsed="false">
      <c r="A40" s="24" t="n">
        <v>37</v>
      </c>
      <c r="B40" s="24" t="s">
        <v>1044</v>
      </c>
      <c r="C40" s="24" t="s">
        <v>1045</v>
      </c>
      <c r="D40" s="24" t="n">
        <v>0</v>
      </c>
      <c r="E40" s="24" t="n">
        <v>0</v>
      </c>
      <c r="F40" s="12" t="s">
        <v>972</v>
      </c>
    </row>
    <row r="41" customFormat="false" ht="15" hidden="false" customHeight="true" outlineLevel="0" collapsed="false">
      <c r="A41" s="24" t="n">
        <v>38</v>
      </c>
      <c r="B41" s="24" t="s">
        <v>1046</v>
      </c>
      <c r="C41" s="24" t="s">
        <v>1047</v>
      </c>
      <c r="D41" s="24" t="n">
        <v>0</v>
      </c>
      <c r="E41" s="24" t="n">
        <v>0</v>
      </c>
      <c r="F41" s="12" t="s">
        <v>972</v>
      </c>
    </row>
    <row r="42" customFormat="false" ht="15" hidden="false" customHeight="true" outlineLevel="0" collapsed="false">
      <c r="A42" s="24" t="n">
        <v>39</v>
      </c>
      <c r="B42" s="24" t="s">
        <v>1048</v>
      </c>
      <c r="C42" s="24" t="s">
        <v>1049</v>
      </c>
      <c r="D42" s="24" t="n">
        <v>3</v>
      </c>
      <c r="E42" s="24" t="n">
        <v>1</v>
      </c>
      <c r="F42" s="12" t="s">
        <v>1050</v>
      </c>
    </row>
    <row r="43" customFormat="false" ht="15" hidden="false" customHeight="true" outlineLevel="0" collapsed="false">
      <c r="A43" s="24" t="n">
        <v>40</v>
      </c>
      <c r="B43" s="24" t="s">
        <v>1051</v>
      </c>
      <c r="C43" s="24" t="s">
        <v>1052</v>
      </c>
      <c r="D43" s="24" t="n">
        <v>0</v>
      </c>
      <c r="E43" s="24" t="n">
        <v>0</v>
      </c>
      <c r="F43" s="12" t="s">
        <v>972</v>
      </c>
    </row>
    <row r="44" customFormat="false" ht="15" hidden="false" customHeight="true" outlineLevel="0" collapsed="false">
      <c r="A44" s="24" t="n">
        <v>41</v>
      </c>
      <c r="B44" s="24" t="s">
        <v>728</v>
      </c>
      <c r="C44" s="24" t="s">
        <v>1053</v>
      </c>
      <c r="D44" s="24" t="n">
        <v>0</v>
      </c>
      <c r="E44" s="24" t="n">
        <v>0</v>
      </c>
      <c r="F44" s="12" t="s">
        <v>972</v>
      </c>
    </row>
    <row r="45" customFormat="false" ht="15" hidden="false" customHeight="true" outlineLevel="0" collapsed="false">
      <c r="A45" s="24" t="n">
        <v>42</v>
      </c>
      <c r="B45" s="24" t="s">
        <v>1054</v>
      </c>
      <c r="C45" s="24" t="s">
        <v>1055</v>
      </c>
      <c r="D45" s="24" t="n">
        <v>2</v>
      </c>
      <c r="E45" s="24" t="n">
        <v>1</v>
      </c>
      <c r="F45" s="12" t="s">
        <v>1056</v>
      </c>
    </row>
    <row r="46" customFormat="false" ht="15" hidden="false" customHeight="true" outlineLevel="0" collapsed="false">
      <c r="A46" s="24" t="n">
        <v>43</v>
      </c>
      <c r="B46" s="24" t="s">
        <v>1057</v>
      </c>
      <c r="C46" s="24" t="s">
        <v>1058</v>
      </c>
      <c r="D46" s="24" t="n">
        <v>2</v>
      </c>
      <c r="E46" s="24" t="n">
        <v>1</v>
      </c>
      <c r="F46" s="12" t="s">
        <v>1056</v>
      </c>
    </row>
    <row r="47" customFormat="false" ht="15" hidden="false" customHeight="true" outlineLevel="0" collapsed="false">
      <c r="A47" s="24" t="n">
        <v>44</v>
      </c>
      <c r="B47" s="24" t="s">
        <v>1059</v>
      </c>
      <c r="C47" s="24" t="s">
        <v>1060</v>
      </c>
      <c r="D47" s="24" t="n">
        <v>2</v>
      </c>
      <c r="E47" s="24" t="n">
        <v>1</v>
      </c>
      <c r="F47" s="12" t="s">
        <v>1056</v>
      </c>
    </row>
    <row r="48" customFormat="false" ht="15" hidden="false" customHeight="true" outlineLevel="0" collapsed="false">
      <c r="A48" s="24" t="n">
        <v>45</v>
      </c>
      <c r="B48" s="24" t="s">
        <v>1061</v>
      </c>
      <c r="C48" s="24" t="s">
        <v>1062</v>
      </c>
      <c r="D48" s="24" t="n">
        <v>2</v>
      </c>
      <c r="E48" s="24" t="n">
        <v>1</v>
      </c>
      <c r="F48" s="12" t="s">
        <v>1056</v>
      </c>
    </row>
    <row r="49" customFormat="false" ht="15" hidden="false" customHeight="true" outlineLevel="0" collapsed="false">
      <c r="A49" s="24" t="n">
        <v>46</v>
      </c>
      <c r="B49" s="24" t="s">
        <v>679</v>
      </c>
      <c r="C49" s="24" t="s">
        <v>1063</v>
      </c>
      <c r="D49" s="24" t="n">
        <v>15</v>
      </c>
      <c r="E49" s="24" t="n">
        <v>4</v>
      </c>
      <c r="F49" s="12" t="s">
        <v>1064</v>
      </c>
    </row>
    <row r="50" customFormat="false" ht="15" hidden="false" customHeight="true" outlineLevel="0" collapsed="false">
      <c r="A50" s="24" t="n">
        <v>47</v>
      </c>
      <c r="B50" s="24" t="s">
        <v>1065</v>
      </c>
      <c r="C50" s="24" t="s">
        <v>1066</v>
      </c>
      <c r="D50" s="24" t="n">
        <v>1</v>
      </c>
      <c r="E50" s="24" t="n">
        <v>1</v>
      </c>
      <c r="F50" s="12" t="s">
        <v>1067</v>
      </c>
    </row>
    <row r="51" customFormat="false" ht="15" hidden="false" customHeight="true" outlineLevel="0" collapsed="false">
      <c r="A51" s="24" t="n">
        <v>48</v>
      </c>
      <c r="B51" s="24" t="s">
        <v>1068</v>
      </c>
      <c r="C51" s="24" t="s">
        <v>1069</v>
      </c>
      <c r="D51" s="24" t="n">
        <v>0</v>
      </c>
      <c r="E51" s="24" t="n">
        <v>0</v>
      </c>
      <c r="F51" s="12" t="s">
        <v>972</v>
      </c>
    </row>
    <row r="52" customFormat="false" ht="15" hidden="false" customHeight="true" outlineLevel="0" collapsed="false">
      <c r="A52" s="24" t="n">
        <v>49</v>
      </c>
      <c r="B52" s="24" t="s">
        <v>1070</v>
      </c>
      <c r="C52" s="24" t="s">
        <v>1071</v>
      </c>
      <c r="D52" s="24" t="n">
        <v>0</v>
      </c>
      <c r="E52" s="24" t="n">
        <v>0</v>
      </c>
      <c r="F52" s="12" t="s">
        <v>972</v>
      </c>
    </row>
    <row r="53" customFormat="false" ht="15" hidden="false" customHeight="true" outlineLevel="0" collapsed="false">
      <c r="A53" s="24" t="n">
        <v>50</v>
      </c>
      <c r="B53" s="24" t="s">
        <v>1072</v>
      </c>
      <c r="C53" s="24" t="s">
        <v>1073</v>
      </c>
      <c r="D53" s="24" t="n">
        <v>0</v>
      </c>
      <c r="E53" s="24" t="n">
        <v>0</v>
      </c>
      <c r="F53" s="12" t="s">
        <v>972</v>
      </c>
    </row>
    <row r="54" customFormat="false" ht="15" hidden="false" customHeight="true" outlineLevel="0" collapsed="false">
      <c r="A54" s="24" t="n">
        <v>51</v>
      </c>
      <c r="B54" s="24" t="s">
        <v>1074</v>
      </c>
      <c r="C54" s="24" t="s">
        <v>1075</v>
      </c>
      <c r="D54" s="24" t="n">
        <v>0</v>
      </c>
      <c r="E54" s="24" t="n">
        <v>0</v>
      </c>
      <c r="F54" s="12" t="s">
        <v>972</v>
      </c>
    </row>
    <row r="55" customFormat="false" ht="15" hidden="false" customHeight="true" outlineLevel="0" collapsed="false">
      <c r="A55" s="24" t="n">
        <v>52</v>
      </c>
      <c r="B55" s="24" t="s">
        <v>1076</v>
      </c>
      <c r="C55" s="24" t="s">
        <v>1077</v>
      </c>
      <c r="D55" s="24" t="n">
        <v>4</v>
      </c>
      <c r="E55" s="24" t="n">
        <v>3</v>
      </c>
      <c r="F55" s="12" t="s">
        <v>1078</v>
      </c>
    </row>
    <row r="56" customFormat="false" ht="15" hidden="false" customHeight="true" outlineLevel="0" collapsed="false">
      <c r="A56" s="24" t="n">
        <v>53</v>
      </c>
      <c r="B56" s="24" t="s">
        <v>1079</v>
      </c>
      <c r="C56" s="24" t="s">
        <v>1080</v>
      </c>
      <c r="D56" s="24" t="n">
        <v>8</v>
      </c>
      <c r="E56" s="24" t="n">
        <v>1</v>
      </c>
      <c r="F56" s="12" t="s">
        <v>1014</v>
      </c>
    </row>
    <row r="57" customFormat="false" ht="15" hidden="false" customHeight="true" outlineLevel="0" collapsed="false">
      <c r="A57" s="24" t="n">
        <v>54</v>
      </c>
      <c r="B57" s="24" t="s">
        <v>1081</v>
      </c>
      <c r="C57" s="24" t="s">
        <v>1082</v>
      </c>
      <c r="D57" s="24" t="n">
        <v>8</v>
      </c>
      <c r="E57" s="24" t="n">
        <v>1</v>
      </c>
      <c r="F57" s="12" t="s">
        <v>1014</v>
      </c>
    </row>
    <row r="58" customFormat="false" ht="15" hidden="false" customHeight="true" outlineLevel="0" collapsed="false">
      <c r="A58" s="24" t="n">
        <v>55</v>
      </c>
      <c r="B58" s="24" t="s">
        <v>1083</v>
      </c>
      <c r="C58" s="24" t="s">
        <v>1084</v>
      </c>
      <c r="D58" s="24" t="n">
        <v>0</v>
      </c>
      <c r="E58" s="24" t="n">
        <v>0</v>
      </c>
      <c r="F58" s="12" t="s">
        <v>972</v>
      </c>
    </row>
    <row r="59" customFormat="false" ht="15" hidden="false" customHeight="true" outlineLevel="0" collapsed="false">
      <c r="A59" s="24" t="n">
        <v>56</v>
      </c>
      <c r="B59" s="24" t="s">
        <v>1085</v>
      </c>
      <c r="C59" s="24" t="s">
        <v>1086</v>
      </c>
      <c r="D59" s="24" t="n">
        <v>15</v>
      </c>
      <c r="E59" s="24" t="n">
        <v>3</v>
      </c>
      <c r="F59" s="12" t="s">
        <v>1087</v>
      </c>
    </row>
    <row r="60" customFormat="false" ht="15" hidden="false" customHeight="true" outlineLevel="0" collapsed="false">
      <c r="A60" s="24" t="n">
        <v>57</v>
      </c>
      <c r="B60" s="24" t="s">
        <v>1088</v>
      </c>
      <c r="C60" s="24" t="s">
        <v>1089</v>
      </c>
      <c r="D60" s="24" t="n">
        <v>22</v>
      </c>
      <c r="E60" s="24" t="n">
        <v>4</v>
      </c>
      <c r="F60" s="12" t="s">
        <v>1090</v>
      </c>
    </row>
    <row r="61" customFormat="false" ht="15" hidden="false" customHeight="true" outlineLevel="0" collapsed="false">
      <c r="A61" s="24" t="n">
        <v>58</v>
      </c>
      <c r="B61" s="24" t="s">
        <v>1091</v>
      </c>
      <c r="C61" s="24" t="s">
        <v>1092</v>
      </c>
      <c r="D61" s="24" t="n">
        <v>14</v>
      </c>
      <c r="E61" s="24" t="n">
        <v>3</v>
      </c>
      <c r="F61" s="12" t="s">
        <v>1093</v>
      </c>
    </row>
    <row r="62" customFormat="false" ht="15" hidden="false" customHeight="true" outlineLevel="0" collapsed="false">
      <c r="A62" s="24" t="n">
        <v>59</v>
      </c>
      <c r="B62" s="24" t="s">
        <v>1094</v>
      </c>
      <c r="C62" s="24" t="s">
        <v>1095</v>
      </c>
      <c r="D62" s="24" t="n">
        <v>0</v>
      </c>
      <c r="E62" s="24" t="n">
        <v>0</v>
      </c>
      <c r="F62" s="12" t="s">
        <v>972</v>
      </c>
    </row>
    <row r="63" customFormat="false" ht="15" hidden="false" customHeight="true" outlineLevel="0" collapsed="false">
      <c r="A63" s="24" t="n">
        <v>60</v>
      </c>
      <c r="B63" s="24" t="s">
        <v>1096</v>
      </c>
      <c r="C63" s="24" t="s">
        <v>727</v>
      </c>
      <c r="D63" s="24" t="n">
        <v>7</v>
      </c>
      <c r="E63" s="24" t="n">
        <v>2</v>
      </c>
      <c r="F63" s="12" t="s">
        <v>1097</v>
      </c>
    </row>
    <row r="64" customFormat="false" ht="15" hidden="false" customHeight="true" outlineLevel="0" collapsed="false">
      <c r="A64" s="24" t="n">
        <v>61</v>
      </c>
      <c r="B64" s="24" t="s">
        <v>1098</v>
      </c>
      <c r="C64" s="24" t="s">
        <v>1099</v>
      </c>
      <c r="D64" s="24" t="n">
        <v>0</v>
      </c>
      <c r="E64" s="24" t="n">
        <v>0</v>
      </c>
      <c r="F64" s="12" t="s">
        <v>972</v>
      </c>
    </row>
    <row r="65" customFormat="false" ht="15" hidden="false" customHeight="true" outlineLevel="0" collapsed="false">
      <c r="A65" s="24" t="n">
        <v>62</v>
      </c>
      <c r="B65" s="24" t="s">
        <v>1100</v>
      </c>
      <c r="C65" s="24" t="s">
        <v>1101</v>
      </c>
      <c r="D65" s="24" t="n">
        <v>0</v>
      </c>
      <c r="E65" s="24" t="n">
        <v>0</v>
      </c>
      <c r="F65" s="12" t="s">
        <v>972</v>
      </c>
    </row>
    <row r="66" customFormat="false" ht="15" hidden="false" customHeight="true" outlineLevel="0" collapsed="false">
      <c r="A66" s="24" t="n">
        <v>63</v>
      </c>
      <c r="B66" s="24" t="s">
        <v>1102</v>
      </c>
      <c r="C66" s="24" t="s">
        <v>1103</v>
      </c>
      <c r="D66" s="24" t="n">
        <v>0</v>
      </c>
      <c r="E66" s="24" t="n">
        <v>0</v>
      </c>
      <c r="F66" s="12" t="s">
        <v>972</v>
      </c>
    </row>
    <row r="67" customFormat="false" ht="15" hidden="false" customHeight="true" outlineLevel="0" collapsed="false">
      <c r="A67" s="24" t="n">
        <v>64</v>
      </c>
      <c r="B67" s="24" t="s">
        <v>1104</v>
      </c>
      <c r="C67" s="24" t="s">
        <v>1105</v>
      </c>
      <c r="D67" s="24" t="n">
        <v>0</v>
      </c>
      <c r="E67" s="24" t="n">
        <v>0</v>
      </c>
      <c r="F67" s="12" t="s">
        <v>972</v>
      </c>
    </row>
    <row r="68" customFormat="false" ht="15" hidden="false" customHeight="true" outlineLevel="0" collapsed="false">
      <c r="A68" s="24" t="n">
        <v>65</v>
      </c>
      <c r="B68" s="24" t="s">
        <v>1106</v>
      </c>
      <c r="C68" s="24" t="s">
        <v>1107</v>
      </c>
      <c r="D68" s="24" t="n">
        <v>0</v>
      </c>
      <c r="E68" s="24" t="n">
        <v>0</v>
      </c>
      <c r="F68" s="12" t="s">
        <v>972</v>
      </c>
    </row>
    <row r="69" customFormat="false" ht="15" hidden="false" customHeight="true" outlineLevel="0" collapsed="false">
      <c r="A69" s="24" t="n">
        <v>66</v>
      </c>
      <c r="B69" s="24" t="s">
        <v>1108</v>
      </c>
      <c r="C69" s="24" t="s">
        <v>1109</v>
      </c>
      <c r="D69" s="24" t="n">
        <v>0</v>
      </c>
      <c r="E69" s="24" t="n">
        <v>0</v>
      </c>
      <c r="F69" s="12" t="s">
        <v>972</v>
      </c>
    </row>
    <row r="70" customFormat="false" ht="15" hidden="false" customHeight="true" outlineLevel="0" collapsed="false">
      <c r="A70" s="24" t="n">
        <v>67</v>
      </c>
      <c r="B70" s="24" t="s">
        <v>1110</v>
      </c>
      <c r="C70" s="24" t="s">
        <v>1111</v>
      </c>
      <c r="D70" s="24" t="n">
        <v>0</v>
      </c>
      <c r="E70" s="24" t="n">
        <v>0</v>
      </c>
      <c r="F70" s="12" t="s">
        <v>972</v>
      </c>
    </row>
    <row r="71" customFormat="false" ht="15" hidden="false" customHeight="true" outlineLevel="0" collapsed="false">
      <c r="A71" s="24" t="n">
        <v>68</v>
      </c>
      <c r="B71" s="24" t="s">
        <v>1112</v>
      </c>
      <c r="C71" s="24" t="s">
        <v>1113</v>
      </c>
      <c r="D71" s="24" t="n">
        <v>0</v>
      </c>
      <c r="E71" s="24" t="n">
        <v>0</v>
      </c>
      <c r="F71" s="12" t="s">
        <v>972</v>
      </c>
    </row>
    <row r="72" customFormat="false" ht="15" hidden="false" customHeight="true" outlineLevel="0" collapsed="false">
      <c r="A72" s="24" t="n">
        <v>69</v>
      </c>
      <c r="B72" s="24" t="s">
        <v>1114</v>
      </c>
      <c r="C72" s="24" t="s">
        <v>1115</v>
      </c>
      <c r="D72" s="24" t="n">
        <v>0</v>
      </c>
      <c r="E72" s="24" t="n">
        <v>0</v>
      </c>
      <c r="F72" s="12" t="s">
        <v>972</v>
      </c>
    </row>
    <row r="73" customFormat="false" ht="15" hidden="false" customHeight="true" outlineLevel="0" collapsed="false">
      <c r="A73" s="24" t="n">
        <v>70</v>
      </c>
      <c r="B73" s="24" t="s">
        <v>1116</v>
      </c>
      <c r="C73" s="24" t="s">
        <v>1115</v>
      </c>
      <c r="D73" s="24" t="n">
        <v>8</v>
      </c>
      <c r="E73" s="24" t="n">
        <v>1</v>
      </c>
      <c r="F73" s="12" t="s">
        <v>1014</v>
      </c>
    </row>
    <row r="74" customFormat="false" ht="15" hidden="false" customHeight="true" outlineLevel="0" collapsed="false">
      <c r="A74" s="24" t="n">
        <v>71</v>
      </c>
      <c r="B74" s="24" t="s">
        <v>1117</v>
      </c>
      <c r="C74" s="24" t="s">
        <v>1115</v>
      </c>
      <c r="D74" s="24" t="n">
        <v>8</v>
      </c>
      <c r="E74" s="24" t="n">
        <v>1</v>
      </c>
      <c r="F74" s="12" t="s">
        <v>1014</v>
      </c>
    </row>
    <row r="75" customFormat="false" ht="15" hidden="false" customHeight="true" outlineLevel="0" collapsed="false">
      <c r="A75" s="24" t="n">
        <v>72</v>
      </c>
      <c r="B75" s="24" t="s">
        <v>1118</v>
      </c>
      <c r="C75" s="24" t="s">
        <v>1115</v>
      </c>
      <c r="D75" s="24" t="n">
        <v>8</v>
      </c>
      <c r="E75" s="24" t="n">
        <v>1</v>
      </c>
      <c r="F75" s="12" t="s">
        <v>1014</v>
      </c>
    </row>
    <row r="76" customFormat="false" ht="15" hidden="false" customHeight="true" outlineLevel="0" collapsed="false">
      <c r="A76" s="24" t="n">
        <v>73</v>
      </c>
      <c r="B76" s="24" t="s">
        <v>1119</v>
      </c>
      <c r="C76" s="24" t="s">
        <v>1115</v>
      </c>
      <c r="D76" s="24" t="n">
        <v>8</v>
      </c>
      <c r="E76" s="24" t="n">
        <v>1</v>
      </c>
      <c r="F76" s="12" t="s">
        <v>1014</v>
      </c>
    </row>
    <row r="77" customFormat="false" ht="15" hidden="false" customHeight="true" outlineLevel="0" collapsed="false">
      <c r="A77" s="24" t="n">
        <v>74</v>
      </c>
      <c r="B77" s="24" t="s">
        <v>1120</v>
      </c>
      <c r="C77" s="24" t="s">
        <v>1121</v>
      </c>
      <c r="D77" s="24" t="n">
        <v>5</v>
      </c>
      <c r="E77" s="24" t="n">
        <v>3</v>
      </c>
      <c r="F77" s="12" t="s">
        <v>1122</v>
      </c>
    </row>
    <row r="78" customFormat="false" ht="15" hidden="false" customHeight="true" outlineLevel="0" collapsed="false">
      <c r="A78" s="24" t="n">
        <v>75</v>
      </c>
      <c r="B78" s="24" t="s">
        <v>1123</v>
      </c>
      <c r="C78" s="24" t="s">
        <v>1124</v>
      </c>
      <c r="D78" s="24" t="n">
        <v>2</v>
      </c>
      <c r="E78" s="24" t="n">
        <v>1</v>
      </c>
      <c r="F78" s="12" t="s">
        <v>1056</v>
      </c>
    </row>
    <row r="79" customFormat="false" ht="15" hidden="false" customHeight="true" outlineLevel="0" collapsed="false">
      <c r="A79" s="24" t="n">
        <v>76</v>
      </c>
      <c r="B79" s="24" t="s">
        <v>1125</v>
      </c>
      <c r="C79" s="24" t="s">
        <v>1126</v>
      </c>
      <c r="D79" s="24" t="n">
        <v>0</v>
      </c>
      <c r="E79" s="24" t="n">
        <v>0</v>
      </c>
      <c r="F79" s="12" t="s">
        <v>972</v>
      </c>
    </row>
    <row r="80" customFormat="false" ht="15" hidden="false" customHeight="true" outlineLevel="0" collapsed="false">
      <c r="A80" s="24" t="n">
        <v>77</v>
      </c>
      <c r="B80" s="24" t="s">
        <v>1127</v>
      </c>
      <c r="C80" s="24" t="s">
        <v>1128</v>
      </c>
      <c r="D80" s="24" t="n">
        <v>0</v>
      </c>
      <c r="E80" s="24" t="n">
        <v>0</v>
      </c>
      <c r="F80" s="12" t="s">
        <v>972</v>
      </c>
    </row>
    <row r="81" customFormat="false" ht="15" hidden="false" customHeight="true" outlineLevel="0" collapsed="false">
      <c r="A81" s="24" t="n">
        <v>78</v>
      </c>
      <c r="B81" s="24" t="s">
        <v>1129</v>
      </c>
      <c r="C81" s="24" t="s">
        <v>1130</v>
      </c>
      <c r="D81" s="24" t="n">
        <v>5</v>
      </c>
      <c r="E81" s="24" t="n">
        <v>3</v>
      </c>
      <c r="F81" s="12" t="s">
        <v>1122</v>
      </c>
    </row>
    <row r="82" customFormat="false" ht="15" hidden="false" customHeight="true" outlineLevel="0" collapsed="false">
      <c r="A82" s="24" t="n">
        <v>79</v>
      </c>
      <c r="B82" s="24" t="s">
        <v>1131</v>
      </c>
      <c r="C82" s="24" t="s">
        <v>1132</v>
      </c>
      <c r="D82" s="24" t="n">
        <v>0</v>
      </c>
      <c r="E82" s="24" t="n">
        <v>0</v>
      </c>
      <c r="F82" s="12" t="s">
        <v>972</v>
      </c>
    </row>
    <row r="83" customFormat="false" ht="15" hidden="false" customHeight="true" outlineLevel="0" collapsed="false">
      <c r="A83" s="24" t="n">
        <v>80</v>
      </c>
      <c r="B83" s="24" t="s">
        <v>1133</v>
      </c>
      <c r="C83" s="24" t="s">
        <v>1134</v>
      </c>
      <c r="D83" s="24" t="n">
        <v>1</v>
      </c>
      <c r="E83" s="24" t="n">
        <v>1</v>
      </c>
      <c r="F83" s="12" t="s">
        <v>1006</v>
      </c>
    </row>
    <row r="84" customFormat="false" ht="15" hidden="false" customHeight="true" outlineLevel="0" collapsed="false">
      <c r="A84" s="24" t="n">
        <v>81</v>
      </c>
      <c r="B84" s="24" t="s">
        <v>1135</v>
      </c>
      <c r="C84" s="24" t="s">
        <v>1136</v>
      </c>
      <c r="D84" s="24" t="n">
        <v>3</v>
      </c>
      <c r="E84" s="24" t="n">
        <v>2</v>
      </c>
      <c r="F84" s="12" t="s">
        <v>1137</v>
      </c>
    </row>
    <row r="85" customFormat="false" ht="15" hidden="false" customHeight="true" outlineLevel="0" collapsed="false">
      <c r="A85" s="24" t="n">
        <v>82</v>
      </c>
      <c r="B85" s="24" t="s">
        <v>1138</v>
      </c>
      <c r="C85" s="24" t="s">
        <v>1139</v>
      </c>
      <c r="D85" s="24" t="n">
        <v>0</v>
      </c>
      <c r="E85" s="24" t="n">
        <v>0</v>
      </c>
      <c r="F85" s="12" t="s">
        <v>972</v>
      </c>
    </row>
    <row r="86" customFormat="false" ht="15" hidden="false" customHeight="true" outlineLevel="0" collapsed="false">
      <c r="A86" s="24" t="n">
        <v>83</v>
      </c>
      <c r="B86" s="24" t="s">
        <v>1140</v>
      </c>
      <c r="C86" s="24" t="s">
        <v>1141</v>
      </c>
      <c r="D86" s="24" t="n">
        <v>0</v>
      </c>
      <c r="E86" s="24" t="n">
        <v>0</v>
      </c>
      <c r="F86" s="12" t="s">
        <v>972</v>
      </c>
    </row>
    <row r="87" customFormat="false" ht="15" hidden="false" customHeight="true" outlineLevel="0" collapsed="false">
      <c r="A87" s="24" t="n">
        <v>84</v>
      </c>
      <c r="B87" s="24" t="s">
        <v>1142</v>
      </c>
      <c r="C87" s="24" t="s">
        <v>1143</v>
      </c>
      <c r="D87" s="24" t="n">
        <v>0</v>
      </c>
      <c r="E87" s="24" t="n">
        <v>0</v>
      </c>
      <c r="F87" s="12" t="s">
        <v>972</v>
      </c>
    </row>
    <row r="88" customFormat="false" ht="15" hidden="false" customHeight="true" outlineLevel="0" collapsed="false">
      <c r="A88" s="24" t="n">
        <v>85</v>
      </c>
      <c r="B88" s="24" t="s">
        <v>1144</v>
      </c>
      <c r="C88" s="24" t="s">
        <v>1145</v>
      </c>
      <c r="D88" s="24" t="n">
        <v>0</v>
      </c>
      <c r="E88" s="24" t="n">
        <v>0</v>
      </c>
      <c r="F88" s="12" t="s">
        <v>972</v>
      </c>
    </row>
    <row r="89" customFormat="false" ht="15" hidden="false" customHeight="true" outlineLevel="0" collapsed="false">
      <c r="A89" s="24" t="n">
        <v>86</v>
      </c>
      <c r="B89" s="24" t="s">
        <v>1146</v>
      </c>
      <c r="C89" s="24" t="s">
        <v>1147</v>
      </c>
      <c r="D89" s="24" t="n">
        <v>0</v>
      </c>
      <c r="E89" s="24" t="n">
        <v>0</v>
      </c>
      <c r="F89" s="12" t="s">
        <v>972</v>
      </c>
    </row>
    <row r="90" customFormat="false" ht="15" hidden="false" customHeight="true" outlineLevel="0" collapsed="false">
      <c r="A90" s="24" t="n">
        <v>87</v>
      </c>
      <c r="B90" s="24" t="s">
        <v>1148</v>
      </c>
      <c r="C90" s="24" t="s">
        <v>1149</v>
      </c>
      <c r="D90" s="24" t="n">
        <v>1</v>
      </c>
      <c r="E90" s="24" t="n">
        <v>1</v>
      </c>
      <c r="F90" s="12" t="s">
        <v>1006</v>
      </c>
    </row>
    <row r="91" customFormat="false" ht="15" hidden="false" customHeight="true" outlineLevel="0" collapsed="false">
      <c r="A91" s="24" t="n">
        <v>88</v>
      </c>
      <c r="B91" s="24" t="s">
        <v>1150</v>
      </c>
      <c r="C91" s="24" t="s">
        <v>1145</v>
      </c>
      <c r="D91" s="24" t="n">
        <v>0</v>
      </c>
      <c r="E91" s="24" t="n">
        <v>0</v>
      </c>
      <c r="F91" s="12" t="s">
        <v>972</v>
      </c>
    </row>
    <row r="92" customFormat="false" ht="15" hidden="false" customHeight="true" outlineLevel="0" collapsed="false">
      <c r="A92" s="24" t="n">
        <v>89</v>
      </c>
      <c r="B92" s="24" t="s">
        <v>1151</v>
      </c>
      <c r="C92" s="24" t="s">
        <v>1152</v>
      </c>
      <c r="D92" s="24" t="n">
        <v>0</v>
      </c>
      <c r="E92" s="24" t="n">
        <v>0</v>
      </c>
      <c r="F92" s="12" t="s">
        <v>972</v>
      </c>
    </row>
    <row r="93" customFormat="false" ht="15" hidden="false" customHeight="true" outlineLevel="0" collapsed="false">
      <c r="A93" s="24" t="n">
        <v>90</v>
      </c>
      <c r="B93" s="24" t="s">
        <v>1153</v>
      </c>
      <c r="C93" s="24" t="s">
        <v>1154</v>
      </c>
      <c r="D93" s="24" t="n">
        <v>0</v>
      </c>
      <c r="E93" s="24" t="n">
        <v>0</v>
      </c>
      <c r="F93" s="12" t="s">
        <v>972</v>
      </c>
    </row>
    <row r="94" customFormat="false" ht="15" hidden="false" customHeight="true" outlineLevel="0" collapsed="false">
      <c r="A94" s="24" t="n">
        <v>91</v>
      </c>
      <c r="B94" s="24" t="s">
        <v>1155</v>
      </c>
      <c r="C94" s="24" t="s">
        <v>1156</v>
      </c>
      <c r="D94" s="24" t="n">
        <v>0</v>
      </c>
      <c r="E94" s="24" t="n">
        <v>0</v>
      </c>
      <c r="F94" s="12" t="s">
        <v>972</v>
      </c>
    </row>
    <row r="95" customFormat="false" ht="15" hidden="false" customHeight="true" outlineLevel="0" collapsed="false">
      <c r="A95" s="24" t="n">
        <v>92</v>
      </c>
      <c r="B95" s="24" t="s">
        <v>1157</v>
      </c>
      <c r="C95" s="24" t="s">
        <v>1158</v>
      </c>
      <c r="D95" s="24" t="n">
        <v>0</v>
      </c>
      <c r="E95" s="24" t="n">
        <v>0</v>
      </c>
      <c r="F95" s="12" t="s">
        <v>972</v>
      </c>
    </row>
    <row r="96" customFormat="false" ht="15" hidden="false" customHeight="true" outlineLevel="0" collapsed="false">
      <c r="A96" s="24" t="n">
        <v>93</v>
      </c>
      <c r="B96" s="24" t="s">
        <v>1159</v>
      </c>
      <c r="C96" s="24" t="s">
        <v>1160</v>
      </c>
      <c r="D96" s="24" t="n">
        <v>0</v>
      </c>
      <c r="E96" s="24" t="n">
        <v>0</v>
      </c>
      <c r="F96" s="12" t="s">
        <v>972</v>
      </c>
    </row>
    <row r="97" customFormat="false" ht="15" hidden="false" customHeight="true" outlineLevel="0" collapsed="false">
      <c r="A97" s="24" t="n">
        <v>94</v>
      </c>
      <c r="B97" s="24" t="s">
        <v>1161</v>
      </c>
      <c r="C97" s="24" t="s">
        <v>1162</v>
      </c>
      <c r="D97" s="24" t="n">
        <v>0</v>
      </c>
      <c r="E97" s="24" t="n">
        <v>0</v>
      </c>
      <c r="F97" s="12" t="s">
        <v>972</v>
      </c>
    </row>
    <row r="98" customFormat="false" ht="15" hidden="false" customHeight="true" outlineLevel="0" collapsed="false">
      <c r="A98" s="24" t="n">
        <v>95</v>
      </c>
      <c r="B98" s="24" t="s">
        <v>1163</v>
      </c>
      <c r="C98" s="24" t="s">
        <v>1164</v>
      </c>
      <c r="D98" s="24" t="n">
        <v>0</v>
      </c>
      <c r="E98" s="24" t="n">
        <v>0</v>
      </c>
      <c r="F98" s="12" t="s">
        <v>972</v>
      </c>
    </row>
    <row r="99" customFormat="false" ht="15" hidden="false" customHeight="true" outlineLevel="0" collapsed="false">
      <c r="A99" s="24" t="n">
        <v>96</v>
      </c>
      <c r="B99" s="24" t="s">
        <v>1165</v>
      </c>
      <c r="C99" s="24" t="s">
        <v>1166</v>
      </c>
      <c r="D99" s="24" t="n">
        <v>0</v>
      </c>
      <c r="E99" s="24" t="n">
        <v>0</v>
      </c>
      <c r="F99" s="12" t="s">
        <v>972</v>
      </c>
    </row>
    <row r="100" customFormat="false" ht="15" hidden="false" customHeight="true" outlineLevel="0" collapsed="false">
      <c r="A100" s="24" t="n">
        <v>97</v>
      </c>
      <c r="B100" s="24" t="s">
        <v>1167</v>
      </c>
      <c r="C100" s="24" t="s">
        <v>1168</v>
      </c>
      <c r="D100" s="24" t="n">
        <v>0</v>
      </c>
      <c r="E100" s="24" t="n">
        <v>0</v>
      </c>
      <c r="F100" s="12" t="s">
        <v>972</v>
      </c>
    </row>
    <row r="101" customFormat="false" ht="15" hidden="false" customHeight="true" outlineLevel="0" collapsed="false">
      <c r="A101" s="24" t="n">
        <v>98</v>
      </c>
      <c r="B101" s="24" t="s">
        <v>1169</v>
      </c>
      <c r="C101" s="24" t="s">
        <v>1170</v>
      </c>
      <c r="D101" s="24" t="n">
        <v>4</v>
      </c>
      <c r="E101" s="24" t="n">
        <v>2</v>
      </c>
      <c r="F101" s="12" t="s">
        <v>1171</v>
      </c>
    </row>
    <row r="102" customFormat="false" ht="15" hidden="false" customHeight="true" outlineLevel="0" collapsed="false">
      <c r="A102" s="24" t="n">
        <v>99</v>
      </c>
      <c r="B102" s="24" t="s">
        <v>1172</v>
      </c>
      <c r="C102" s="24" t="s">
        <v>1173</v>
      </c>
      <c r="D102" s="24" t="n">
        <v>4</v>
      </c>
      <c r="E102" s="24" t="n">
        <v>2</v>
      </c>
      <c r="F102" s="12" t="s">
        <v>1171</v>
      </c>
    </row>
    <row r="103" customFormat="false" ht="15" hidden="false" customHeight="true" outlineLevel="0" collapsed="false">
      <c r="A103" s="24" t="n">
        <v>100</v>
      </c>
      <c r="B103" s="24" t="s">
        <v>1174</v>
      </c>
      <c r="C103" s="24" t="s">
        <v>1175</v>
      </c>
      <c r="D103" s="24" t="n">
        <v>4</v>
      </c>
      <c r="E103" s="24" t="n">
        <v>2</v>
      </c>
      <c r="F103" s="12" t="s">
        <v>1171</v>
      </c>
    </row>
    <row r="104" customFormat="false" ht="15" hidden="false" customHeight="true" outlineLevel="0" collapsed="false">
      <c r="A104" s="24" t="n">
        <v>101</v>
      </c>
      <c r="B104" s="24" t="s">
        <v>1176</v>
      </c>
      <c r="C104" s="24" t="s">
        <v>1177</v>
      </c>
      <c r="D104" s="24" t="n">
        <v>0</v>
      </c>
      <c r="E104" s="24" t="n">
        <v>0</v>
      </c>
      <c r="F104" s="12" t="s">
        <v>972</v>
      </c>
    </row>
    <row r="105" customFormat="false" ht="15" hidden="false" customHeight="true" outlineLevel="0" collapsed="false">
      <c r="A105" s="24" t="n">
        <v>102</v>
      </c>
      <c r="B105" s="24" t="s">
        <v>1178</v>
      </c>
      <c r="C105" s="24" t="s">
        <v>1179</v>
      </c>
      <c r="D105" s="24" t="n">
        <v>0</v>
      </c>
      <c r="E105" s="24" t="n">
        <v>0</v>
      </c>
      <c r="F105" s="12" t="s">
        <v>972</v>
      </c>
    </row>
    <row r="106" customFormat="false" ht="15" hidden="false" customHeight="true" outlineLevel="0" collapsed="false">
      <c r="A106" s="24" t="n">
        <v>103</v>
      </c>
      <c r="B106" s="24" t="s">
        <v>1180</v>
      </c>
      <c r="C106" s="24" t="s">
        <v>1181</v>
      </c>
      <c r="D106" s="24" t="n">
        <v>0</v>
      </c>
      <c r="E106" s="24" t="n">
        <v>0</v>
      </c>
      <c r="F106" s="12" t="s">
        <v>972</v>
      </c>
    </row>
    <row r="107" customFormat="false" ht="15" hidden="false" customHeight="true" outlineLevel="0" collapsed="false">
      <c r="A107" s="24" t="n">
        <v>104</v>
      </c>
      <c r="B107" s="24" t="s">
        <v>1182</v>
      </c>
      <c r="C107" s="24" t="s">
        <v>1183</v>
      </c>
      <c r="D107" s="24" t="n">
        <v>0</v>
      </c>
      <c r="E107" s="24" t="n">
        <v>0</v>
      </c>
      <c r="F107" s="12" t="s">
        <v>972</v>
      </c>
    </row>
    <row r="108" customFormat="false" ht="15" hidden="false" customHeight="true" outlineLevel="0" collapsed="false">
      <c r="A108" s="24" t="n">
        <v>105</v>
      </c>
      <c r="B108" s="24" t="s">
        <v>1184</v>
      </c>
      <c r="C108" s="24" t="s">
        <v>1185</v>
      </c>
      <c r="D108" s="24" t="n">
        <v>0</v>
      </c>
      <c r="E108" s="24" t="n">
        <v>0</v>
      </c>
      <c r="F108" s="12" t="s">
        <v>972</v>
      </c>
    </row>
    <row r="109" customFormat="false" ht="15" hidden="false" customHeight="true" outlineLevel="0" collapsed="false">
      <c r="A109" s="24" t="n">
        <v>106</v>
      </c>
      <c r="B109" s="24" t="s">
        <v>1186</v>
      </c>
      <c r="C109" s="24" t="s">
        <v>1187</v>
      </c>
      <c r="D109" s="24" t="n">
        <v>0</v>
      </c>
      <c r="E109" s="24" t="n">
        <v>0</v>
      </c>
      <c r="F109" s="12" t="s">
        <v>972</v>
      </c>
    </row>
    <row r="110" customFormat="false" ht="15" hidden="false" customHeight="true" outlineLevel="0" collapsed="false">
      <c r="A110" s="24" t="n">
        <v>107</v>
      </c>
      <c r="B110" s="24" t="s">
        <v>1188</v>
      </c>
      <c r="C110" s="24" t="s">
        <v>1189</v>
      </c>
      <c r="D110" s="24" t="n">
        <v>0</v>
      </c>
      <c r="E110" s="24" t="n">
        <v>0</v>
      </c>
      <c r="F110" s="12" t="s">
        <v>972</v>
      </c>
    </row>
    <row r="111" customFormat="false" ht="15" hidden="false" customHeight="true" outlineLevel="0" collapsed="false">
      <c r="A111" s="24" t="n">
        <v>108</v>
      </c>
      <c r="B111" s="24" t="s">
        <v>1190</v>
      </c>
      <c r="C111" s="24" t="s">
        <v>1191</v>
      </c>
      <c r="D111" s="24" t="n">
        <v>0</v>
      </c>
      <c r="E111" s="24" t="n">
        <v>0</v>
      </c>
      <c r="F111" s="12" t="s">
        <v>972</v>
      </c>
    </row>
    <row r="112" customFormat="false" ht="15" hidden="false" customHeight="true" outlineLevel="0" collapsed="false">
      <c r="A112" s="24" t="n">
        <v>109</v>
      </c>
      <c r="B112" s="24" t="s">
        <v>1192</v>
      </c>
      <c r="C112" s="24" t="s">
        <v>1193</v>
      </c>
      <c r="D112" s="24" t="n">
        <v>116</v>
      </c>
      <c r="E112" s="24" t="n">
        <v>6</v>
      </c>
      <c r="F112" s="12" t="s">
        <v>1194</v>
      </c>
    </row>
    <row r="113" customFormat="false" ht="15" hidden="false" customHeight="true" outlineLevel="0" collapsed="false">
      <c r="A113" s="24" t="n">
        <v>110</v>
      </c>
      <c r="B113" s="24" t="s">
        <v>1195</v>
      </c>
      <c r="C113" s="24" t="s">
        <v>1196</v>
      </c>
      <c r="D113" s="24" t="n">
        <v>0</v>
      </c>
      <c r="E113" s="24" t="n">
        <v>0</v>
      </c>
      <c r="F113" s="12" t="s">
        <v>972</v>
      </c>
    </row>
    <row r="114" customFormat="false" ht="15" hidden="false" customHeight="true" outlineLevel="0" collapsed="false">
      <c r="A114" s="24" t="n">
        <v>111</v>
      </c>
      <c r="B114" s="24" t="s">
        <v>1197</v>
      </c>
      <c r="C114" s="24" t="s">
        <v>1198</v>
      </c>
      <c r="D114" s="24" t="n">
        <v>1</v>
      </c>
      <c r="E114" s="24" t="n">
        <v>1</v>
      </c>
      <c r="F114" s="12" t="s">
        <v>1067</v>
      </c>
    </row>
    <row r="115" customFormat="false" ht="15" hidden="false" customHeight="true" outlineLevel="0" collapsed="false">
      <c r="A115" s="24" t="n">
        <v>112</v>
      </c>
      <c r="B115" s="24" t="s">
        <v>1199</v>
      </c>
      <c r="C115" s="24" t="s">
        <v>1200</v>
      </c>
      <c r="D115" s="24" t="n">
        <v>1</v>
      </c>
      <c r="E115" s="24" t="n">
        <v>1</v>
      </c>
      <c r="F115" s="12" t="s">
        <v>1067</v>
      </c>
    </row>
    <row r="116" customFormat="false" ht="15" hidden="false" customHeight="true" outlineLevel="0" collapsed="false">
      <c r="A116" s="24" t="n">
        <v>113</v>
      </c>
      <c r="B116" s="24" t="s">
        <v>1201</v>
      </c>
      <c r="C116" s="24" t="s">
        <v>1202</v>
      </c>
      <c r="D116" s="24" t="n">
        <v>1</v>
      </c>
      <c r="E116" s="24" t="n">
        <v>1</v>
      </c>
      <c r="F116" s="12" t="s">
        <v>1067</v>
      </c>
    </row>
    <row r="117" customFormat="false" ht="15" hidden="false" customHeight="true" outlineLevel="0" collapsed="false">
      <c r="A117" s="24" t="n">
        <v>114</v>
      </c>
      <c r="B117" s="24" t="s">
        <v>649</v>
      </c>
      <c r="C117" s="24" t="s">
        <v>1203</v>
      </c>
      <c r="D117" s="24" t="n">
        <v>0</v>
      </c>
      <c r="E117" s="24" t="n">
        <v>0</v>
      </c>
      <c r="F117" s="12" t="s">
        <v>972</v>
      </c>
    </row>
    <row r="118" customFormat="false" ht="15" hidden="false" customHeight="true" outlineLevel="0" collapsed="false">
      <c r="A118" s="24" t="n">
        <v>115</v>
      </c>
      <c r="B118" s="24" t="s">
        <v>1204</v>
      </c>
      <c r="C118" s="24" t="s">
        <v>1205</v>
      </c>
      <c r="D118" s="24" t="n">
        <v>0</v>
      </c>
      <c r="E118" s="24" t="n">
        <v>0</v>
      </c>
      <c r="F118" s="12" t="s">
        <v>972</v>
      </c>
    </row>
    <row r="119" customFormat="false" ht="15" hidden="false" customHeight="true" outlineLevel="0" collapsed="false">
      <c r="A119" s="24" t="n">
        <v>116</v>
      </c>
      <c r="B119" s="24" t="s">
        <v>1206</v>
      </c>
      <c r="C119" s="24" t="s">
        <v>1207</v>
      </c>
      <c r="D119" s="24" t="n">
        <v>0</v>
      </c>
      <c r="E119" s="24" t="n">
        <v>0</v>
      </c>
      <c r="F119" s="12" t="s">
        <v>972</v>
      </c>
    </row>
    <row r="120" customFormat="false" ht="15" hidden="false" customHeight="true" outlineLevel="0" collapsed="false">
      <c r="A120" s="24" t="n">
        <v>117</v>
      </c>
      <c r="B120" s="24" t="s">
        <v>1208</v>
      </c>
      <c r="C120" s="24" t="s">
        <v>1209</v>
      </c>
      <c r="D120" s="24" t="n">
        <v>0</v>
      </c>
      <c r="E120" s="24" t="n">
        <v>0</v>
      </c>
      <c r="F120" s="12" t="s">
        <v>972</v>
      </c>
    </row>
    <row r="121" customFormat="false" ht="15" hidden="false" customHeight="true" outlineLevel="0" collapsed="false">
      <c r="A121" s="24" t="n">
        <v>118</v>
      </c>
      <c r="B121" s="24" t="s">
        <v>1210</v>
      </c>
      <c r="C121" s="24" t="s">
        <v>1211</v>
      </c>
      <c r="D121" s="24" t="n">
        <v>0</v>
      </c>
      <c r="E121" s="24" t="n">
        <v>0</v>
      </c>
      <c r="F121" s="12" t="s">
        <v>972</v>
      </c>
    </row>
    <row r="122" customFormat="false" ht="15" hidden="false" customHeight="true" outlineLevel="0" collapsed="false">
      <c r="A122" s="24" t="n">
        <v>119</v>
      </c>
      <c r="B122" s="24" t="s">
        <v>1212</v>
      </c>
      <c r="C122" s="24" t="s">
        <v>1213</v>
      </c>
      <c r="D122" s="24" t="n">
        <v>0</v>
      </c>
      <c r="E122" s="24" t="n">
        <v>0</v>
      </c>
      <c r="F122" s="12" t="s">
        <v>972</v>
      </c>
    </row>
    <row r="123" customFormat="false" ht="15" hidden="false" customHeight="true" outlineLevel="0" collapsed="false">
      <c r="A123" s="24" t="n">
        <v>120</v>
      </c>
      <c r="B123" s="24" t="s">
        <v>1214</v>
      </c>
      <c r="C123" s="24" t="s">
        <v>1215</v>
      </c>
      <c r="D123" s="24" t="n">
        <v>0</v>
      </c>
      <c r="E123" s="24" t="n">
        <v>0</v>
      </c>
      <c r="F123" s="12" t="s">
        <v>972</v>
      </c>
    </row>
    <row r="124" customFormat="false" ht="15" hidden="false" customHeight="true" outlineLevel="0" collapsed="false">
      <c r="A124" s="24" t="n">
        <v>121</v>
      </c>
      <c r="B124" s="24" t="s">
        <v>1216</v>
      </c>
      <c r="C124" s="24" t="s">
        <v>1217</v>
      </c>
      <c r="D124" s="24" t="n">
        <v>0</v>
      </c>
      <c r="E124" s="24" t="n">
        <v>0</v>
      </c>
      <c r="F124" s="12" t="s">
        <v>972</v>
      </c>
    </row>
    <row r="125" customFormat="false" ht="15" hidden="false" customHeight="true" outlineLevel="0" collapsed="false">
      <c r="A125" s="24" t="n">
        <v>122</v>
      </c>
      <c r="B125" s="24" t="s">
        <v>1218</v>
      </c>
      <c r="C125" s="24" t="s">
        <v>1219</v>
      </c>
      <c r="D125" s="24" t="n">
        <v>0</v>
      </c>
      <c r="E125" s="24" t="n">
        <v>0</v>
      </c>
      <c r="F125" s="12" t="s">
        <v>972</v>
      </c>
    </row>
    <row r="126" customFormat="false" ht="15" hidden="false" customHeight="true" outlineLevel="0" collapsed="false">
      <c r="A126" s="24" t="n">
        <v>123</v>
      </c>
      <c r="B126" s="24" t="s">
        <v>1220</v>
      </c>
      <c r="C126" s="24" t="s">
        <v>1221</v>
      </c>
      <c r="D126" s="24" t="n">
        <v>0</v>
      </c>
      <c r="E126" s="24" t="n">
        <v>0</v>
      </c>
      <c r="F126" s="12" t="s">
        <v>972</v>
      </c>
    </row>
    <row r="127" customFormat="false" ht="15" hidden="false" customHeight="true" outlineLevel="0" collapsed="false">
      <c r="A127" s="24" t="n">
        <v>124</v>
      </c>
      <c r="B127" s="24" t="s">
        <v>709</v>
      </c>
      <c r="C127" s="24" t="s">
        <v>1222</v>
      </c>
      <c r="D127" s="24" t="n">
        <v>0</v>
      </c>
      <c r="E127" s="24" t="n">
        <v>0</v>
      </c>
      <c r="F127" s="12" t="s">
        <v>972</v>
      </c>
    </row>
    <row r="128" customFormat="false" ht="15" hidden="false" customHeight="true" outlineLevel="0" collapsed="false">
      <c r="A128" s="24" t="n">
        <v>125</v>
      </c>
      <c r="B128" s="24" t="s">
        <v>1223</v>
      </c>
      <c r="C128" s="24" t="s">
        <v>1224</v>
      </c>
      <c r="D128" s="24" t="n">
        <v>0</v>
      </c>
      <c r="E128" s="24" t="n">
        <v>0</v>
      </c>
      <c r="F128" s="12" t="s">
        <v>972</v>
      </c>
    </row>
    <row r="129" customFormat="false" ht="15" hidden="false" customHeight="true" outlineLevel="0" collapsed="false">
      <c r="A129" s="24" t="n">
        <v>126</v>
      </c>
      <c r="B129" s="24" t="s">
        <v>1225</v>
      </c>
      <c r="C129" s="24" t="s">
        <v>1226</v>
      </c>
      <c r="D129" s="24" t="n">
        <v>0</v>
      </c>
      <c r="E129" s="24" t="n">
        <v>0</v>
      </c>
      <c r="F129" s="12" t="s">
        <v>972</v>
      </c>
    </row>
    <row r="130" customFormat="false" ht="15" hidden="false" customHeight="true" outlineLevel="0" collapsed="false">
      <c r="A130" s="24" t="n">
        <v>127</v>
      </c>
      <c r="B130" s="24" t="s">
        <v>1227</v>
      </c>
      <c r="C130" s="24" t="s">
        <v>1228</v>
      </c>
      <c r="D130" s="24" t="n">
        <v>0</v>
      </c>
      <c r="E130" s="24" t="n">
        <v>0</v>
      </c>
      <c r="F130" s="12" t="s">
        <v>972</v>
      </c>
    </row>
    <row r="131" customFormat="false" ht="15" hidden="false" customHeight="true" outlineLevel="0" collapsed="false">
      <c r="A131" s="24" t="n">
        <v>128</v>
      </c>
      <c r="B131" s="24" t="s">
        <v>1229</v>
      </c>
      <c r="C131" s="24" t="s">
        <v>1230</v>
      </c>
      <c r="D131" s="24" t="n">
        <v>0</v>
      </c>
      <c r="E131" s="24" t="n">
        <v>0</v>
      </c>
      <c r="F131" s="12" t="s">
        <v>972</v>
      </c>
    </row>
    <row r="132" customFormat="false" ht="15" hidden="false" customHeight="true" outlineLevel="0" collapsed="false">
      <c r="A132" s="24" t="n">
        <v>129</v>
      </c>
      <c r="B132" s="24" t="s">
        <v>1231</v>
      </c>
      <c r="C132" s="24" t="s">
        <v>1232</v>
      </c>
      <c r="D132" s="24" t="n">
        <v>0</v>
      </c>
      <c r="E132" s="24" t="n">
        <v>0</v>
      </c>
      <c r="F132" s="12" t="s">
        <v>972</v>
      </c>
    </row>
    <row r="133" customFormat="false" ht="15" hidden="false" customHeight="true" outlineLevel="0" collapsed="false">
      <c r="A133" s="24" t="n">
        <v>130</v>
      </c>
      <c r="B133" s="24" t="s">
        <v>1233</v>
      </c>
      <c r="C133" s="24" t="s">
        <v>1234</v>
      </c>
      <c r="D133" s="24" t="n">
        <v>0</v>
      </c>
      <c r="E133" s="24" t="n">
        <v>0</v>
      </c>
      <c r="F133" s="12" t="s">
        <v>972</v>
      </c>
    </row>
    <row r="134" customFormat="false" ht="15" hidden="false" customHeight="true" outlineLevel="0" collapsed="false">
      <c r="A134" s="24" t="n">
        <v>131</v>
      </c>
      <c r="B134" s="24" t="s">
        <v>698</v>
      </c>
      <c r="C134" s="24" t="s">
        <v>701</v>
      </c>
      <c r="D134" s="24" t="n">
        <v>0</v>
      </c>
      <c r="E134" s="24" t="n">
        <v>0</v>
      </c>
      <c r="F134" s="12" t="s">
        <v>972</v>
      </c>
    </row>
    <row r="135" customFormat="false" ht="15" hidden="false" customHeight="true" outlineLevel="0" collapsed="false">
      <c r="A135" s="24" t="n">
        <v>132</v>
      </c>
      <c r="B135" s="24" t="s">
        <v>1235</v>
      </c>
      <c r="C135" s="24" t="s">
        <v>1236</v>
      </c>
      <c r="D135" s="24" t="n">
        <v>0</v>
      </c>
      <c r="E135" s="24" t="n">
        <v>0</v>
      </c>
      <c r="F135" s="12" t="s">
        <v>972</v>
      </c>
    </row>
    <row r="136" customFormat="false" ht="15" hidden="false" customHeight="true" outlineLevel="0" collapsed="false">
      <c r="A136" s="24" t="n">
        <v>133</v>
      </c>
      <c r="B136" s="24" t="s">
        <v>1237</v>
      </c>
      <c r="C136" s="24" t="s">
        <v>1238</v>
      </c>
      <c r="D136" s="24" t="n">
        <v>0</v>
      </c>
      <c r="E136" s="24" t="n">
        <v>0</v>
      </c>
      <c r="F136" s="12" t="s">
        <v>972</v>
      </c>
    </row>
    <row r="137" customFormat="false" ht="15" hidden="false" customHeight="true" outlineLevel="0" collapsed="false">
      <c r="A137" s="24" t="n">
        <v>134</v>
      </c>
      <c r="B137" s="24" t="s">
        <v>1239</v>
      </c>
      <c r="C137" s="24" t="s">
        <v>1240</v>
      </c>
      <c r="D137" s="24" t="n">
        <v>0</v>
      </c>
      <c r="E137" s="24" t="n">
        <v>0</v>
      </c>
      <c r="F137" s="12" t="s">
        <v>972</v>
      </c>
    </row>
    <row r="138" customFormat="false" ht="15" hidden="false" customHeight="true" outlineLevel="0" collapsed="false">
      <c r="A138" s="24" t="n">
        <v>135</v>
      </c>
      <c r="B138" s="24" t="s">
        <v>1241</v>
      </c>
      <c r="C138" s="24" t="s">
        <v>1242</v>
      </c>
      <c r="D138" s="24" t="n">
        <v>0</v>
      </c>
      <c r="E138" s="24" t="n">
        <v>0</v>
      </c>
      <c r="F138" s="12" t="s">
        <v>972</v>
      </c>
    </row>
    <row r="139" customFormat="false" ht="15" hidden="false" customHeight="true" outlineLevel="0" collapsed="false">
      <c r="A139" s="24" t="n">
        <v>136</v>
      </c>
      <c r="B139" s="24" t="s">
        <v>1243</v>
      </c>
      <c r="C139" s="24" t="s">
        <v>1244</v>
      </c>
      <c r="D139" s="24" t="n">
        <v>0</v>
      </c>
      <c r="E139" s="24" t="n">
        <v>0</v>
      </c>
      <c r="F139" s="12" t="s">
        <v>972</v>
      </c>
    </row>
    <row r="140" customFormat="false" ht="15" hidden="false" customHeight="true" outlineLevel="0" collapsed="false">
      <c r="A140" s="24" t="n">
        <v>137</v>
      </c>
      <c r="B140" s="24" t="s">
        <v>1245</v>
      </c>
      <c r="C140" s="24" t="s">
        <v>1246</v>
      </c>
      <c r="D140" s="24" t="n">
        <v>0</v>
      </c>
      <c r="E140" s="24" t="n">
        <v>0</v>
      </c>
      <c r="F140" s="12" t="s">
        <v>972</v>
      </c>
    </row>
    <row r="141" customFormat="false" ht="15" hidden="false" customHeight="true" outlineLevel="0" collapsed="false">
      <c r="A141" s="24" t="n">
        <v>138</v>
      </c>
      <c r="B141" s="24" t="s">
        <v>1247</v>
      </c>
      <c r="C141" s="24"/>
      <c r="D141" s="24" t="n">
        <v>0</v>
      </c>
      <c r="E141" s="24" t="n">
        <v>0</v>
      </c>
      <c r="F141" s="12" t="s">
        <v>972</v>
      </c>
    </row>
    <row r="142" customFormat="false" ht="15" hidden="false" customHeight="true" outlineLevel="0" collapsed="false">
      <c r="A142" s="24" t="n">
        <v>139</v>
      </c>
      <c r="B142" s="24" t="s">
        <v>1248</v>
      </c>
      <c r="C142" s="24"/>
      <c r="D142" s="24" t="n">
        <v>0</v>
      </c>
      <c r="E142" s="24" t="n">
        <v>0</v>
      </c>
      <c r="F142" s="12" t="s">
        <v>972</v>
      </c>
    </row>
    <row r="143" customFormat="false" ht="15" hidden="false" customHeight="true" outlineLevel="0" collapsed="false">
      <c r="A143" s="24" t="n">
        <v>140</v>
      </c>
      <c r="B143" s="24" t="s">
        <v>1249</v>
      </c>
      <c r="C143" s="24"/>
      <c r="D143" s="24" t="n">
        <v>0</v>
      </c>
      <c r="E143" s="24" t="n">
        <v>0</v>
      </c>
      <c r="F143" s="12" t="s">
        <v>972</v>
      </c>
    </row>
    <row r="144" customFormat="false" ht="15" hidden="false" customHeight="true" outlineLevel="0" collapsed="false">
      <c r="A144" s="24" t="n">
        <v>141</v>
      </c>
      <c r="B144" s="24" t="s">
        <v>1250</v>
      </c>
      <c r="C144" s="24"/>
      <c r="D144" s="24" t="n">
        <v>0</v>
      </c>
      <c r="E144" s="24" t="n">
        <v>0</v>
      </c>
      <c r="F144" s="12" t="s">
        <v>972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2" min="1" style="1" width="11"/>
    <col collapsed="false" customWidth="true" hidden="false" outlineLevel="0" max="3" min="3" style="1" width="20"/>
    <col collapsed="false" customWidth="true" hidden="false" outlineLevel="0" max="4" min="4" style="1" width="11"/>
    <col collapsed="false" customWidth="true" hidden="false" outlineLevel="0" max="5" min="5" style="1" width="28"/>
    <col collapsed="false" customWidth="true" hidden="false" outlineLevel="0" max="6" min="6" style="1" width="55"/>
    <col collapsed="false" customWidth="true" hidden="false" outlineLevel="0" max="8" min="7" style="1" width="20"/>
    <col collapsed="false" customWidth="true" hidden="false" outlineLevel="0" max="11" min="9" style="1" width="11"/>
    <col collapsed="false" customWidth="true" hidden="false" outlineLevel="0" max="12" min="12" style="1" width="45"/>
    <col collapsed="false" customWidth="true" hidden="false" outlineLevel="0" max="13" min="13" style="1" width="11"/>
    <col collapsed="false" customWidth="true" hidden="false" outlineLevel="0" max="14" min="14" style="1" width="24"/>
  </cols>
  <sheetData>
    <row r="1" customFormat="false" ht="45.75" hidden="false" customHeight="true" outlineLevel="0" collapsed="false">
      <c r="A1" s="20" t="s">
        <v>55</v>
      </c>
      <c r="B1" s="20" t="s">
        <v>56</v>
      </c>
      <c r="C1" s="20" t="s">
        <v>57</v>
      </c>
      <c r="D1" s="20" t="s">
        <v>58</v>
      </c>
      <c r="E1" s="25" t="s">
        <v>1251</v>
      </c>
      <c r="F1" s="25" t="s">
        <v>1252</v>
      </c>
      <c r="G1" s="25" t="s">
        <v>1253</v>
      </c>
      <c r="H1" s="25" t="s">
        <v>1254</v>
      </c>
      <c r="I1" s="25" t="s">
        <v>1255</v>
      </c>
      <c r="J1" s="25" t="s">
        <v>1256</v>
      </c>
      <c r="K1" s="26" t="s">
        <v>1257</v>
      </c>
      <c r="L1" s="22" t="s">
        <v>1258</v>
      </c>
      <c r="M1" s="22" t="s">
        <v>1259</v>
      </c>
      <c r="N1" s="22" t="s">
        <v>139</v>
      </c>
    </row>
    <row r="2" customFormat="false" ht="15" hidden="false" customHeight="true" outlineLevel="0" collapsed="false">
      <c r="A2" s="5" t="n">
        <v>164</v>
      </c>
      <c r="B2" s="5" t="n">
        <v>164</v>
      </c>
      <c r="C2" s="5" t="s">
        <v>1260</v>
      </c>
      <c r="D2" s="5" t="n">
        <v>2000</v>
      </c>
      <c r="E2" s="5" t="s">
        <v>1261</v>
      </c>
      <c r="F2" s="5" t="s">
        <v>1262</v>
      </c>
      <c r="G2" s="5" t="s">
        <v>1263</v>
      </c>
      <c r="H2" s="5" t="s">
        <v>1264</v>
      </c>
      <c r="I2" s="5" t="s">
        <v>1265</v>
      </c>
      <c r="J2" s="5"/>
      <c r="K2" s="5" t="s">
        <v>434</v>
      </c>
      <c r="L2" s="5" t="s">
        <v>1266</v>
      </c>
      <c r="M2" s="5" t="s">
        <v>1267</v>
      </c>
      <c r="N2" s="5" t="s">
        <v>434</v>
      </c>
    </row>
    <row r="3" customFormat="false" ht="15" hidden="false" customHeight="true" outlineLevel="0" collapsed="false">
      <c r="A3" s="5" t="n">
        <v>164</v>
      </c>
      <c r="B3" s="5" t="n">
        <v>164</v>
      </c>
      <c r="C3" s="5" t="s">
        <v>1260</v>
      </c>
      <c r="D3" s="5" t="n">
        <v>2000</v>
      </c>
      <c r="E3" s="5" t="s">
        <v>1268</v>
      </c>
      <c r="F3" s="5" t="s">
        <v>1269</v>
      </c>
      <c r="G3" s="5" t="s">
        <v>1263</v>
      </c>
      <c r="H3" s="5" t="s">
        <v>1270</v>
      </c>
      <c r="I3" s="5" t="s">
        <v>1265</v>
      </c>
      <c r="J3" s="5"/>
      <c r="K3" s="5" t="s">
        <v>434</v>
      </c>
      <c r="L3" s="5" t="s">
        <v>1271</v>
      </c>
      <c r="M3" s="5" t="s">
        <v>1267</v>
      </c>
      <c r="N3" s="5" t="s">
        <v>434</v>
      </c>
    </row>
    <row r="4" customFormat="false" ht="15" hidden="false" customHeight="true" outlineLevel="0" collapsed="false">
      <c r="A4" s="5" t="n">
        <v>164</v>
      </c>
      <c r="B4" s="5" t="n">
        <v>164</v>
      </c>
      <c r="C4" s="5" t="s">
        <v>1260</v>
      </c>
      <c r="D4" s="5" t="n">
        <v>2000</v>
      </c>
      <c r="E4" s="5" t="s">
        <v>1272</v>
      </c>
      <c r="F4" s="5" t="s">
        <v>1273</v>
      </c>
      <c r="G4" s="5" t="s">
        <v>1263</v>
      </c>
      <c r="H4" s="5" t="s">
        <v>1270</v>
      </c>
      <c r="I4" s="5" t="s">
        <v>1265</v>
      </c>
      <c r="J4" s="5"/>
      <c r="K4" s="5" t="s">
        <v>368</v>
      </c>
      <c r="L4" s="5" t="s">
        <v>1274</v>
      </c>
      <c r="M4" s="5" t="s">
        <v>1275</v>
      </c>
      <c r="N4" s="5" t="s">
        <v>956</v>
      </c>
    </row>
    <row r="5" customFormat="false" ht="15" hidden="false" customHeight="true" outlineLevel="0" collapsed="false">
      <c r="A5" s="5" t="n">
        <v>164</v>
      </c>
      <c r="B5" s="5" t="n">
        <v>164</v>
      </c>
      <c r="C5" s="5" t="s">
        <v>1260</v>
      </c>
      <c r="D5" s="5" t="n">
        <v>2000</v>
      </c>
      <c r="E5" s="5" t="s">
        <v>1276</v>
      </c>
      <c r="F5" s="5" t="s">
        <v>1277</v>
      </c>
      <c r="G5" s="5" t="s">
        <v>1263</v>
      </c>
      <c r="H5" s="5" t="s">
        <v>1270</v>
      </c>
      <c r="I5" s="5" t="s">
        <v>1265</v>
      </c>
      <c r="J5" s="5"/>
      <c r="K5" s="5" t="s">
        <v>434</v>
      </c>
      <c r="L5" s="5" t="s">
        <v>1278</v>
      </c>
      <c r="M5" s="5" t="s">
        <v>1267</v>
      </c>
      <c r="N5" s="5" t="s">
        <v>434</v>
      </c>
    </row>
    <row r="6" customFormat="false" ht="15" hidden="false" customHeight="true" outlineLevel="0" collapsed="false">
      <c r="A6" s="5" t="n">
        <v>164</v>
      </c>
      <c r="B6" s="5" t="n">
        <v>164</v>
      </c>
      <c r="C6" s="5" t="s">
        <v>1260</v>
      </c>
      <c r="D6" s="5" t="n">
        <v>2000</v>
      </c>
      <c r="E6" s="5" t="s">
        <v>1279</v>
      </c>
      <c r="F6" s="5" t="s">
        <v>1280</v>
      </c>
      <c r="G6" s="5" t="s">
        <v>1263</v>
      </c>
      <c r="H6" s="5" t="s">
        <v>1270</v>
      </c>
      <c r="I6" s="5" t="s">
        <v>1281</v>
      </c>
      <c r="J6" s="5" t="s">
        <v>1282</v>
      </c>
      <c r="K6" s="5" t="s">
        <v>383</v>
      </c>
      <c r="L6" s="5" t="s">
        <v>1283</v>
      </c>
      <c r="M6" s="5" t="s">
        <v>1284</v>
      </c>
      <c r="N6" s="5" t="s">
        <v>1285</v>
      </c>
    </row>
    <row r="7" customFormat="false" ht="15" hidden="false" customHeight="true" outlineLevel="0" collapsed="false">
      <c r="A7" s="5" t="n">
        <v>164</v>
      </c>
      <c r="B7" s="5" t="n">
        <v>164</v>
      </c>
      <c r="C7" s="5" t="s">
        <v>1260</v>
      </c>
      <c r="D7" s="5" t="n">
        <v>2000</v>
      </c>
      <c r="E7" s="5" t="s">
        <v>1286</v>
      </c>
      <c r="F7" s="5" t="s">
        <v>1287</v>
      </c>
      <c r="G7" s="5" t="s">
        <v>1263</v>
      </c>
      <c r="H7" s="5" t="s">
        <v>1270</v>
      </c>
      <c r="I7" s="5" t="s">
        <v>1288</v>
      </c>
      <c r="J7" s="5"/>
      <c r="K7" s="5" t="s">
        <v>434</v>
      </c>
      <c r="L7" s="5" t="s">
        <v>1289</v>
      </c>
      <c r="M7" s="5" t="s">
        <v>1267</v>
      </c>
      <c r="N7" s="5" t="s">
        <v>434</v>
      </c>
    </row>
    <row r="8" customFormat="false" ht="15" hidden="false" customHeight="true" outlineLevel="0" collapsed="false">
      <c r="A8" s="5" t="n">
        <v>165</v>
      </c>
      <c r="B8" s="5" t="n">
        <v>165</v>
      </c>
      <c r="C8" s="5" t="s">
        <v>1290</v>
      </c>
      <c r="D8" s="5" t="n">
        <v>2012</v>
      </c>
      <c r="E8" s="5" t="s">
        <v>1291</v>
      </c>
      <c r="F8" s="5" t="s">
        <v>1292</v>
      </c>
      <c r="G8" s="5" t="s">
        <v>1293</v>
      </c>
      <c r="H8" s="5" t="s">
        <v>1294</v>
      </c>
      <c r="I8" s="5" t="s">
        <v>1265</v>
      </c>
      <c r="J8" s="5"/>
      <c r="K8" s="5" t="s">
        <v>368</v>
      </c>
      <c r="L8" s="5" t="s">
        <v>1295</v>
      </c>
      <c r="M8" s="5" t="s">
        <v>1267</v>
      </c>
      <c r="N8" s="5" t="s">
        <v>956</v>
      </c>
    </row>
    <row r="9" customFormat="false" ht="15" hidden="false" customHeight="true" outlineLevel="0" collapsed="false">
      <c r="A9" s="5" t="n">
        <v>165</v>
      </c>
      <c r="B9" s="5" t="n">
        <v>165</v>
      </c>
      <c r="C9" s="5" t="s">
        <v>1290</v>
      </c>
      <c r="D9" s="5" t="n">
        <v>2012</v>
      </c>
      <c r="E9" s="5" t="s">
        <v>1296</v>
      </c>
      <c r="F9" s="5" t="s">
        <v>1297</v>
      </c>
      <c r="G9" s="5" t="s">
        <v>1293</v>
      </c>
      <c r="H9" s="5" t="s">
        <v>1294</v>
      </c>
      <c r="I9" s="5" t="s">
        <v>1298</v>
      </c>
      <c r="J9" s="5" t="s">
        <v>1299</v>
      </c>
      <c r="K9" s="5" t="s">
        <v>383</v>
      </c>
      <c r="L9" s="5" t="s">
        <v>1300</v>
      </c>
      <c r="M9" s="5" t="s">
        <v>1267</v>
      </c>
      <c r="N9" s="5" t="s">
        <v>956</v>
      </c>
    </row>
    <row r="10" customFormat="false" ht="15" hidden="false" customHeight="true" outlineLevel="0" collapsed="false">
      <c r="A10" s="5" t="n">
        <v>165</v>
      </c>
      <c r="B10" s="5" t="n">
        <v>165</v>
      </c>
      <c r="C10" s="5" t="s">
        <v>1290</v>
      </c>
      <c r="D10" s="5" t="n">
        <v>2012</v>
      </c>
      <c r="E10" s="5" t="s">
        <v>1301</v>
      </c>
      <c r="F10" s="5" t="s">
        <v>1302</v>
      </c>
      <c r="G10" s="5" t="s">
        <v>1293</v>
      </c>
      <c r="H10" s="5" t="s">
        <v>1294</v>
      </c>
      <c r="I10" s="5" t="s">
        <v>1265</v>
      </c>
      <c r="J10" s="5"/>
      <c r="K10" s="5" t="s">
        <v>368</v>
      </c>
      <c r="L10" s="5" t="s">
        <v>1303</v>
      </c>
      <c r="M10" s="5" t="s">
        <v>1267</v>
      </c>
      <c r="N10" s="5" t="s">
        <v>956</v>
      </c>
    </row>
    <row r="11" customFormat="false" ht="15" hidden="false" customHeight="true" outlineLevel="0" collapsed="false">
      <c r="A11" s="5" t="n">
        <v>165</v>
      </c>
      <c r="B11" s="5" t="n">
        <v>165</v>
      </c>
      <c r="C11" s="5" t="s">
        <v>1290</v>
      </c>
      <c r="D11" s="5" t="n">
        <v>2012</v>
      </c>
      <c r="E11" s="5" t="s">
        <v>1304</v>
      </c>
      <c r="F11" s="5" t="s">
        <v>1305</v>
      </c>
      <c r="G11" s="5" t="s">
        <v>1293</v>
      </c>
      <c r="H11" s="5" t="s">
        <v>1294</v>
      </c>
      <c r="I11" s="5" t="s">
        <v>1298</v>
      </c>
      <c r="J11" s="5" t="s">
        <v>1306</v>
      </c>
      <c r="K11" s="5" t="s">
        <v>383</v>
      </c>
      <c r="L11" s="5" t="s">
        <v>1307</v>
      </c>
      <c r="M11" s="5" t="s">
        <v>1267</v>
      </c>
      <c r="N11" s="5" t="s">
        <v>956</v>
      </c>
    </row>
    <row r="12" customFormat="false" ht="15" hidden="false" customHeight="true" outlineLevel="0" collapsed="false">
      <c r="A12" s="5" t="n">
        <v>166</v>
      </c>
      <c r="B12" s="5" t="n">
        <v>166</v>
      </c>
      <c r="C12" s="5" t="s">
        <v>1308</v>
      </c>
      <c r="D12" s="5" t="n">
        <v>2014</v>
      </c>
      <c r="E12" s="5" t="s">
        <v>1309</v>
      </c>
      <c r="F12" s="5" t="s">
        <v>1310</v>
      </c>
      <c r="G12" s="5" t="s">
        <v>1263</v>
      </c>
      <c r="H12" s="5" t="s">
        <v>1311</v>
      </c>
      <c r="I12" s="5" t="s">
        <v>1265</v>
      </c>
      <c r="J12" s="5"/>
      <c r="K12" s="5" t="s">
        <v>434</v>
      </c>
      <c r="L12" s="5" t="s">
        <v>1312</v>
      </c>
      <c r="M12" s="5" t="s">
        <v>1267</v>
      </c>
      <c r="N12" s="5" t="s">
        <v>434</v>
      </c>
    </row>
    <row r="13" customFormat="false" ht="15" hidden="false" customHeight="true" outlineLevel="0" collapsed="false">
      <c r="A13" s="5" t="n">
        <v>166</v>
      </c>
      <c r="B13" s="5" t="n">
        <v>166</v>
      </c>
      <c r="C13" s="5" t="s">
        <v>1308</v>
      </c>
      <c r="D13" s="5" t="n">
        <v>2014</v>
      </c>
      <c r="E13" s="5" t="s">
        <v>1313</v>
      </c>
      <c r="F13" s="5" t="s">
        <v>1314</v>
      </c>
      <c r="G13" s="5" t="s">
        <v>1263</v>
      </c>
      <c r="H13" s="5" t="s">
        <v>1315</v>
      </c>
      <c r="I13" s="5" t="s">
        <v>1265</v>
      </c>
      <c r="J13" s="5"/>
      <c r="K13" s="5" t="s">
        <v>368</v>
      </c>
      <c r="L13" s="5" t="s">
        <v>1316</v>
      </c>
      <c r="M13" s="5" t="s">
        <v>1267</v>
      </c>
      <c r="N13" s="5" t="s">
        <v>956</v>
      </c>
    </row>
    <row r="14" customFormat="false" ht="15" hidden="false" customHeight="true" outlineLevel="0" collapsed="false">
      <c r="A14" s="5" t="n">
        <v>166</v>
      </c>
      <c r="B14" s="5" t="n">
        <v>166</v>
      </c>
      <c r="C14" s="5" t="s">
        <v>1308</v>
      </c>
      <c r="D14" s="5" t="n">
        <v>2014</v>
      </c>
      <c r="E14" s="5" t="s">
        <v>1317</v>
      </c>
      <c r="F14" s="5" t="s">
        <v>1318</v>
      </c>
      <c r="G14" s="5" t="s">
        <v>1263</v>
      </c>
      <c r="H14" s="5" t="s">
        <v>1311</v>
      </c>
      <c r="I14" s="5" t="s">
        <v>1265</v>
      </c>
      <c r="J14" s="5"/>
      <c r="K14" s="5" t="s">
        <v>434</v>
      </c>
      <c r="L14" s="5" t="s">
        <v>1319</v>
      </c>
      <c r="M14" s="5" t="s">
        <v>1267</v>
      </c>
      <c r="N14" s="5" t="s">
        <v>434</v>
      </c>
    </row>
    <row r="15" customFormat="false" ht="15" hidden="false" customHeight="true" outlineLevel="0" collapsed="false">
      <c r="A15" s="5" t="n">
        <v>166</v>
      </c>
      <c r="B15" s="5" t="n">
        <v>166</v>
      </c>
      <c r="C15" s="5" t="s">
        <v>1308</v>
      </c>
      <c r="D15" s="5" t="n">
        <v>2014</v>
      </c>
      <c r="E15" s="5" t="s">
        <v>1320</v>
      </c>
      <c r="F15" s="5" t="s">
        <v>1321</v>
      </c>
      <c r="G15" s="5" t="s">
        <v>1263</v>
      </c>
      <c r="H15" s="5" t="s">
        <v>1311</v>
      </c>
      <c r="I15" s="5" t="s">
        <v>1265</v>
      </c>
      <c r="J15" s="5"/>
      <c r="K15" s="5" t="s">
        <v>434</v>
      </c>
      <c r="L15" s="5" t="s">
        <v>1322</v>
      </c>
      <c r="M15" s="5" t="s">
        <v>1267</v>
      </c>
      <c r="N15" s="5" t="s">
        <v>434</v>
      </c>
    </row>
    <row r="16" customFormat="false" ht="15" hidden="false" customHeight="true" outlineLevel="0" collapsed="false">
      <c r="A16" s="5" t="n">
        <v>166</v>
      </c>
      <c r="B16" s="5" t="n">
        <v>166</v>
      </c>
      <c r="C16" s="5" t="s">
        <v>1308</v>
      </c>
      <c r="D16" s="5" t="n">
        <v>2014</v>
      </c>
      <c r="E16" s="5" t="s">
        <v>1323</v>
      </c>
      <c r="F16" s="5" t="s">
        <v>1324</v>
      </c>
      <c r="G16" s="5" t="s">
        <v>1263</v>
      </c>
      <c r="H16" s="5" t="s">
        <v>1311</v>
      </c>
      <c r="I16" s="5" t="s">
        <v>1265</v>
      </c>
      <c r="J16" s="5"/>
      <c r="K16" s="5" t="s">
        <v>434</v>
      </c>
      <c r="L16" s="5" t="s">
        <v>1325</v>
      </c>
      <c r="M16" s="5" t="s">
        <v>1267</v>
      </c>
      <c r="N16" s="5" t="s">
        <v>434</v>
      </c>
    </row>
    <row r="17" customFormat="false" ht="15" hidden="false" customHeight="true" outlineLevel="0" collapsed="false">
      <c r="A17" s="5" t="n">
        <v>166</v>
      </c>
      <c r="B17" s="5" t="n">
        <v>166</v>
      </c>
      <c r="C17" s="5" t="s">
        <v>1308</v>
      </c>
      <c r="D17" s="5" t="n">
        <v>2014</v>
      </c>
      <c r="E17" s="5" t="s">
        <v>1326</v>
      </c>
      <c r="F17" s="5" t="s">
        <v>1327</v>
      </c>
      <c r="G17" s="5" t="s">
        <v>1263</v>
      </c>
      <c r="H17" s="5" t="s">
        <v>1311</v>
      </c>
      <c r="I17" s="5" t="s">
        <v>1328</v>
      </c>
      <c r="J17" s="5"/>
      <c r="K17" s="5" t="s">
        <v>434</v>
      </c>
      <c r="L17" s="5" t="s">
        <v>1329</v>
      </c>
      <c r="M17" s="5" t="s">
        <v>1267</v>
      </c>
      <c r="N17" s="5" t="s">
        <v>434</v>
      </c>
    </row>
    <row r="18" customFormat="false" ht="15" hidden="false" customHeight="true" outlineLevel="0" collapsed="false">
      <c r="A18" s="5" t="n">
        <v>166</v>
      </c>
      <c r="B18" s="5" t="n">
        <v>166</v>
      </c>
      <c r="C18" s="5" t="s">
        <v>1308</v>
      </c>
      <c r="D18" s="5" t="n">
        <v>2014</v>
      </c>
      <c r="E18" s="5" t="s">
        <v>1330</v>
      </c>
      <c r="F18" s="5" t="s">
        <v>1331</v>
      </c>
      <c r="G18" s="5" t="s">
        <v>1263</v>
      </c>
      <c r="H18" s="5" t="s">
        <v>1311</v>
      </c>
      <c r="I18" s="5" t="s">
        <v>1328</v>
      </c>
      <c r="J18" s="5"/>
      <c r="K18" s="5" t="s">
        <v>434</v>
      </c>
      <c r="L18" s="5" t="s">
        <v>1332</v>
      </c>
      <c r="M18" s="5" t="s">
        <v>1267</v>
      </c>
      <c r="N18" s="5" t="s">
        <v>434</v>
      </c>
    </row>
    <row r="19" customFormat="false" ht="15" hidden="false" customHeight="true" outlineLevel="0" collapsed="false">
      <c r="A19" s="5" t="n">
        <v>166</v>
      </c>
      <c r="B19" s="5" t="n">
        <v>166</v>
      </c>
      <c r="C19" s="5" t="s">
        <v>1308</v>
      </c>
      <c r="D19" s="5" t="n">
        <v>2014</v>
      </c>
      <c r="E19" s="5" t="s">
        <v>1333</v>
      </c>
      <c r="F19" s="5" t="s">
        <v>1334</v>
      </c>
      <c r="G19" s="5" t="s">
        <v>1263</v>
      </c>
      <c r="H19" s="5" t="s">
        <v>1335</v>
      </c>
      <c r="I19" s="5" t="s">
        <v>1336</v>
      </c>
      <c r="J19" s="5" t="s">
        <v>1337</v>
      </c>
      <c r="K19" s="5" t="s">
        <v>383</v>
      </c>
      <c r="L19" s="5" t="s">
        <v>1338</v>
      </c>
      <c r="M19" s="5" t="s">
        <v>1284</v>
      </c>
      <c r="N19" s="5" t="s">
        <v>1285</v>
      </c>
    </row>
    <row r="20" customFormat="false" ht="15" hidden="false" customHeight="true" outlineLevel="0" collapsed="false">
      <c r="A20" s="5" t="n">
        <v>167</v>
      </c>
      <c r="B20" s="5" t="n">
        <v>167</v>
      </c>
      <c r="C20" s="5" t="s">
        <v>1339</v>
      </c>
      <c r="D20" s="5" t="n">
        <v>2023</v>
      </c>
      <c r="E20" s="5" t="s">
        <v>1340</v>
      </c>
      <c r="F20" s="5" t="s">
        <v>1341</v>
      </c>
      <c r="G20" s="5" t="s">
        <v>1263</v>
      </c>
      <c r="H20" s="5" t="s">
        <v>1342</v>
      </c>
      <c r="I20" s="5" t="s">
        <v>1265</v>
      </c>
      <c r="J20" s="5"/>
      <c r="K20" s="5" t="s">
        <v>434</v>
      </c>
      <c r="L20" s="5" t="s">
        <v>1343</v>
      </c>
      <c r="M20" s="5" t="s">
        <v>1267</v>
      </c>
      <c r="N20" s="5" t="s">
        <v>434</v>
      </c>
    </row>
    <row r="21" customFormat="false" ht="15" hidden="false" customHeight="true" outlineLevel="0" collapsed="false">
      <c r="A21" s="5" t="n">
        <v>168</v>
      </c>
      <c r="B21" s="5" t="n">
        <v>168</v>
      </c>
      <c r="C21" s="5" t="s">
        <v>1344</v>
      </c>
      <c r="D21" s="5" t="n">
        <v>2020</v>
      </c>
      <c r="E21" s="5" t="s">
        <v>1345</v>
      </c>
      <c r="F21" s="5" t="s">
        <v>1346</v>
      </c>
      <c r="G21" s="5" t="s">
        <v>1347</v>
      </c>
      <c r="H21" s="5" t="s">
        <v>368</v>
      </c>
      <c r="I21" s="5" t="s">
        <v>1265</v>
      </c>
      <c r="J21" s="5"/>
      <c r="K21" s="5" t="s">
        <v>368</v>
      </c>
      <c r="L21" s="5" t="s">
        <v>1348</v>
      </c>
      <c r="M21" s="5" t="s">
        <v>1267</v>
      </c>
      <c r="N21" s="5" t="s">
        <v>956</v>
      </c>
    </row>
    <row r="22" customFormat="false" ht="15" hidden="false" customHeight="true" outlineLevel="0" collapsed="false">
      <c r="A22" s="5" t="n">
        <v>168</v>
      </c>
      <c r="B22" s="5" t="n">
        <v>168</v>
      </c>
      <c r="C22" s="5" t="s">
        <v>1344</v>
      </c>
      <c r="D22" s="5" t="n">
        <v>2020</v>
      </c>
      <c r="E22" s="5" t="s">
        <v>1349</v>
      </c>
      <c r="F22" s="5" t="s">
        <v>1350</v>
      </c>
      <c r="G22" s="5" t="s">
        <v>1347</v>
      </c>
      <c r="H22" s="5" t="s">
        <v>368</v>
      </c>
      <c r="I22" s="5" t="s">
        <v>1351</v>
      </c>
      <c r="J22" s="5" t="n">
        <v>7</v>
      </c>
      <c r="K22" s="5" t="s">
        <v>383</v>
      </c>
      <c r="L22" s="5" t="s">
        <v>1352</v>
      </c>
      <c r="M22" s="5" t="s">
        <v>1267</v>
      </c>
      <c r="N22" s="5" t="s">
        <v>956</v>
      </c>
    </row>
    <row r="23" customFormat="false" ht="15" hidden="false" customHeight="true" outlineLevel="0" collapsed="false">
      <c r="A23" s="5" t="n">
        <v>168</v>
      </c>
      <c r="B23" s="5" t="n">
        <v>168</v>
      </c>
      <c r="C23" s="5" t="s">
        <v>1344</v>
      </c>
      <c r="D23" s="5" t="n">
        <v>2020</v>
      </c>
      <c r="E23" s="5" t="s">
        <v>1353</v>
      </c>
      <c r="F23" s="5" t="s">
        <v>1354</v>
      </c>
      <c r="G23" s="5" t="s">
        <v>1355</v>
      </c>
      <c r="H23" s="5" t="s">
        <v>371</v>
      </c>
      <c r="I23" s="5" t="s">
        <v>1265</v>
      </c>
      <c r="J23" s="5"/>
      <c r="K23" s="5" t="s">
        <v>371</v>
      </c>
      <c r="L23" s="5" t="s">
        <v>1356</v>
      </c>
      <c r="M23" s="5" t="s">
        <v>1267</v>
      </c>
      <c r="N23" s="5" t="s">
        <v>956</v>
      </c>
    </row>
    <row r="24" customFormat="false" ht="15" hidden="false" customHeight="true" outlineLevel="0" collapsed="false">
      <c r="A24" s="5" t="n">
        <v>168</v>
      </c>
      <c r="B24" s="5" t="n">
        <v>168</v>
      </c>
      <c r="C24" s="5" t="s">
        <v>1344</v>
      </c>
      <c r="D24" s="5" t="n">
        <v>2020</v>
      </c>
      <c r="E24" s="5" t="s">
        <v>1357</v>
      </c>
      <c r="F24" s="5" t="s">
        <v>1358</v>
      </c>
      <c r="G24" s="5" t="s">
        <v>1355</v>
      </c>
      <c r="H24" s="5" t="s">
        <v>371</v>
      </c>
      <c r="I24" s="5" t="s">
        <v>1351</v>
      </c>
      <c r="J24" s="5" t="n">
        <v>7</v>
      </c>
      <c r="K24" s="5" t="s">
        <v>365</v>
      </c>
      <c r="L24" s="5" t="s">
        <v>1359</v>
      </c>
      <c r="M24" s="5" t="s">
        <v>1267</v>
      </c>
      <c r="N24" s="5" t="s">
        <v>956</v>
      </c>
    </row>
    <row r="25" customFormat="false" ht="15" hidden="false" customHeight="true" outlineLevel="0" collapsed="false">
      <c r="A25" s="5" t="n">
        <v>169</v>
      </c>
      <c r="B25" s="5" t="n">
        <v>169</v>
      </c>
      <c r="C25" s="5" t="s">
        <v>1360</v>
      </c>
      <c r="D25" s="5" t="n">
        <v>2005</v>
      </c>
      <c r="E25" s="5" t="s">
        <v>1361</v>
      </c>
      <c r="F25" s="5" t="s">
        <v>1362</v>
      </c>
      <c r="G25" s="5" t="s">
        <v>1363</v>
      </c>
      <c r="H25" s="5" t="s">
        <v>1270</v>
      </c>
      <c r="I25" s="5" t="s">
        <v>1265</v>
      </c>
      <c r="J25" s="5"/>
      <c r="K25" s="5" t="s">
        <v>434</v>
      </c>
      <c r="L25" s="5" t="s">
        <v>1364</v>
      </c>
      <c r="M25" s="5" t="s">
        <v>1267</v>
      </c>
      <c r="N25" s="5" t="s">
        <v>434</v>
      </c>
    </row>
    <row r="26" customFormat="false" ht="15" hidden="false" customHeight="true" outlineLevel="0" collapsed="false">
      <c r="A26" s="5" t="s">
        <v>887</v>
      </c>
      <c r="B26" s="5" t="s">
        <v>887</v>
      </c>
      <c r="C26" s="5" t="s">
        <v>1365</v>
      </c>
      <c r="D26" s="5" t="n">
        <v>2019</v>
      </c>
      <c r="E26" s="5" t="s">
        <v>1366</v>
      </c>
      <c r="F26" s="5" t="s">
        <v>1367</v>
      </c>
      <c r="G26" s="5" t="s">
        <v>1263</v>
      </c>
      <c r="H26" s="5" t="s">
        <v>1368</v>
      </c>
      <c r="I26" s="5" t="s">
        <v>1265</v>
      </c>
      <c r="J26" s="5"/>
      <c r="K26" s="5" t="s">
        <v>368</v>
      </c>
      <c r="L26" s="5" t="s">
        <v>1348</v>
      </c>
      <c r="M26" s="5" t="s">
        <v>1267</v>
      </c>
      <c r="N26" s="5" t="s">
        <v>956</v>
      </c>
    </row>
    <row r="27" customFormat="false" ht="15" hidden="false" customHeight="true" outlineLevel="0" collapsed="false">
      <c r="A27" s="5" t="s">
        <v>887</v>
      </c>
      <c r="B27" s="5" t="s">
        <v>887</v>
      </c>
      <c r="C27" s="5" t="s">
        <v>1365</v>
      </c>
      <c r="D27" s="5" t="n">
        <v>2019</v>
      </c>
      <c r="E27" s="5" t="s">
        <v>1369</v>
      </c>
      <c r="F27" s="5" t="s">
        <v>1370</v>
      </c>
      <c r="G27" s="5" t="s">
        <v>1263</v>
      </c>
      <c r="H27" s="5" t="s">
        <v>1371</v>
      </c>
      <c r="I27" s="5" t="s">
        <v>1372</v>
      </c>
      <c r="J27" s="5" t="s">
        <v>1373</v>
      </c>
      <c r="K27" s="5" t="s">
        <v>389</v>
      </c>
      <c r="L27" s="5" t="s">
        <v>1374</v>
      </c>
      <c r="M27" s="5" t="s">
        <v>1267</v>
      </c>
      <c r="N27" s="5" t="s">
        <v>956</v>
      </c>
    </row>
    <row r="28" customFormat="false" ht="15" hidden="false" customHeight="true" outlineLevel="0" collapsed="false">
      <c r="A28" s="5" t="s">
        <v>887</v>
      </c>
      <c r="B28" s="5" t="s">
        <v>887</v>
      </c>
      <c r="C28" s="5" t="s">
        <v>1365</v>
      </c>
      <c r="D28" s="5" t="n">
        <v>2019</v>
      </c>
      <c r="E28" s="5" t="s">
        <v>1375</v>
      </c>
      <c r="F28" s="5" t="s">
        <v>1376</v>
      </c>
      <c r="G28" s="5" t="s">
        <v>1355</v>
      </c>
      <c r="H28" s="5" t="s">
        <v>371</v>
      </c>
      <c r="I28" s="5" t="s">
        <v>1377</v>
      </c>
      <c r="J28" s="5" t="s">
        <v>1378</v>
      </c>
      <c r="K28" s="5" t="s">
        <v>365</v>
      </c>
      <c r="L28" s="5" t="s">
        <v>1379</v>
      </c>
      <c r="M28" s="5" t="s">
        <v>1267</v>
      </c>
      <c r="N28" s="5" t="s">
        <v>956</v>
      </c>
    </row>
    <row r="29" customFormat="false" ht="15" hidden="false" customHeight="true" outlineLevel="0" collapsed="false">
      <c r="A29" s="5" t="s">
        <v>887</v>
      </c>
      <c r="B29" s="5" t="s">
        <v>887</v>
      </c>
      <c r="C29" s="5" t="s">
        <v>1365</v>
      </c>
      <c r="D29" s="5" t="n">
        <v>2019</v>
      </c>
      <c r="E29" s="5" t="s">
        <v>1380</v>
      </c>
      <c r="F29" s="5" t="s">
        <v>1381</v>
      </c>
      <c r="G29" s="5" t="s">
        <v>635</v>
      </c>
      <c r="H29" s="5" t="s">
        <v>371</v>
      </c>
      <c r="I29" s="5" t="s">
        <v>1382</v>
      </c>
      <c r="J29" s="5"/>
      <c r="K29" s="5" t="s">
        <v>434</v>
      </c>
      <c r="L29" s="5" t="s">
        <v>1383</v>
      </c>
      <c r="M29" s="5" t="s">
        <v>1267</v>
      </c>
      <c r="N29" s="5" t="s">
        <v>434</v>
      </c>
    </row>
    <row r="30" customFormat="false" ht="15" hidden="false" customHeight="true" outlineLevel="0" collapsed="false">
      <c r="A30" s="5" t="s">
        <v>904</v>
      </c>
      <c r="B30" s="5" t="s">
        <v>904</v>
      </c>
      <c r="C30" s="5" t="s">
        <v>1365</v>
      </c>
      <c r="D30" s="5" t="n">
        <v>2019</v>
      </c>
      <c r="E30" s="5" t="s">
        <v>1384</v>
      </c>
      <c r="F30" s="5" t="s">
        <v>1385</v>
      </c>
      <c r="G30" s="5" t="s">
        <v>635</v>
      </c>
      <c r="H30" s="5" t="s">
        <v>635</v>
      </c>
      <c r="I30" s="5" t="s">
        <v>635</v>
      </c>
      <c r="J30" s="5"/>
      <c r="K30" s="5" t="s">
        <v>1386</v>
      </c>
      <c r="L30" s="5" t="s">
        <v>1387</v>
      </c>
      <c r="M30" s="5" t="s">
        <v>1267</v>
      </c>
      <c r="N30" s="5" t="s">
        <v>956</v>
      </c>
    </row>
    <row r="31" customFormat="false" ht="15" hidden="false" customHeight="true" outlineLevel="0" collapsed="false">
      <c r="A31" s="5" t="s">
        <v>914</v>
      </c>
      <c r="B31" s="5" t="s">
        <v>914</v>
      </c>
      <c r="C31" s="5" t="s">
        <v>1388</v>
      </c>
      <c r="D31" s="5" t="n">
        <v>2020</v>
      </c>
      <c r="E31" s="5" t="s">
        <v>1389</v>
      </c>
      <c r="F31" s="5" t="s">
        <v>1390</v>
      </c>
      <c r="G31" s="5" t="s">
        <v>1391</v>
      </c>
      <c r="H31" s="5" t="s">
        <v>1392</v>
      </c>
      <c r="I31" s="5" t="s">
        <v>1265</v>
      </c>
      <c r="J31" s="5"/>
      <c r="K31" s="5" t="s">
        <v>368</v>
      </c>
      <c r="L31" s="5" t="s">
        <v>1393</v>
      </c>
      <c r="M31" s="5" t="s">
        <v>1394</v>
      </c>
      <c r="N31" s="5" t="s">
        <v>956</v>
      </c>
    </row>
    <row r="32" customFormat="false" ht="15" hidden="false" customHeight="true" outlineLevel="0" collapsed="false">
      <c r="A32" s="5" t="s">
        <v>914</v>
      </c>
      <c r="B32" s="5" t="s">
        <v>914</v>
      </c>
      <c r="C32" s="5" t="s">
        <v>1388</v>
      </c>
      <c r="D32" s="5" t="n">
        <v>2020</v>
      </c>
      <c r="E32" s="5" t="s">
        <v>1395</v>
      </c>
      <c r="F32" s="5" t="s">
        <v>1396</v>
      </c>
      <c r="G32" s="5" t="s">
        <v>1391</v>
      </c>
      <c r="H32" s="5" t="s">
        <v>1392</v>
      </c>
      <c r="I32" s="5" t="s">
        <v>1298</v>
      </c>
      <c r="J32" s="5" t="n">
        <v>3</v>
      </c>
      <c r="K32" s="5" t="s">
        <v>383</v>
      </c>
      <c r="L32" s="5" t="s">
        <v>1397</v>
      </c>
      <c r="M32" s="5" t="s">
        <v>1284</v>
      </c>
      <c r="N32" s="5" t="s">
        <v>956</v>
      </c>
    </row>
    <row r="33" customFormat="false" ht="15" hidden="false" customHeight="true" outlineLevel="0" collapsed="false">
      <c r="A33" s="5" t="s">
        <v>914</v>
      </c>
      <c r="B33" s="5" t="s">
        <v>914</v>
      </c>
      <c r="C33" s="5" t="s">
        <v>1388</v>
      </c>
      <c r="D33" s="5" t="n">
        <v>2020</v>
      </c>
      <c r="E33" s="5" t="s">
        <v>1398</v>
      </c>
      <c r="F33" s="5" t="s">
        <v>1399</v>
      </c>
      <c r="G33" s="5" t="s">
        <v>1391</v>
      </c>
      <c r="H33" s="5" t="s">
        <v>1392</v>
      </c>
      <c r="I33" s="5" t="s">
        <v>1298</v>
      </c>
      <c r="J33" s="5" t="n">
        <v>3</v>
      </c>
      <c r="K33" s="5" t="s">
        <v>383</v>
      </c>
      <c r="L33" s="5" t="s">
        <v>1400</v>
      </c>
      <c r="M33" s="5" t="s">
        <v>1284</v>
      </c>
      <c r="N33" s="5" t="s">
        <v>1285</v>
      </c>
    </row>
    <row r="34" customFormat="false" ht="15" hidden="false" customHeight="true" outlineLevel="0" collapsed="false">
      <c r="A34" s="5" t="s">
        <v>914</v>
      </c>
      <c r="B34" s="5" t="s">
        <v>914</v>
      </c>
      <c r="C34" s="5" t="s">
        <v>1388</v>
      </c>
      <c r="D34" s="5" t="n">
        <v>2020</v>
      </c>
      <c r="E34" s="5" t="s">
        <v>1261</v>
      </c>
      <c r="F34" s="5" t="s">
        <v>1401</v>
      </c>
      <c r="G34" s="5" t="s">
        <v>1263</v>
      </c>
      <c r="H34" s="5" t="s">
        <v>1270</v>
      </c>
      <c r="I34" s="5" t="s">
        <v>1265</v>
      </c>
      <c r="J34" s="5"/>
      <c r="K34" s="5" t="s">
        <v>434</v>
      </c>
      <c r="L34" s="5" t="s">
        <v>1312</v>
      </c>
      <c r="M34" s="5" t="s">
        <v>1267</v>
      </c>
      <c r="N34" s="5" t="s">
        <v>434</v>
      </c>
    </row>
    <row r="35" customFormat="false" ht="15" hidden="false" customHeight="true" outlineLevel="0" collapsed="false">
      <c r="A35" s="5" t="s">
        <v>931</v>
      </c>
      <c r="B35" s="5" t="s">
        <v>931</v>
      </c>
      <c r="C35" s="5" t="s">
        <v>1402</v>
      </c>
      <c r="D35" s="5" t="n">
        <v>2023</v>
      </c>
      <c r="E35" s="5" t="s">
        <v>1403</v>
      </c>
      <c r="F35" s="5" t="s">
        <v>1404</v>
      </c>
      <c r="G35" s="5" t="s">
        <v>1355</v>
      </c>
      <c r="H35" s="5" t="s">
        <v>371</v>
      </c>
      <c r="I35" s="5" t="s">
        <v>1382</v>
      </c>
      <c r="J35" s="5" t="s">
        <v>1405</v>
      </c>
      <c r="K35" s="5" t="s">
        <v>365</v>
      </c>
      <c r="L35" s="5" t="s">
        <v>1359</v>
      </c>
      <c r="M35" s="5" t="s">
        <v>1267</v>
      </c>
      <c r="N35" s="5" t="s">
        <v>956</v>
      </c>
    </row>
    <row r="36" customFormat="false" ht="15" hidden="false" customHeight="true" outlineLevel="0" collapsed="false">
      <c r="A36" s="5" t="s">
        <v>931</v>
      </c>
      <c r="B36" s="5" t="s">
        <v>931</v>
      </c>
      <c r="C36" s="5" t="s">
        <v>1402</v>
      </c>
      <c r="D36" s="5" t="n">
        <v>2023</v>
      </c>
      <c r="E36" s="5" t="s">
        <v>999</v>
      </c>
      <c r="F36" s="5" t="s">
        <v>1406</v>
      </c>
      <c r="G36" s="5" t="s">
        <v>1407</v>
      </c>
      <c r="H36" s="5" t="s">
        <v>371</v>
      </c>
      <c r="I36" s="5" t="s">
        <v>1382</v>
      </c>
      <c r="J36" s="5" t="s">
        <v>1405</v>
      </c>
      <c r="K36" s="5" t="s">
        <v>389</v>
      </c>
      <c r="L36" s="5" t="s">
        <v>1408</v>
      </c>
      <c r="M36" s="5" t="s">
        <v>1267</v>
      </c>
      <c r="N36" s="5" t="s">
        <v>956</v>
      </c>
    </row>
    <row r="37" customFormat="false" ht="15" hidden="false" customHeight="true" outlineLevel="0" collapsed="false">
      <c r="A37" s="5" t="s">
        <v>931</v>
      </c>
      <c r="B37" s="5" t="s">
        <v>931</v>
      </c>
      <c r="C37" s="5" t="s">
        <v>1402</v>
      </c>
      <c r="D37" s="5" t="n">
        <v>2023</v>
      </c>
      <c r="E37" s="5" t="s">
        <v>1409</v>
      </c>
      <c r="F37" s="5" t="s">
        <v>1410</v>
      </c>
      <c r="G37" s="5" t="s">
        <v>1411</v>
      </c>
      <c r="H37" s="5" t="s">
        <v>371</v>
      </c>
      <c r="I37" s="5" t="s">
        <v>1382</v>
      </c>
      <c r="J37" s="5" t="s">
        <v>1405</v>
      </c>
      <c r="K37" s="5" t="s">
        <v>434</v>
      </c>
      <c r="L37" s="5" t="s">
        <v>1412</v>
      </c>
      <c r="M37" s="5" t="s">
        <v>1267</v>
      </c>
      <c r="N37" s="5" t="s">
        <v>434</v>
      </c>
    </row>
    <row r="38" customFormat="false" ht="15" hidden="false" customHeight="true" outlineLevel="0" collapsed="false"/>
    <row r="39" customFormat="false" ht="15" hidden="false" customHeight="true" outlineLevel="0" collapsed="false"/>
    <row r="40" customFormat="false" ht="15" hidden="false" customHeight="true" outlineLevel="0" collapsed="false"/>
    <row r="41" customFormat="false" ht="15" hidden="false" customHeight="true" outlineLevel="0" collapsed="false"/>
    <row r="42" customFormat="false" ht="15" hidden="false" customHeight="true" outlineLevel="0" collapsed="false"/>
    <row r="43" customFormat="false" ht="15" hidden="false" customHeight="true" outlineLevel="0" collapsed="false"/>
    <row r="44" customFormat="false" ht="15" hidden="false" customHeight="true" outlineLevel="0" collapsed="false"/>
    <row r="45" customFormat="false" ht="15" hidden="false" customHeight="true" outlineLevel="0" collapsed="false"/>
    <row r="46" customFormat="false" ht="15" hidden="false" customHeight="true" outlineLevel="0" collapsed="false"/>
    <row r="47" customFormat="false" ht="15" hidden="false" customHeight="true" outlineLevel="0" collapsed="false"/>
    <row r="48" customFormat="false" ht="15" hidden="false" customHeight="true" outlineLevel="0" collapsed="false"/>
    <row r="49" customFormat="false" ht="15" hidden="false" customHeight="true" outlineLevel="0" collapsed="false"/>
    <row r="50" customFormat="false" ht="15" hidden="false" customHeight="true" outlineLevel="0" collapsed="false"/>
    <row r="51" customFormat="false" ht="15" hidden="false" customHeight="true" outlineLevel="0" collapsed="false"/>
    <row r="52" customFormat="false" ht="15" hidden="false" customHeight="true" outlineLevel="0" collapsed="false"/>
    <row r="53" customFormat="false" ht="15" hidden="false" customHeight="true" outlineLevel="0" collapsed="false"/>
    <row r="54" customFormat="false" ht="15" hidden="false" customHeight="true" outlineLevel="0" collapsed="false"/>
    <row r="55" customFormat="false" ht="15" hidden="false" customHeight="true" outlineLevel="0" collapsed="false"/>
    <row r="56" customFormat="false" ht="15" hidden="false" customHeight="true" outlineLevel="0" collapsed="false"/>
    <row r="57" customFormat="false" ht="15" hidden="false" customHeight="true" outlineLevel="0" collapsed="false"/>
    <row r="58" customFormat="false" ht="15" hidden="false" customHeight="true" outlineLevel="0" collapsed="false"/>
    <row r="59" customFormat="false" ht="15" hidden="false" customHeight="true" outlineLevel="0" collapsed="false"/>
    <row r="60" customFormat="false" ht="15" hidden="false" customHeight="true" outlineLevel="0" collapsed="false"/>
    <row r="61" customFormat="false" ht="15" hidden="false" customHeight="true" outlineLevel="0" collapsed="false"/>
    <row r="62" customFormat="false" ht="15" hidden="false" customHeight="true" outlineLevel="0" collapsed="false"/>
    <row r="63" customFormat="false" ht="15" hidden="false" customHeight="true" outlineLevel="0" collapsed="false"/>
    <row r="64" customFormat="false" ht="15" hidden="false" customHeight="true" outlineLevel="0" collapsed="false"/>
    <row r="65" customFormat="false" ht="15" hidden="false" customHeight="true" outlineLevel="0" collapsed="false"/>
    <row r="66" customFormat="false" ht="15" hidden="false" customHeight="true" outlineLevel="0" collapsed="false"/>
    <row r="67" customFormat="false" ht="15" hidden="false" customHeight="true" outlineLevel="0" collapsed="false"/>
    <row r="68" customFormat="false" ht="15" hidden="false" customHeight="true" outlineLevel="0" collapsed="false"/>
    <row r="69" customFormat="false" ht="15" hidden="false" customHeight="true" outlineLevel="0" collapsed="false"/>
    <row r="70" customFormat="false" ht="15" hidden="false" customHeight="true" outlineLevel="0" collapsed="false"/>
    <row r="71" customFormat="false" ht="15" hidden="false" customHeight="true" outlineLevel="0" collapsed="false"/>
    <row r="72" customFormat="false" ht="15" hidden="false" customHeight="true" outlineLevel="0" collapsed="false"/>
    <row r="73" customFormat="false" ht="15" hidden="false" customHeight="true" outlineLevel="0" collapsed="false"/>
    <row r="74" customFormat="false" ht="15" hidden="false" customHeight="true" outlineLevel="0" collapsed="false"/>
    <row r="75" customFormat="false" ht="15" hidden="false" customHeight="true" outlineLevel="0" collapsed="false"/>
    <row r="76" customFormat="false" ht="15" hidden="false" customHeight="true" outlineLevel="0" collapsed="false"/>
    <row r="77" customFormat="false" ht="15" hidden="false" customHeight="true" outlineLevel="0" collapsed="false"/>
    <row r="78" customFormat="false" ht="15" hidden="false" customHeight="true" outlineLevel="0" collapsed="false"/>
    <row r="79" customFormat="false" ht="15" hidden="false" customHeight="true" outlineLevel="0" collapsed="false"/>
    <row r="80" customFormat="false" ht="15" hidden="false" customHeight="true" outlineLevel="0" collapsed="false"/>
    <row r="81" customFormat="false" ht="15" hidden="false" customHeight="true" outlineLevel="0" collapsed="false"/>
    <row r="82" customFormat="false" ht="15" hidden="false" customHeight="true" outlineLevel="0" collapsed="false"/>
    <row r="83" customFormat="false" ht="15" hidden="false" customHeight="true" outlineLevel="0" collapsed="false"/>
    <row r="84" customFormat="false" ht="15" hidden="false" customHeight="true" outlineLevel="0" collapsed="false"/>
    <row r="85" customFormat="false" ht="15" hidden="false" customHeight="true" outlineLevel="0" collapsed="false"/>
    <row r="86" customFormat="false" ht="15" hidden="false" customHeight="true" outlineLevel="0" collapsed="false"/>
    <row r="87" customFormat="false" ht="15" hidden="false" customHeight="true" outlineLevel="0" collapsed="false"/>
    <row r="88" customFormat="false" ht="15" hidden="false" customHeight="true" outlineLevel="0" collapsed="false"/>
    <row r="89" customFormat="false" ht="15" hidden="false" customHeight="true" outlineLevel="0" collapsed="false"/>
    <row r="90" customFormat="false" ht="15" hidden="false" customHeight="true" outlineLevel="0" collapsed="false"/>
    <row r="91" customFormat="false" ht="15" hidden="false" customHeight="true" outlineLevel="0" collapsed="false"/>
    <row r="92" customFormat="false" ht="15" hidden="false" customHeight="true" outlineLevel="0" collapsed="false"/>
    <row r="93" customFormat="false" ht="15" hidden="false" customHeight="true" outlineLevel="0" collapsed="false"/>
    <row r="94" customFormat="false" ht="15" hidden="false" customHeight="true" outlineLevel="0" collapsed="false"/>
    <row r="95" customFormat="false" ht="15" hidden="false" customHeight="true" outlineLevel="0" collapsed="false"/>
    <row r="96" customFormat="false" ht="15" hidden="false" customHeight="true" outlineLevel="0" collapsed="false"/>
    <row r="97" customFormat="false" ht="15" hidden="false" customHeight="true" outlineLevel="0" collapsed="false"/>
    <row r="98" customFormat="false" ht="15" hidden="false" customHeight="true" outlineLevel="0" collapsed="false"/>
    <row r="99" customFormat="false" ht="15" hidden="false" customHeight="true" outlineLevel="0" collapsed="false"/>
    <row r="100" customFormat="false" ht="15" hidden="false" customHeight="true" outlineLevel="0" collapsed="false"/>
    <row r="101" customFormat="false" ht="15" hidden="false" customHeight="true" outlineLevel="0" collapsed="false"/>
    <row r="102" customFormat="false" ht="15" hidden="false" customHeight="true" outlineLevel="0" collapsed="false"/>
    <row r="103" customFormat="false" ht="15" hidden="false" customHeight="true" outlineLevel="0" collapsed="false"/>
    <row r="104" customFormat="false" ht="15" hidden="false" customHeight="true" outlineLevel="0" collapsed="false"/>
    <row r="105" customFormat="false" ht="15" hidden="false" customHeight="true" outlineLevel="0" collapsed="false"/>
    <row r="106" customFormat="false" ht="15" hidden="false" customHeight="true" outlineLevel="0" collapsed="false"/>
    <row r="107" customFormat="false" ht="15" hidden="false" customHeight="true" outlineLevel="0" collapsed="false"/>
    <row r="108" customFormat="false" ht="15" hidden="false" customHeight="true" outlineLevel="0" collapsed="false"/>
    <row r="109" customFormat="false" ht="15" hidden="false" customHeight="true" outlineLevel="0" collapsed="false"/>
    <row r="110" customFormat="false" ht="15" hidden="false" customHeight="true" outlineLevel="0" collapsed="false"/>
    <row r="111" customFormat="false" ht="15" hidden="false" customHeight="true" outlineLevel="0" collapsed="false"/>
    <row r="112" customFormat="false" ht="15" hidden="false" customHeight="true" outlineLevel="0" collapsed="false"/>
    <row r="113" customFormat="false" ht="15" hidden="false" customHeight="true" outlineLevel="0" collapsed="false"/>
    <row r="114" customFormat="false" ht="15" hidden="false" customHeight="true" outlineLevel="0" collapsed="false"/>
    <row r="115" customFormat="false" ht="15" hidden="false" customHeight="true" outlineLevel="0" collapsed="false"/>
    <row r="116" customFormat="false" ht="15" hidden="false" customHeight="true" outlineLevel="0" collapsed="false"/>
    <row r="117" customFormat="false" ht="15" hidden="false" customHeight="true" outlineLevel="0" collapsed="false"/>
    <row r="118" customFormat="false" ht="15" hidden="false" customHeight="true" outlineLevel="0" collapsed="false"/>
    <row r="119" customFormat="false" ht="15" hidden="false" customHeight="true" outlineLevel="0" collapsed="false"/>
    <row r="120" customFormat="false" ht="15" hidden="false" customHeight="true" outlineLevel="0" collapsed="false"/>
    <row r="121" customFormat="false" ht="15" hidden="false" customHeight="true" outlineLevel="0" collapsed="false"/>
    <row r="122" customFormat="false" ht="15" hidden="false" customHeight="true" outlineLevel="0" collapsed="false"/>
    <row r="123" customFormat="false" ht="15" hidden="false" customHeight="true" outlineLevel="0" collapsed="false"/>
    <row r="124" customFormat="false" ht="15" hidden="false" customHeight="true" outlineLevel="0" collapsed="false"/>
    <row r="125" customFormat="false" ht="15" hidden="false" customHeight="true" outlineLevel="0" collapsed="false"/>
    <row r="126" customFormat="false" ht="15" hidden="false" customHeight="true" outlineLevel="0" collapsed="false"/>
    <row r="127" customFormat="false" ht="15" hidden="false" customHeight="true" outlineLevel="0" collapsed="false"/>
    <row r="128" customFormat="false" ht="15" hidden="false" customHeight="true" outlineLevel="0" collapsed="false"/>
    <row r="129" customFormat="false" ht="15" hidden="false" customHeight="true" outlineLevel="0" collapsed="false"/>
    <row r="130" customFormat="false" ht="15" hidden="false" customHeight="true" outlineLevel="0" collapsed="false"/>
    <row r="131" customFormat="false" ht="15" hidden="false" customHeight="true" outlineLevel="0" collapsed="false"/>
    <row r="132" customFormat="false" ht="15" hidden="false" customHeight="true" outlineLevel="0" collapsed="false"/>
    <row r="133" customFormat="false" ht="15" hidden="false" customHeight="true" outlineLevel="0" collapsed="false"/>
    <row r="134" customFormat="false" ht="15" hidden="false" customHeight="true" outlineLevel="0" collapsed="false"/>
    <row r="135" customFormat="false" ht="15" hidden="false" customHeight="true" outlineLevel="0" collapsed="false"/>
    <row r="136" customFormat="false" ht="15" hidden="false" customHeight="true" outlineLevel="0" collapsed="false"/>
    <row r="137" customFormat="false" ht="15" hidden="false" customHeight="true" outlineLevel="0" collapsed="false"/>
    <row r="138" customFormat="false" ht="15" hidden="false" customHeight="true" outlineLevel="0" collapsed="false"/>
    <row r="139" customFormat="false" ht="15" hidden="false" customHeight="true" outlineLevel="0" collapsed="false"/>
    <row r="140" customFormat="false" ht="15" hidden="false" customHeight="true" outlineLevel="0" collapsed="false"/>
    <row r="141" customFormat="false" ht="15" hidden="false" customHeight="true" outlineLevel="0" collapsed="false"/>
    <row r="142" customFormat="false" ht="15" hidden="false" customHeight="true" outlineLevel="0" collapsed="false"/>
    <row r="143" customFormat="false" ht="15" hidden="false" customHeight="true" outlineLevel="0" collapsed="false"/>
    <row r="144" customFormat="false" ht="15" hidden="false" customHeight="true" outlineLevel="0" collapsed="false"/>
    <row r="145" customFormat="false" ht="15" hidden="false" customHeight="true" outlineLevel="0" collapsed="false"/>
    <row r="146" customFormat="false" ht="15" hidden="false" customHeight="true" outlineLevel="0" collapsed="false"/>
    <row r="147" customFormat="false" ht="15" hidden="false" customHeight="true" outlineLevel="0" collapsed="false"/>
    <row r="148" customFormat="false" ht="15" hidden="false" customHeight="true" outlineLevel="0" collapsed="false"/>
    <row r="149" customFormat="false" ht="15" hidden="false" customHeight="true" outlineLevel="0" collapsed="false"/>
    <row r="150" customFormat="false" ht="15" hidden="false" customHeight="true" outlineLevel="0" collapsed="false"/>
    <row r="151" customFormat="false" ht="15" hidden="false" customHeight="true" outlineLevel="0" collapsed="false"/>
    <row r="152" customFormat="false" ht="15" hidden="false" customHeight="true" outlineLevel="0" collapsed="false"/>
    <row r="153" customFormat="false" ht="15" hidden="false" customHeight="true" outlineLevel="0" collapsed="false"/>
    <row r="154" customFormat="false" ht="15" hidden="false" customHeight="true" outlineLevel="0" collapsed="false"/>
    <row r="155" customFormat="false" ht="15" hidden="false" customHeight="true" outlineLevel="0" collapsed="false"/>
    <row r="156" customFormat="false" ht="15" hidden="false" customHeight="true" outlineLevel="0" collapsed="false"/>
    <row r="157" customFormat="false" ht="15" hidden="false" customHeight="true" outlineLevel="0" collapsed="false"/>
    <row r="158" customFormat="false" ht="15" hidden="false" customHeight="true" outlineLevel="0" collapsed="false"/>
    <row r="159" customFormat="false" ht="15" hidden="false" customHeight="true" outlineLevel="0" collapsed="false"/>
    <row r="160" customFormat="false" ht="15" hidden="false" customHeight="true" outlineLevel="0" collapsed="false"/>
    <row r="161" customFormat="false" ht="15" hidden="false" customHeight="true" outlineLevel="0" collapsed="false"/>
    <row r="162" customFormat="false" ht="15" hidden="false" customHeight="true" outlineLevel="0" collapsed="false"/>
    <row r="163" customFormat="false" ht="15" hidden="false" customHeight="true" outlineLevel="0" collapsed="false"/>
    <row r="164" customFormat="false" ht="15" hidden="false" customHeight="true" outlineLevel="0" collapsed="false"/>
    <row r="165" customFormat="false" ht="15" hidden="false" customHeight="true" outlineLevel="0" collapsed="false"/>
    <row r="166" customFormat="false" ht="15" hidden="false" customHeight="true" outlineLevel="0" collapsed="false"/>
    <row r="167" customFormat="false" ht="15" hidden="false" customHeight="true" outlineLevel="0" collapsed="false"/>
    <row r="168" customFormat="false" ht="15" hidden="false" customHeight="true" outlineLevel="0" collapsed="false"/>
    <row r="169" customFormat="false" ht="15" hidden="false" customHeight="true" outlineLevel="0" collapsed="false"/>
    <row r="170" customFormat="false" ht="15" hidden="false" customHeight="true" outlineLevel="0" collapsed="false"/>
    <row r="171" customFormat="false" ht="15" hidden="false" customHeight="true" outlineLevel="0" collapsed="false"/>
    <row r="172" customFormat="false" ht="15" hidden="false" customHeight="true" outlineLevel="0" collapsed="false"/>
    <row r="173" customFormat="false" ht="15" hidden="false" customHeight="true" outlineLevel="0" collapsed="false"/>
    <row r="174" customFormat="false" ht="15" hidden="false" customHeight="true" outlineLevel="0" collapsed="false"/>
    <row r="175" customFormat="false" ht="15" hidden="false" customHeight="true" outlineLevel="0" collapsed="false"/>
    <row r="176" customFormat="false" ht="15" hidden="false" customHeight="true" outlineLevel="0" collapsed="false"/>
    <row r="177" customFormat="false" ht="15" hidden="false" customHeight="true" outlineLevel="0" collapsed="false"/>
  </sheetData>
  <autoFilter ref="A1:N1"/>
  <dataValidations count="3">
    <dataValidation allowBlank="true" errorStyle="stop" operator="between" showDropDown="false" showErrorMessage="false" showInputMessage="false" sqref="K2:K1001" type="list">
      <formula1>"CA,CT,ZT,DT,MTR,MT,CTR,DTR,EXCLUDED"</formula1>
      <formula2>0</formula2>
    </dataValidation>
    <dataValidation allowBlank="true" errorStyle="stop" operator="between" showDropDown="false" showErrorMessage="false" showInputMessage="false" sqref="N2:N1001" type="list">
      <formula1>"CONFIRMED,NEEDS CONFIRMATION,EXCLUDED"</formula1>
      <formula2>0</formula2>
    </dataValidation>
    <dataValidation allowBlank="true" errorStyle="stop" operator="between" showDropDown="false" showErrorMessage="false" showInputMessage="false" sqref="M2:M1001" type="list">
      <formula1>"High,Medium,Low"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10"/>
    <col collapsed="false" customWidth="true" hidden="false" outlineLevel="0" max="3" min="3" style="1" width="28"/>
    <col collapsed="false" customWidth="true" hidden="false" outlineLevel="0" max="4" min="4" style="1" width="8"/>
    <col collapsed="false" customWidth="true" hidden="false" outlineLevel="0" max="5" min="5" style="1" width="18"/>
    <col collapsed="false" customWidth="true" hidden="false" outlineLevel="0" max="6" min="6" style="1" width="34"/>
    <col collapsed="false" customWidth="true" hidden="false" outlineLevel="0" max="8" min="7" style="1" width="16"/>
    <col collapsed="false" customWidth="true" hidden="false" outlineLevel="0" max="10" min="9" style="1" width="11"/>
    <col collapsed="false" customWidth="true" hidden="false" outlineLevel="0" max="11" min="11" style="1" width="30"/>
    <col collapsed="false" customWidth="true" hidden="false" outlineLevel="0" max="12" min="12" style="1" width="10"/>
    <col collapsed="false" customWidth="true" hidden="false" outlineLevel="0" max="13" min="13" style="1" width="40"/>
  </cols>
  <sheetData>
    <row r="1" customFormat="false" ht="45.75" hidden="false" customHeight="true" outlineLevel="0" collapsed="false">
      <c r="A1" s="20" t="s">
        <v>55</v>
      </c>
      <c r="B1" s="20" t="s">
        <v>56</v>
      </c>
      <c r="C1" s="20" t="s">
        <v>57</v>
      </c>
      <c r="D1" s="20" t="s">
        <v>58</v>
      </c>
      <c r="E1" s="20" t="s">
        <v>60</v>
      </c>
      <c r="F1" s="20" t="s">
        <v>61</v>
      </c>
      <c r="G1" s="20" t="s">
        <v>765</v>
      </c>
      <c r="H1" s="20" t="s">
        <v>766</v>
      </c>
      <c r="I1" s="20" t="s">
        <v>62</v>
      </c>
      <c r="J1" s="20" t="s">
        <v>63</v>
      </c>
      <c r="K1" s="20" t="s">
        <v>767</v>
      </c>
      <c r="L1" s="20" t="s">
        <v>64</v>
      </c>
      <c r="M1" s="20" t="s">
        <v>1413</v>
      </c>
    </row>
    <row r="2" customFormat="false" ht="15" hidden="false" customHeight="true" outlineLevel="0" collapsed="false">
      <c r="A2" s="5" t="n">
        <v>164</v>
      </c>
      <c r="B2" s="5" t="n">
        <v>164</v>
      </c>
      <c r="C2" s="5" t="s">
        <v>1260</v>
      </c>
      <c r="D2" s="5" t="n">
        <v>2000</v>
      </c>
      <c r="E2" s="5" t="s">
        <v>866</v>
      </c>
      <c r="F2" s="5" t="s">
        <v>1414</v>
      </c>
      <c r="G2" s="5" t="s">
        <v>868</v>
      </c>
      <c r="H2" s="5" t="s">
        <v>869</v>
      </c>
      <c r="I2" s="5" t="n">
        <v>30.933</v>
      </c>
      <c r="J2" s="5" t="n">
        <v>75.867</v>
      </c>
      <c r="K2" s="5" t="s">
        <v>819</v>
      </c>
      <c r="L2" s="5" t="s">
        <v>870</v>
      </c>
      <c r="M2" s="5"/>
    </row>
    <row r="3" customFormat="false" ht="15" hidden="false" customHeight="true" outlineLevel="0" collapsed="false">
      <c r="A3" s="5" t="n">
        <v>164</v>
      </c>
      <c r="B3" s="5" t="n">
        <v>164</v>
      </c>
      <c r="C3" s="5" t="s">
        <v>1260</v>
      </c>
      <c r="D3" s="5" t="n">
        <v>2000</v>
      </c>
      <c r="E3" s="5" t="s">
        <v>1415</v>
      </c>
      <c r="F3" s="5" t="s">
        <v>1416</v>
      </c>
      <c r="G3" s="5" t="s">
        <v>1417</v>
      </c>
      <c r="H3" s="5" t="s">
        <v>1418</v>
      </c>
      <c r="I3" s="5" t="n">
        <v>29</v>
      </c>
      <c r="J3" s="5" t="n">
        <v>79.083</v>
      </c>
      <c r="K3" s="5" t="s">
        <v>819</v>
      </c>
      <c r="L3" s="5" t="s">
        <v>83</v>
      </c>
      <c r="M3" s="5" t="s">
        <v>1419</v>
      </c>
    </row>
    <row r="4" customFormat="false" ht="15" hidden="false" customHeight="true" outlineLevel="0" collapsed="false">
      <c r="A4" s="5" t="n">
        <v>164</v>
      </c>
      <c r="B4" s="5" t="n">
        <v>164</v>
      </c>
      <c r="C4" s="5" t="s">
        <v>1260</v>
      </c>
      <c r="D4" s="5" t="n">
        <v>2000</v>
      </c>
      <c r="E4" s="5" t="s">
        <v>836</v>
      </c>
      <c r="F4" s="5" t="s">
        <v>1420</v>
      </c>
      <c r="G4" s="5" t="s">
        <v>1421</v>
      </c>
      <c r="H4" s="5" t="s">
        <v>1422</v>
      </c>
      <c r="I4" s="5" t="n">
        <v>26.967</v>
      </c>
      <c r="J4" s="5" t="n">
        <v>80.567</v>
      </c>
      <c r="K4" s="5" t="s">
        <v>819</v>
      </c>
      <c r="L4" s="5" t="s">
        <v>83</v>
      </c>
      <c r="M4" s="5"/>
    </row>
    <row r="5" customFormat="false" ht="15" hidden="false" customHeight="true" outlineLevel="0" collapsed="false">
      <c r="A5" s="5" t="n">
        <v>164</v>
      </c>
      <c r="B5" s="5" t="n">
        <v>164</v>
      </c>
      <c r="C5" s="5" t="s">
        <v>1260</v>
      </c>
      <c r="D5" s="5" t="n">
        <v>2000</v>
      </c>
      <c r="E5" s="5" t="s">
        <v>836</v>
      </c>
      <c r="F5" s="5" t="s">
        <v>1423</v>
      </c>
      <c r="G5" s="5" t="s">
        <v>1424</v>
      </c>
      <c r="H5" s="5" t="s">
        <v>1425</v>
      </c>
      <c r="I5" s="5" t="n">
        <v>26.067</v>
      </c>
      <c r="J5" s="5" t="n">
        <v>82.133</v>
      </c>
      <c r="K5" s="5" t="s">
        <v>819</v>
      </c>
      <c r="L5" s="5" t="s">
        <v>83</v>
      </c>
      <c r="M5" s="5" t="s">
        <v>1426</v>
      </c>
    </row>
    <row r="6" customFormat="false" ht="15" hidden="false" customHeight="true" outlineLevel="0" collapsed="false">
      <c r="A6" s="5" t="n">
        <v>164</v>
      </c>
      <c r="B6" s="5" t="n">
        <v>164</v>
      </c>
      <c r="C6" s="5" t="s">
        <v>1260</v>
      </c>
      <c r="D6" s="5" t="n">
        <v>2000</v>
      </c>
      <c r="E6" s="5" t="s">
        <v>1427</v>
      </c>
      <c r="F6" s="5" t="s">
        <v>1428</v>
      </c>
      <c r="G6" s="5" t="s">
        <v>1429</v>
      </c>
      <c r="H6" s="5" t="s">
        <v>1430</v>
      </c>
      <c r="I6" s="5" t="n">
        <v>25.233</v>
      </c>
      <c r="J6" s="5" t="n">
        <v>87.067</v>
      </c>
      <c r="K6" s="5" t="s">
        <v>819</v>
      </c>
      <c r="L6" s="5" t="s">
        <v>83</v>
      </c>
      <c r="M6" s="5"/>
    </row>
    <row r="7" customFormat="false" ht="15" hidden="false" customHeight="true" outlineLevel="0" collapsed="false">
      <c r="A7" s="5" t="n">
        <v>164</v>
      </c>
      <c r="B7" s="5" t="n">
        <v>164</v>
      </c>
      <c r="C7" s="5" t="s">
        <v>1260</v>
      </c>
      <c r="D7" s="5" t="n">
        <v>2000</v>
      </c>
      <c r="E7" s="5" t="s">
        <v>1431</v>
      </c>
      <c r="F7" s="5" t="s">
        <v>1432</v>
      </c>
      <c r="G7" s="5" t="s">
        <v>1433</v>
      </c>
      <c r="H7" s="5" t="s">
        <v>1434</v>
      </c>
      <c r="I7" s="5" t="n">
        <v>23</v>
      </c>
      <c r="J7" s="5" t="n">
        <v>89</v>
      </c>
      <c r="K7" s="5" t="s">
        <v>819</v>
      </c>
      <c r="L7" s="5" t="s">
        <v>83</v>
      </c>
      <c r="M7" s="5" t="s">
        <v>1435</v>
      </c>
    </row>
    <row r="8" customFormat="false" ht="15" hidden="false" customHeight="true" outlineLevel="0" collapsed="false">
      <c r="A8" s="5" t="n">
        <v>164</v>
      </c>
      <c r="B8" s="5" t="n">
        <v>164</v>
      </c>
      <c r="C8" s="5" t="s">
        <v>1260</v>
      </c>
      <c r="D8" s="5" t="n">
        <v>2000</v>
      </c>
      <c r="E8" s="5" t="s">
        <v>1436</v>
      </c>
      <c r="F8" s="5" t="s">
        <v>1437</v>
      </c>
      <c r="G8" s="5" t="s">
        <v>1438</v>
      </c>
      <c r="H8" s="5" t="s">
        <v>1439</v>
      </c>
      <c r="I8" s="5" t="n">
        <v>23.167</v>
      </c>
      <c r="J8" s="5" t="n">
        <v>79.95</v>
      </c>
      <c r="K8" s="5" t="s">
        <v>819</v>
      </c>
      <c r="L8" s="5" t="s">
        <v>83</v>
      </c>
      <c r="M8" s="5"/>
    </row>
    <row r="9" customFormat="false" ht="15" hidden="false" customHeight="true" outlineLevel="0" collapsed="false">
      <c r="A9" s="5" t="n">
        <v>165</v>
      </c>
      <c r="B9" s="5" t="n">
        <v>165</v>
      </c>
      <c r="C9" s="5" t="s">
        <v>1290</v>
      </c>
      <c r="D9" s="5" t="n">
        <v>2012</v>
      </c>
      <c r="E9" s="5" t="s">
        <v>815</v>
      </c>
      <c r="F9" s="5" t="s">
        <v>1440</v>
      </c>
      <c r="G9" s="5" t="s">
        <v>817</v>
      </c>
      <c r="H9" s="5" t="s">
        <v>818</v>
      </c>
      <c r="I9" s="5" t="n">
        <v>28.633</v>
      </c>
      <c r="J9" s="5" t="n">
        <v>77.183</v>
      </c>
      <c r="K9" s="5" t="s">
        <v>819</v>
      </c>
      <c r="L9" s="5" t="s">
        <v>83</v>
      </c>
      <c r="M9" s="5"/>
    </row>
    <row r="10" customFormat="false" ht="15" hidden="false" customHeight="true" outlineLevel="0" collapsed="false">
      <c r="A10" s="5" t="n">
        <v>166</v>
      </c>
      <c r="B10" s="5" t="n">
        <v>166</v>
      </c>
      <c r="C10" s="5" t="s">
        <v>1308</v>
      </c>
      <c r="D10" s="5" t="n">
        <v>2014</v>
      </c>
      <c r="E10" s="5" t="s">
        <v>836</v>
      </c>
      <c r="F10" s="5" t="s">
        <v>1441</v>
      </c>
      <c r="G10" s="5" t="s">
        <v>838</v>
      </c>
      <c r="H10" s="5" t="s">
        <v>839</v>
      </c>
      <c r="I10" s="5" t="n">
        <v>29.067</v>
      </c>
      <c r="J10" s="5" t="n">
        <v>77.767</v>
      </c>
      <c r="K10" s="5" t="s">
        <v>819</v>
      </c>
      <c r="L10" s="5" t="s">
        <v>83</v>
      </c>
      <c r="M10" s="5"/>
    </row>
    <row r="11" customFormat="false" ht="15" hidden="false" customHeight="true" outlineLevel="0" collapsed="false">
      <c r="A11" s="5" t="n">
        <v>167</v>
      </c>
      <c r="B11" s="5" t="n">
        <v>167</v>
      </c>
      <c r="C11" s="5" t="s">
        <v>1339</v>
      </c>
      <c r="D11" s="5" t="n">
        <v>2023</v>
      </c>
      <c r="E11" s="5" t="s">
        <v>855</v>
      </c>
      <c r="F11" s="5" t="s">
        <v>1442</v>
      </c>
      <c r="G11" s="5"/>
      <c r="H11" s="5"/>
      <c r="I11" s="5"/>
      <c r="J11" s="5"/>
      <c r="K11" s="5" t="s">
        <v>1443</v>
      </c>
      <c r="L11" s="5"/>
      <c r="M11" s="5" t="s">
        <v>1444</v>
      </c>
    </row>
    <row r="12" customFormat="false" ht="15" hidden="false" customHeight="true" outlineLevel="0" collapsed="false">
      <c r="A12" s="5" t="n">
        <v>168</v>
      </c>
      <c r="B12" s="5" t="n">
        <v>168</v>
      </c>
      <c r="C12" s="5" t="s">
        <v>1344</v>
      </c>
      <c r="D12" s="5" t="n">
        <v>2020</v>
      </c>
      <c r="E12" s="5" t="s">
        <v>866</v>
      </c>
      <c r="F12" s="5" t="s">
        <v>1445</v>
      </c>
      <c r="G12" s="5" t="s">
        <v>868</v>
      </c>
      <c r="H12" s="5" t="s">
        <v>869</v>
      </c>
      <c r="I12" s="5" t="n">
        <v>30.933</v>
      </c>
      <c r="J12" s="5" t="n">
        <v>75.867</v>
      </c>
      <c r="K12" s="5" t="s">
        <v>819</v>
      </c>
      <c r="L12" s="5" t="s">
        <v>870</v>
      </c>
      <c r="M12" s="5"/>
    </row>
    <row r="13" customFormat="false" ht="15" hidden="false" customHeight="true" outlineLevel="0" collapsed="false">
      <c r="A13" s="5" t="n">
        <v>169</v>
      </c>
      <c r="B13" s="5" t="n">
        <v>169</v>
      </c>
      <c r="C13" s="5" t="s">
        <v>1360</v>
      </c>
      <c r="D13" s="5" t="n">
        <v>2005</v>
      </c>
      <c r="E13" s="5" t="s">
        <v>836</v>
      </c>
      <c r="F13" s="5" t="s">
        <v>1446</v>
      </c>
      <c r="G13" s="5"/>
      <c r="H13" s="5"/>
      <c r="I13" s="5"/>
      <c r="J13" s="5"/>
      <c r="K13" s="5" t="s">
        <v>1447</v>
      </c>
      <c r="L13" s="5"/>
      <c r="M13" s="5" t="s">
        <v>1444</v>
      </c>
    </row>
    <row r="14" customFormat="false" ht="15" hidden="false" customHeight="true" outlineLevel="0" collapsed="false">
      <c r="A14" s="5" t="s">
        <v>887</v>
      </c>
      <c r="B14" s="5" t="s">
        <v>887</v>
      </c>
      <c r="C14" s="5" t="s">
        <v>1365</v>
      </c>
      <c r="D14" s="5" t="n">
        <v>2019</v>
      </c>
      <c r="E14" s="5" t="s">
        <v>891</v>
      </c>
      <c r="F14" s="5" t="s">
        <v>1448</v>
      </c>
      <c r="G14" s="5" t="s">
        <v>1449</v>
      </c>
      <c r="H14" s="5" t="s">
        <v>1450</v>
      </c>
      <c r="I14" s="5" t="n">
        <v>29.7</v>
      </c>
      <c r="J14" s="5" t="n">
        <v>76.96</v>
      </c>
      <c r="K14" s="5" t="s">
        <v>819</v>
      </c>
      <c r="L14" s="5" t="s">
        <v>83</v>
      </c>
      <c r="M14" s="5" t="s">
        <v>1451</v>
      </c>
    </row>
    <row r="15" customFormat="false" ht="15" hidden="false" customHeight="true" outlineLevel="0" collapsed="false">
      <c r="A15" s="5" t="s">
        <v>904</v>
      </c>
      <c r="B15" s="5" t="s">
        <v>904</v>
      </c>
      <c r="C15" s="5" t="s">
        <v>1365</v>
      </c>
      <c r="D15" s="5" t="n">
        <v>2019</v>
      </c>
      <c r="E15" s="5" t="s">
        <v>891</v>
      </c>
      <c r="F15" s="5" t="s">
        <v>1448</v>
      </c>
      <c r="G15" s="5" t="s">
        <v>1449</v>
      </c>
      <c r="H15" s="5" t="s">
        <v>1452</v>
      </c>
      <c r="I15" s="5" t="n">
        <v>29.7</v>
      </c>
      <c r="J15" s="5" t="n">
        <v>76.95</v>
      </c>
      <c r="K15" s="5" t="s">
        <v>819</v>
      </c>
      <c r="L15" s="5" t="s">
        <v>83</v>
      </c>
      <c r="M15" s="5"/>
    </row>
    <row r="16" customFormat="false" ht="15" hidden="false" customHeight="true" outlineLevel="0" collapsed="false">
      <c r="A16" s="5" t="s">
        <v>914</v>
      </c>
      <c r="B16" s="5" t="s">
        <v>914</v>
      </c>
      <c r="C16" s="5" t="s">
        <v>1388</v>
      </c>
      <c r="D16" s="5" t="n">
        <v>2020</v>
      </c>
      <c r="E16" s="5" t="s">
        <v>815</v>
      </c>
      <c r="F16" s="5" t="s">
        <v>1440</v>
      </c>
      <c r="G16" s="5" t="s">
        <v>920</v>
      </c>
      <c r="H16" s="5" t="s">
        <v>921</v>
      </c>
      <c r="I16" s="5" t="n">
        <v>28.4</v>
      </c>
      <c r="J16" s="5" t="n">
        <v>77.1</v>
      </c>
      <c r="K16" s="5" t="s">
        <v>819</v>
      </c>
      <c r="L16" s="5" t="s">
        <v>83</v>
      </c>
      <c r="M16" s="5"/>
    </row>
    <row r="17" customFormat="false" ht="15" hidden="false" customHeight="true" outlineLevel="0" collapsed="false">
      <c r="A17" s="5" t="s">
        <v>931</v>
      </c>
      <c r="B17" s="5" t="s">
        <v>931</v>
      </c>
      <c r="C17" s="5" t="s">
        <v>1402</v>
      </c>
      <c r="D17" s="5" t="n">
        <v>2023</v>
      </c>
      <c r="E17" s="5" t="s">
        <v>936</v>
      </c>
      <c r="F17" s="5" t="s">
        <v>1453</v>
      </c>
      <c r="G17" s="5" t="s">
        <v>635</v>
      </c>
      <c r="H17" s="5" t="s">
        <v>635</v>
      </c>
      <c r="I17" s="5" t="n">
        <v>35.27</v>
      </c>
      <c r="J17" s="5" t="n">
        <v>119.38</v>
      </c>
      <c r="K17" s="5" t="s">
        <v>1454</v>
      </c>
      <c r="L17" s="5" t="s">
        <v>870</v>
      </c>
      <c r="M17" s="5" t="s">
        <v>1455</v>
      </c>
    </row>
  </sheetData>
  <autoFilter ref="A1:M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70</v>
      </c>
      <c r="Q1" s="25" t="s">
        <v>71</v>
      </c>
      <c r="R1" s="25" t="s">
        <v>72</v>
      </c>
      <c r="S1" s="25" t="s">
        <v>1456</v>
      </c>
      <c r="T1" s="25" t="s">
        <v>1457</v>
      </c>
      <c r="U1" s="25" t="s">
        <v>1458</v>
      </c>
      <c r="V1" s="25" t="s">
        <v>1459</v>
      </c>
      <c r="W1" s="25" t="s">
        <v>1460</v>
      </c>
      <c r="X1" s="28" t="s">
        <v>1461</v>
      </c>
      <c r="Y1" s="28" t="s">
        <v>1462</v>
      </c>
      <c r="Z1" s="28" t="s">
        <v>1463</v>
      </c>
      <c r="AA1" s="28" t="s">
        <v>1464</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A2" s="18" t="n">
        <v>168</v>
      </c>
      <c r="B2" s="18" t="n">
        <v>168</v>
      </c>
      <c r="C2" s="18" t="s">
        <v>862</v>
      </c>
      <c r="D2" s="18" t="n">
        <v>2020</v>
      </c>
      <c r="E2" s="18" t="s">
        <v>863</v>
      </c>
      <c r="F2" s="18" t="s">
        <v>866</v>
      </c>
      <c r="G2" s="18" t="s">
        <v>867</v>
      </c>
      <c r="H2" s="18" t="n">
        <v>30.933</v>
      </c>
      <c r="I2" s="18" t="n">
        <v>75.867</v>
      </c>
      <c r="J2" s="18" t="s">
        <v>870</v>
      </c>
      <c r="K2" s="18" t="n">
        <v>2016</v>
      </c>
      <c r="L2" s="18" t="s">
        <v>84</v>
      </c>
      <c r="M2" s="18" t="s">
        <v>85</v>
      </c>
      <c r="N2" s="18" t="s">
        <v>86</v>
      </c>
      <c r="O2" s="18" t="s">
        <v>1472</v>
      </c>
      <c r="P2" s="18" t="n">
        <v>1.6</v>
      </c>
      <c r="Q2" s="18" t="n">
        <v>1.56</v>
      </c>
      <c r="R2" s="18" t="n">
        <v>1.6</v>
      </c>
      <c r="S2" s="18"/>
      <c r="T2" s="18"/>
      <c r="U2" s="18"/>
      <c r="V2" s="18" t="n">
        <v>1.5</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89</v>
      </c>
      <c r="AS2" s="18" t="s">
        <v>1473</v>
      </c>
      <c r="AT2" s="18" t="s">
        <v>1474</v>
      </c>
      <c r="AU2" s="18" t="s">
        <v>1475</v>
      </c>
      <c r="AV2" s="18" t="s">
        <v>1476</v>
      </c>
      <c r="AW2" s="30" t="s">
        <v>1477</v>
      </c>
      <c r="AX2" s="18" t="s">
        <v>877</v>
      </c>
      <c r="AY2" s="18" t="s">
        <v>1478</v>
      </c>
      <c r="BA2" s="31" t="s">
        <v>89</v>
      </c>
    </row>
    <row r="3" customFormat="false" ht="15" hidden="false" customHeight="true" outlineLevel="0" collapsed="false">
      <c r="A3" s="18" t="n">
        <v>168</v>
      </c>
      <c r="B3" s="18" t="n">
        <v>168</v>
      </c>
      <c r="C3" s="18" t="s">
        <v>862</v>
      </c>
      <c r="D3" s="18" t="n">
        <v>2020</v>
      </c>
      <c r="E3" s="18" t="s">
        <v>863</v>
      </c>
      <c r="F3" s="18" t="s">
        <v>866</v>
      </c>
      <c r="G3" s="18" t="s">
        <v>867</v>
      </c>
      <c r="H3" s="18" t="n">
        <v>30.933</v>
      </c>
      <c r="I3" s="18" t="n">
        <v>75.867</v>
      </c>
      <c r="J3" s="18" t="s">
        <v>870</v>
      </c>
      <c r="K3" s="18" t="n">
        <v>2016</v>
      </c>
      <c r="L3" s="18" t="s">
        <v>84</v>
      </c>
      <c r="M3" s="18" t="s">
        <v>85</v>
      </c>
      <c r="N3" s="18" t="s">
        <v>1479</v>
      </c>
      <c r="O3" s="18" t="s">
        <v>1480</v>
      </c>
      <c r="P3" s="18" t="n">
        <v>1.65</v>
      </c>
      <c r="Q3" s="18" t="n">
        <v>1.77</v>
      </c>
      <c r="R3" s="18" t="n">
        <v>1.67</v>
      </c>
      <c r="S3" s="18"/>
      <c r="T3" s="18"/>
      <c r="U3" s="18"/>
      <c r="V3" s="18" t="n">
        <v>1.75</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89</v>
      </c>
      <c r="AS3" s="18" t="s">
        <v>1473</v>
      </c>
      <c r="AT3" s="18" t="s">
        <v>1474</v>
      </c>
      <c r="AU3" s="18" t="s">
        <v>1475</v>
      </c>
      <c r="AV3" s="18" t="s">
        <v>1476</v>
      </c>
      <c r="AW3" s="30" t="s">
        <v>1477</v>
      </c>
      <c r="AX3" s="18" t="s">
        <v>877</v>
      </c>
      <c r="AY3" s="18" t="s">
        <v>1478</v>
      </c>
    </row>
    <row r="4" customFormat="false" ht="15" hidden="false" customHeight="true" outlineLevel="0" collapsed="false">
      <c r="A4" s="5" t="n">
        <v>165</v>
      </c>
      <c r="B4" s="5" t="n">
        <v>165</v>
      </c>
      <c r="C4" s="5" t="s">
        <v>811</v>
      </c>
      <c r="D4" s="5" t="n">
        <v>2012</v>
      </c>
      <c r="E4" s="5" t="s">
        <v>812</v>
      </c>
      <c r="F4" s="5" t="s">
        <v>815</v>
      </c>
      <c r="G4" s="5" t="s">
        <v>816</v>
      </c>
      <c r="H4" s="5" t="n">
        <v>28.633</v>
      </c>
      <c r="I4" s="5" t="n">
        <v>77.183</v>
      </c>
      <c r="J4" s="5" t="s">
        <v>83</v>
      </c>
      <c r="K4" s="5" t="s">
        <v>1481</v>
      </c>
      <c r="L4" s="5" t="s">
        <v>821</v>
      </c>
      <c r="M4" s="5" t="s">
        <v>85</v>
      </c>
      <c r="N4" s="5" t="s">
        <v>86</v>
      </c>
      <c r="O4" s="5" t="s">
        <v>1472</v>
      </c>
      <c r="P4" s="5"/>
      <c r="Q4" s="5" t="n">
        <v>1.46</v>
      </c>
      <c r="R4" s="5"/>
      <c r="S4" s="5"/>
      <c r="T4" s="5"/>
      <c r="U4" s="5"/>
      <c r="V4" s="5" t="n">
        <v>1.4</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89</v>
      </c>
      <c r="AS4" s="5" t="s">
        <v>1482</v>
      </c>
      <c r="AT4" s="5" t="s">
        <v>1483</v>
      </c>
      <c r="AU4" s="5" t="s">
        <v>1484</v>
      </c>
      <c r="AV4" s="5" t="s">
        <v>1485</v>
      </c>
      <c r="AW4" s="23" t="s">
        <v>1486</v>
      </c>
      <c r="AX4" s="5" t="s">
        <v>829</v>
      </c>
      <c r="AY4" s="5" t="s">
        <v>1487</v>
      </c>
    </row>
    <row r="5" customFormat="false" ht="15" hidden="false" customHeight="true" outlineLevel="0" collapsed="false">
      <c r="A5" s="5" t="n">
        <v>165</v>
      </c>
      <c r="B5" s="5" t="n">
        <v>165</v>
      </c>
      <c r="C5" s="5" t="s">
        <v>811</v>
      </c>
      <c r="D5" s="5" t="n">
        <v>2012</v>
      </c>
      <c r="E5" s="5" t="s">
        <v>812</v>
      </c>
      <c r="F5" s="5" t="s">
        <v>815</v>
      </c>
      <c r="G5" s="5" t="s">
        <v>816</v>
      </c>
      <c r="H5" s="5" t="n">
        <v>28.633</v>
      </c>
      <c r="I5" s="5" t="n">
        <v>77.183</v>
      </c>
      <c r="J5" s="5" t="s">
        <v>83</v>
      </c>
      <c r="K5" s="5" t="s">
        <v>1481</v>
      </c>
      <c r="L5" s="5" t="s">
        <v>821</v>
      </c>
      <c r="M5" s="5" t="s">
        <v>85</v>
      </c>
      <c r="N5" s="5" t="s">
        <v>86</v>
      </c>
      <c r="O5" s="5" t="s">
        <v>1472</v>
      </c>
      <c r="P5" s="5"/>
      <c r="Q5" s="5" t="n">
        <v>1.44</v>
      </c>
      <c r="R5" s="5"/>
      <c r="S5" s="5"/>
      <c r="T5" s="5"/>
      <c r="U5" s="5"/>
      <c r="V5" s="5" t="n">
        <v>1.38</v>
      </c>
      <c r="W5" s="5"/>
      <c r="X5" s="5"/>
      <c r="Y5" s="5"/>
      <c r="Z5" s="5"/>
      <c r="AA5" s="5"/>
      <c r="AB5" s="5" t="n">
        <v>1</v>
      </c>
      <c r="AC5" s="5" t="n">
        <v>3</v>
      </c>
      <c r="AD5" s="5" t="n">
        <f aca="false">IF(AND(N(AB5)&gt;0,N(AC5)&gt;0),SQRT(2*AB5/AC5),"")</f>
        <v>0.816496580927726</v>
      </c>
      <c r="AE5" s="5" t="n">
        <v>25.4</v>
      </c>
      <c r="AF5" s="5"/>
      <c r="AG5" s="5"/>
      <c r="AH5" s="5"/>
      <c r="AI5" s="5" t="n">
        <v>28.633</v>
      </c>
      <c r="AJ5" s="5" t="n">
        <v>2</v>
      </c>
      <c r="AK5" s="5"/>
      <c r="AL5" s="5"/>
      <c r="AM5" s="5" t="n">
        <v>8.16</v>
      </c>
      <c r="AN5" s="5" t="n">
        <v>5.2</v>
      </c>
      <c r="AO5" s="5" t="n">
        <v>1.5</v>
      </c>
      <c r="AP5" s="5" t="n">
        <v>52.06</v>
      </c>
      <c r="AQ5" s="5" t="n">
        <v>22.54</v>
      </c>
      <c r="AR5" s="5" t="s">
        <v>89</v>
      </c>
      <c r="AS5" s="5" t="s">
        <v>1488</v>
      </c>
      <c r="AT5" s="5" t="s">
        <v>1489</v>
      </c>
      <c r="AU5" s="5" t="s">
        <v>1484</v>
      </c>
      <c r="AV5" s="5" t="s">
        <v>1485</v>
      </c>
      <c r="AW5" s="23" t="s">
        <v>1490</v>
      </c>
      <c r="AX5" s="5" t="s">
        <v>829</v>
      </c>
      <c r="AY5" s="5" t="s">
        <v>1487</v>
      </c>
    </row>
    <row r="6" customFormat="false" ht="15" hidden="false" customHeight="true" outlineLevel="0" collapsed="false">
      <c r="A6" s="5" t="s">
        <v>931</v>
      </c>
      <c r="B6" s="5" t="s">
        <v>931</v>
      </c>
      <c r="C6" s="5" t="s">
        <v>932</v>
      </c>
      <c r="D6" s="5" t="n">
        <v>2023</v>
      </c>
      <c r="E6" s="5" t="s">
        <v>933</v>
      </c>
      <c r="F6" s="5" t="s">
        <v>936</v>
      </c>
      <c r="G6" s="5" t="s">
        <v>937</v>
      </c>
      <c r="H6" s="5" t="n">
        <v>35.27</v>
      </c>
      <c r="I6" s="5" t="n">
        <v>119.38</v>
      </c>
      <c r="J6" s="5" t="s">
        <v>870</v>
      </c>
      <c r="K6" s="5" t="n">
        <v>2018</v>
      </c>
      <c r="L6" s="5" t="s">
        <v>821</v>
      </c>
      <c r="M6" s="5"/>
      <c r="N6" s="5" t="s">
        <v>86</v>
      </c>
      <c r="O6" s="5" t="s">
        <v>1491</v>
      </c>
      <c r="P6" s="5" t="n">
        <v>1.374</v>
      </c>
      <c r="Q6" s="5"/>
      <c r="R6" s="5"/>
      <c r="S6" s="5"/>
      <c r="T6" s="5"/>
      <c r="U6" s="5"/>
      <c r="V6" s="5"/>
      <c r="W6" s="5"/>
      <c r="X6" s="5" t="n">
        <v>1.395</v>
      </c>
      <c r="Y6" s="5"/>
      <c r="Z6" s="5"/>
      <c r="AA6" s="5"/>
      <c r="AB6" s="5" t="n">
        <v>1</v>
      </c>
      <c r="AC6" s="5" t="n">
        <v>3</v>
      </c>
      <c r="AD6" s="5" t="n">
        <f aca="false">IF(AND(N(AB6)&gt;0,N(AC6)&gt;0),SQRT(2*AB6/AC6),"")</f>
        <v>0.816496580927726</v>
      </c>
      <c r="AE6" s="5"/>
      <c r="AF6" s="5"/>
      <c r="AG6" s="5"/>
      <c r="AH6" s="5" t="n">
        <v>916</v>
      </c>
      <c r="AI6" s="5" t="n">
        <v>35.27</v>
      </c>
      <c r="AJ6" s="5" t="n">
        <v>1</v>
      </c>
      <c r="AK6" s="5" t="n">
        <v>12.6</v>
      </c>
      <c r="AL6" s="5"/>
      <c r="AM6" s="5" t="n">
        <v>6.8</v>
      </c>
      <c r="AN6" s="5" t="n">
        <v>5.75</v>
      </c>
      <c r="AO6" s="5" t="n">
        <v>1.423</v>
      </c>
      <c r="AP6" s="5"/>
      <c r="AQ6" s="5"/>
      <c r="AR6" s="5" t="s">
        <v>89</v>
      </c>
      <c r="AS6" s="5" t="s">
        <v>1492</v>
      </c>
      <c r="AT6" s="5" t="s">
        <v>1493</v>
      </c>
      <c r="AU6" s="5" t="s">
        <v>1494</v>
      </c>
      <c r="AV6" s="5" t="s">
        <v>1495</v>
      </c>
      <c r="AW6" s="23" t="s">
        <v>1496</v>
      </c>
      <c r="AX6" s="5" t="s">
        <v>947</v>
      </c>
      <c r="AY6" s="5" t="s">
        <v>1497</v>
      </c>
    </row>
    <row r="7" customFormat="false" ht="15" hidden="false" customHeight="true" outlineLevel="0" collapsed="false">
      <c r="A7" s="5" t="s">
        <v>931</v>
      </c>
      <c r="B7" s="5" t="s">
        <v>931</v>
      </c>
      <c r="C7" s="5" t="s">
        <v>932</v>
      </c>
      <c r="D7" s="5" t="n">
        <v>2023</v>
      </c>
      <c r="E7" s="5" t="s">
        <v>933</v>
      </c>
      <c r="F7" s="5" t="s">
        <v>936</v>
      </c>
      <c r="G7" s="5" t="s">
        <v>937</v>
      </c>
      <c r="H7" s="5" t="n">
        <v>35.27</v>
      </c>
      <c r="I7" s="5" t="n">
        <v>119.38</v>
      </c>
      <c r="J7" s="5" t="s">
        <v>870</v>
      </c>
      <c r="K7" s="5" t="n">
        <v>2019</v>
      </c>
      <c r="L7" s="5" t="s">
        <v>821</v>
      </c>
      <c r="M7" s="5"/>
      <c r="N7" s="5" t="s">
        <v>86</v>
      </c>
      <c r="O7" s="5" t="s">
        <v>1491</v>
      </c>
      <c r="P7" s="5" t="n">
        <v>1.376</v>
      </c>
      <c r="Q7" s="5"/>
      <c r="R7" s="5"/>
      <c r="S7" s="5"/>
      <c r="T7" s="5"/>
      <c r="U7" s="5"/>
      <c r="V7" s="5"/>
      <c r="W7" s="5"/>
      <c r="X7" s="5" t="n">
        <v>1.397</v>
      </c>
      <c r="Y7" s="5"/>
      <c r="Z7" s="5"/>
      <c r="AA7" s="5"/>
      <c r="AB7" s="5" t="n">
        <v>1</v>
      </c>
      <c r="AC7" s="5" t="n">
        <v>3</v>
      </c>
      <c r="AD7" s="5" t="n">
        <f aca="false">IF(AND(N(AB7)&gt;0,N(AC7)&gt;0),SQRT(2*AB7/AC7),"")</f>
        <v>0.816496580927726</v>
      </c>
      <c r="AE7" s="5"/>
      <c r="AF7" s="5"/>
      <c r="AG7" s="5"/>
      <c r="AH7" s="5" t="n">
        <v>916</v>
      </c>
      <c r="AI7" s="5" t="n">
        <v>35.27</v>
      </c>
      <c r="AJ7" s="5" t="n">
        <v>2</v>
      </c>
      <c r="AK7" s="5" t="n">
        <v>12.6</v>
      </c>
      <c r="AL7" s="5"/>
      <c r="AM7" s="5" t="n">
        <v>6.8</v>
      </c>
      <c r="AN7" s="5" t="n">
        <v>5.75</v>
      </c>
      <c r="AO7" s="5" t="n">
        <v>1.423</v>
      </c>
      <c r="AP7" s="5"/>
      <c r="AQ7" s="5"/>
      <c r="AR7" s="5" t="s">
        <v>89</v>
      </c>
      <c r="AS7" s="5" t="s">
        <v>1492</v>
      </c>
      <c r="AT7" s="5" t="s">
        <v>1498</v>
      </c>
      <c r="AU7" s="5" t="s">
        <v>1494</v>
      </c>
      <c r="AV7" s="5" t="s">
        <v>1495</v>
      </c>
      <c r="AW7" s="23" t="s">
        <v>1496</v>
      </c>
      <c r="AX7" s="5" t="s">
        <v>947</v>
      </c>
      <c r="AY7" s="5" t="s">
        <v>1497</v>
      </c>
    </row>
    <row r="8" customFormat="false" ht="15" hidden="false" customHeight="true" outlineLevel="0" collapsed="false">
      <c r="A8" s="5" t="s">
        <v>931</v>
      </c>
      <c r="B8" s="5" t="s">
        <v>931</v>
      </c>
      <c r="C8" s="5" t="s">
        <v>932</v>
      </c>
      <c r="D8" s="5" t="n">
        <v>2023</v>
      </c>
      <c r="E8" s="5" t="s">
        <v>933</v>
      </c>
      <c r="F8" s="5" t="s">
        <v>936</v>
      </c>
      <c r="G8" s="5" t="s">
        <v>937</v>
      </c>
      <c r="H8" s="5" t="n">
        <v>35.27</v>
      </c>
      <c r="I8" s="5" t="n">
        <v>119.38</v>
      </c>
      <c r="J8" s="5" t="s">
        <v>870</v>
      </c>
      <c r="K8" s="5" t="n">
        <v>2020</v>
      </c>
      <c r="L8" s="5" t="s">
        <v>821</v>
      </c>
      <c r="M8" s="5"/>
      <c r="N8" s="5" t="s">
        <v>86</v>
      </c>
      <c r="O8" s="5" t="s">
        <v>1491</v>
      </c>
      <c r="P8" s="5" t="n">
        <v>1.382</v>
      </c>
      <c r="Q8" s="5"/>
      <c r="R8" s="5"/>
      <c r="S8" s="5"/>
      <c r="T8" s="5"/>
      <c r="U8" s="5"/>
      <c r="V8" s="5"/>
      <c r="W8" s="5"/>
      <c r="X8" s="5" t="n">
        <v>1.408</v>
      </c>
      <c r="Y8" s="5"/>
      <c r="Z8" s="5"/>
      <c r="AA8" s="5"/>
      <c r="AB8" s="5" t="n">
        <v>1</v>
      </c>
      <c r="AC8" s="5" t="n">
        <v>3</v>
      </c>
      <c r="AD8" s="5" t="n">
        <f aca="false">IF(AND(N(AB8)&gt;0,N(AC8)&gt;0),SQRT(2*AB8/AC8),"")</f>
        <v>0.816496580927726</v>
      </c>
      <c r="AE8" s="5"/>
      <c r="AF8" s="5"/>
      <c r="AG8" s="5"/>
      <c r="AH8" s="5" t="n">
        <v>916</v>
      </c>
      <c r="AI8" s="5" t="n">
        <v>35.27</v>
      </c>
      <c r="AJ8" s="5" t="n">
        <v>3</v>
      </c>
      <c r="AK8" s="5" t="n">
        <v>12.6</v>
      </c>
      <c r="AL8" s="5"/>
      <c r="AM8" s="5" t="n">
        <v>6.8</v>
      </c>
      <c r="AN8" s="5" t="n">
        <v>5.75</v>
      </c>
      <c r="AO8" s="5" t="n">
        <v>1.423</v>
      </c>
      <c r="AP8" s="5"/>
      <c r="AQ8" s="5"/>
      <c r="AR8" s="5" t="s">
        <v>89</v>
      </c>
      <c r="AS8" s="5" t="s">
        <v>1492</v>
      </c>
      <c r="AT8" s="5" t="s">
        <v>1499</v>
      </c>
      <c r="AU8" s="5" t="s">
        <v>1494</v>
      </c>
      <c r="AV8" s="5" t="s">
        <v>1495</v>
      </c>
      <c r="AW8" s="23" t="s">
        <v>1496</v>
      </c>
      <c r="AX8" s="5" t="s">
        <v>947</v>
      </c>
      <c r="AY8" s="5" t="s">
        <v>1497</v>
      </c>
    </row>
    <row r="9" customFormat="false" ht="15" hidden="false" customHeight="true" outlineLevel="0" collapsed="false">
      <c r="A9" s="5" t="s">
        <v>931</v>
      </c>
      <c r="B9" s="5" t="s">
        <v>931</v>
      </c>
      <c r="C9" s="5" t="s">
        <v>932</v>
      </c>
      <c r="D9" s="5" t="n">
        <v>2023</v>
      </c>
      <c r="E9" s="5" t="s">
        <v>933</v>
      </c>
      <c r="F9" s="5" t="s">
        <v>936</v>
      </c>
      <c r="G9" s="5" t="s">
        <v>937</v>
      </c>
      <c r="H9" s="5" t="n">
        <v>35.27</v>
      </c>
      <c r="I9" s="5" t="n">
        <v>119.38</v>
      </c>
      <c r="J9" s="5" t="s">
        <v>870</v>
      </c>
      <c r="K9" s="5" t="n">
        <v>2018</v>
      </c>
      <c r="L9" s="5" t="s">
        <v>821</v>
      </c>
      <c r="M9" s="5"/>
      <c r="N9" s="5" t="s">
        <v>1479</v>
      </c>
      <c r="O9" s="5" t="s">
        <v>1500</v>
      </c>
      <c r="P9" s="5" t="n">
        <v>1.421</v>
      </c>
      <c r="Q9" s="5"/>
      <c r="R9" s="5"/>
      <c r="S9" s="5"/>
      <c r="T9" s="5"/>
      <c r="U9" s="5"/>
      <c r="V9" s="5"/>
      <c r="W9" s="5"/>
      <c r="X9" s="5" t="n">
        <v>1.434</v>
      </c>
      <c r="Y9" s="5"/>
      <c r="Z9" s="5"/>
      <c r="AA9" s="5"/>
      <c r="AB9" s="5" t="n">
        <v>2</v>
      </c>
      <c r="AC9" s="5" t="n">
        <v>3</v>
      </c>
      <c r="AD9" s="5" t="n">
        <f aca="false">IF(AND(N(AB9)&gt;0,N(AC9)&gt;0),SQRT(2*AB9/AC9),"")</f>
        <v>1.15470053837925</v>
      </c>
      <c r="AE9" s="5"/>
      <c r="AF9" s="5"/>
      <c r="AG9" s="5"/>
      <c r="AH9" s="5" t="n">
        <v>916</v>
      </c>
      <c r="AI9" s="5" t="n">
        <v>35.27</v>
      </c>
      <c r="AJ9" s="5" t="n">
        <v>1</v>
      </c>
      <c r="AK9" s="5" t="n">
        <v>12.6</v>
      </c>
      <c r="AL9" s="5"/>
      <c r="AM9" s="5" t="n">
        <v>6.8</v>
      </c>
      <c r="AN9" s="5" t="n">
        <v>5.75</v>
      </c>
      <c r="AO9" s="5" t="n">
        <v>1.423</v>
      </c>
      <c r="AP9" s="5"/>
      <c r="AQ9" s="5"/>
      <c r="AR9" s="5" t="s">
        <v>89</v>
      </c>
      <c r="AS9" s="5" t="s">
        <v>1492</v>
      </c>
      <c r="AT9" s="5" t="s">
        <v>1493</v>
      </c>
      <c r="AU9" s="5" t="s">
        <v>1494</v>
      </c>
      <c r="AV9" s="5" t="s">
        <v>1495</v>
      </c>
      <c r="AW9" s="23" t="s">
        <v>1501</v>
      </c>
      <c r="AX9" s="5" t="s">
        <v>947</v>
      </c>
      <c r="AY9" s="5" t="s">
        <v>1497</v>
      </c>
    </row>
    <row r="10" customFormat="false" ht="15" hidden="false" customHeight="true" outlineLevel="0" collapsed="false">
      <c r="A10" s="5" t="s">
        <v>931</v>
      </c>
      <c r="B10" s="5" t="s">
        <v>931</v>
      </c>
      <c r="C10" s="5" t="s">
        <v>932</v>
      </c>
      <c r="D10" s="5" t="n">
        <v>2023</v>
      </c>
      <c r="E10" s="5" t="s">
        <v>933</v>
      </c>
      <c r="F10" s="5" t="s">
        <v>936</v>
      </c>
      <c r="G10" s="5" t="s">
        <v>937</v>
      </c>
      <c r="H10" s="5" t="n">
        <v>35.27</v>
      </c>
      <c r="I10" s="5" t="n">
        <v>119.38</v>
      </c>
      <c r="J10" s="5" t="s">
        <v>870</v>
      </c>
      <c r="K10" s="5" t="n">
        <v>2019</v>
      </c>
      <c r="L10" s="5" t="s">
        <v>821</v>
      </c>
      <c r="M10" s="5"/>
      <c r="N10" s="5" t="s">
        <v>1479</v>
      </c>
      <c r="O10" s="5" t="s">
        <v>1500</v>
      </c>
      <c r="P10" s="5" t="n">
        <v>1.418</v>
      </c>
      <c r="Q10" s="5"/>
      <c r="R10" s="5"/>
      <c r="S10" s="5"/>
      <c r="T10" s="5"/>
      <c r="U10" s="5"/>
      <c r="V10" s="5"/>
      <c r="W10" s="5"/>
      <c r="X10" s="5" t="n">
        <v>1.435</v>
      </c>
      <c r="Y10" s="5"/>
      <c r="Z10" s="5"/>
      <c r="AA10" s="5"/>
      <c r="AB10" s="5" t="n">
        <v>2</v>
      </c>
      <c r="AC10" s="5" t="n">
        <v>3</v>
      </c>
      <c r="AD10" s="5" t="n">
        <f aca="false">IF(AND(N(AB10)&gt;0,N(AC10)&gt;0),SQRT(2*AB10/AC10),"")</f>
        <v>1.15470053837925</v>
      </c>
      <c r="AE10" s="5"/>
      <c r="AF10" s="5"/>
      <c r="AG10" s="5"/>
      <c r="AH10" s="5" t="n">
        <v>916</v>
      </c>
      <c r="AI10" s="5" t="n">
        <v>35.27</v>
      </c>
      <c r="AJ10" s="5" t="n">
        <v>2</v>
      </c>
      <c r="AK10" s="5" t="n">
        <v>12.6</v>
      </c>
      <c r="AL10" s="5"/>
      <c r="AM10" s="5" t="n">
        <v>6.8</v>
      </c>
      <c r="AN10" s="5" t="n">
        <v>5.75</v>
      </c>
      <c r="AO10" s="5" t="n">
        <v>1.423</v>
      </c>
      <c r="AP10" s="5"/>
      <c r="AQ10" s="5"/>
      <c r="AR10" s="5" t="s">
        <v>89</v>
      </c>
      <c r="AS10" s="5" t="s">
        <v>1492</v>
      </c>
      <c r="AT10" s="5" t="s">
        <v>1498</v>
      </c>
      <c r="AU10" s="5" t="s">
        <v>1494</v>
      </c>
      <c r="AV10" s="5" t="s">
        <v>1495</v>
      </c>
      <c r="AW10" s="23" t="s">
        <v>1501</v>
      </c>
      <c r="AX10" s="5" t="s">
        <v>947</v>
      </c>
      <c r="AY10" s="5" t="s">
        <v>1497</v>
      </c>
    </row>
    <row r="11" customFormat="false" ht="15" hidden="false" customHeight="true" outlineLevel="0" collapsed="false">
      <c r="A11" s="5" t="s">
        <v>931</v>
      </c>
      <c r="B11" s="5" t="s">
        <v>931</v>
      </c>
      <c r="C11" s="5" t="s">
        <v>932</v>
      </c>
      <c r="D11" s="5" t="n">
        <v>2023</v>
      </c>
      <c r="E11" s="5" t="s">
        <v>933</v>
      </c>
      <c r="F11" s="5" t="s">
        <v>936</v>
      </c>
      <c r="G11" s="5" t="s">
        <v>937</v>
      </c>
      <c r="H11" s="5" t="n">
        <v>35.27</v>
      </c>
      <c r="I11" s="5" t="n">
        <v>119.38</v>
      </c>
      <c r="J11" s="5" t="s">
        <v>870</v>
      </c>
      <c r="K11" s="5" t="n">
        <v>2020</v>
      </c>
      <c r="L11" s="5" t="s">
        <v>821</v>
      </c>
      <c r="M11" s="5"/>
      <c r="N11" s="5" t="s">
        <v>1479</v>
      </c>
      <c r="O11" s="5" t="s">
        <v>1500</v>
      </c>
      <c r="P11" s="5" t="n">
        <v>1.455</v>
      </c>
      <c r="Q11" s="5"/>
      <c r="R11" s="5"/>
      <c r="S11" s="5"/>
      <c r="T11" s="5"/>
      <c r="U11" s="5"/>
      <c r="V11" s="5"/>
      <c r="W11" s="5"/>
      <c r="X11" s="5" t="n">
        <v>1.441</v>
      </c>
      <c r="Y11" s="5"/>
      <c r="Z11" s="5"/>
      <c r="AA11" s="5"/>
      <c r="AB11" s="5" t="n">
        <v>2</v>
      </c>
      <c r="AC11" s="5" t="n">
        <v>3</v>
      </c>
      <c r="AD11" s="5" t="n">
        <f aca="false">IF(AND(N(AB11)&gt;0,N(AC11)&gt;0),SQRT(2*AB11/AC11),"")</f>
        <v>1.15470053837925</v>
      </c>
      <c r="AE11" s="5"/>
      <c r="AF11" s="5"/>
      <c r="AG11" s="5"/>
      <c r="AH11" s="5" t="n">
        <v>916</v>
      </c>
      <c r="AI11" s="5" t="n">
        <v>35.27</v>
      </c>
      <c r="AJ11" s="5" t="n">
        <v>3</v>
      </c>
      <c r="AK11" s="5" t="n">
        <v>12.6</v>
      </c>
      <c r="AL11" s="5"/>
      <c r="AM11" s="5" t="n">
        <v>6.8</v>
      </c>
      <c r="AN11" s="5" t="n">
        <v>5.75</v>
      </c>
      <c r="AO11" s="5" t="n">
        <v>1.423</v>
      </c>
      <c r="AP11" s="5"/>
      <c r="AQ11" s="5"/>
      <c r="AR11" s="5" t="s">
        <v>89</v>
      </c>
      <c r="AS11" s="5" t="s">
        <v>1492</v>
      </c>
      <c r="AT11" s="5" t="s">
        <v>1499</v>
      </c>
      <c r="AU11" s="5" t="s">
        <v>1494</v>
      </c>
      <c r="AV11" s="5" t="s">
        <v>1495</v>
      </c>
      <c r="AW11" s="23" t="s">
        <v>1501</v>
      </c>
      <c r="AX11" s="5" t="s">
        <v>947</v>
      </c>
      <c r="AY11" s="5" t="s">
        <v>1497</v>
      </c>
    </row>
    <row r="12" customFormat="false" ht="15" hidden="false" customHeight="true" outlineLevel="0" collapsed="false">
      <c r="A12" s="5" t="s">
        <v>931</v>
      </c>
      <c r="B12" s="5" t="s">
        <v>931</v>
      </c>
      <c r="C12" s="5" t="s">
        <v>932</v>
      </c>
      <c r="D12" s="5" t="n">
        <v>2023</v>
      </c>
      <c r="E12" s="5" t="s">
        <v>933</v>
      </c>
      <c r="F12" s="5" t="s">
        <v>936</v>
      </c>
      <c r="G12" s="5" t="s">
        <v>937</v>
      </c>
      <c r="H12" s="5" t="n">
        <v>35.27</v>
      </c>
      <c r="I12" s="5" t="n">
        <v>119.38</v>
      </c>
      <c r="J12" s="5" t="s">
        <v>870</v>
      </c>
      <c r="K12" s="5" t="n">
        <v>2018</v>
      </c>
      <c r="L12" s="5" t="s">
        <v>821</v>
      </c>
      <c r="M12" s="5"/>
      <c r="N12" s="5" t="s">
        <v>1479</v>
      </c>
      <c r="O12" s="5" t="s">
        <v>1502</v>
      </c>
      <c r="P12" s="5" t="n">
        <v>1.49</v>
      </c>
      <c r="Q12" s="5"/>
      <c r="R12" s="5"/>
      <c r="S12" s="5"/>
      <c r="T12" s="5"/>
      <c r="U12" s="5"/>
      <c r="V12" s="5"/>
      <c r="W12" s="5"/>
      <c r="X12" s="5" t="n">
        <v>1.501</v>
      </c>
      <c r="Y12" s="5"/>
      <c r="Z12" s="5"/>
      <c r="AA12" s="5"/>
      <c r="AB12" s="5" t="n">
        <v>2</v>
      </c>
      <c r="AC12" s="5" t="n">
        <v>3</v>
      </c>
      <c r="AD12" s="5" t="n">
        <f aca="false">IF(AND(N(AB12)&gt;0,N(AC12)&gt;0),SQRT(2*AB12/AC12),"")</f>
        <v>1.15470053837925</v>
      </c>
      <c r="AE12" s="5"/>
      <c r="AF12" s="5"/>
      <c r="AG12" s="5"/>
      <c r="AH12" s="5" t="n">
        <v>916</v>
      </c>
      <c r="AI12" s="5" t="n">
        <v>35.27</v>
      </c>
      <c r="AJ12" s="5" t="n">
        <v>1</v>
      </c>
      <c r="AK12" s="5" t="n">
        <v>12.6</v>
      </c>
      <c r="AL12" s="5"/>
      <c r="AM12" s="5" t="n">
        <v>6.8</v>
      </c>
      <c r="AN12" s="5" t="n">
        <v>5.75</v>
      </c>
      <c r="AO12" s="5" t="n">
        <v>1.423</v>
      </c>
      <c r="AP12" s="5"/>
      <c r="AQ12" s="5"/>
      <c r="AR12" s="5" t="s">
        <v>89</v>
      </c>
      <c r="AS12" s="5" t="s">
        <v>1492</v>
      </c>
      <c r="AT12" s="5" t="s">
        <v>1493</v>
      </c>
      <c r="AU12" s="5" t="s">
        <v>1494</v>
      </c>
      <c r="AV12" s="5" t="s">
        <v>1495</v>
      </c>
      <c r="AW12" s="23" t="s">
        <v>1503</v>
      </c>
      <c r="AX12" s="5" t="s">
        <v>947</v>
      </c>
      <c r="AY12" s="5" t="s">
        <v>1497</v>
      </c>
    </row>
    <row r="13" customFormat="false" ht="15" hidden="false" customHeight="true" outlineLevel="0" collapsed="false">
      <c r="A13" s="5" t="s">
        <v>931</v>
      </c>
      <c r="B13" s="5" t="s">
        <v>931</v>
      </c>
      <c r="C13" s="5" t="s">
        <v>932</v>
      </c>
      <c r="D13" s="5" t="n">
        <v>2023</v>
      </c>
      <c r="E13" s="5" t="s">
        <v>933</v>
      </c>
      <c r="F13" s="5" t="s">
        <v>936</v>
      </c>
      <c r="G13" s="5" t="s">
        <v>937</v>
      </c>
      <c r="H13" s="5" t="n">
        <v>35.27</v>
      </c>
      <c r="I13" s="5" t="n">
        <v>119.38</v>
      </c>
      <c r="J13" s="5" t="s">
        <v>870</v>
      </c>
      <c r="K13" s="5" t="n">
        <v>2019</v>
      </c>
      <c r="L13" s="5" t="s">
        <v>821</v>
      </c>
      <c r="M13" s="5"/>
      <c r="N13" s="5" t="s">
        <v>1479</v>
      </c>
      <c r="O13" s="5" t="s">
        <v>1502</v>
      </c>
      <c r="P13" s="5" t="n">
        <v>1.48</v>
      </c>
      <c r="Q13" s="5"/>
      <c r="R13" s="5"/>
      <c r="S13" s="5"/>
      <c r="T13" s="5"/>
      <c r="U13" s="5"/>
      <c r="V13" s="5"/>
      <c r="W13" s="5"/>
      <c r="X13" s="5" t="n">
        <v>1.517</v>
      </c>
      <c r="Y13" s="5"/>
      <c r="Z13" s="5"/>
      <c r="AA13" s="5"/>
      <c r="AB13" s="5" t="n">
        <v>2</v>
      </c>
      <c r="AC13" s="5" t="n">
        <v>3</v>
      </c>
      <c r="AD13" s="5" t="n">
        <f aca="false">IF(AND(N(AB13)&gt;0,N(AC13)&gt;0),SQRT(2*AB13/AC13),"")</f>
        <v>1.15470053837925</v>
      </c>
      <c r="AE13" s="5"/>
      <c r="AF13" s="5"/>
      <c r="AG13" s="5"/>
      <c r="AH13" s="5" t="n">
        <v>916</v>
      </c>
      <c r="AI13" s="5" t="n">
        <v>35.27</v>
      </c>
      <c r="AJ13" s="5" t="n">
        <v>2</v>
      </c>
      <c r="AK13" s="5" t="n">
        <v>12.6</v>
      </c>
      <c r="AL13" s="5"/>
      <c r="AM13" s="5" t="n">
        <v>6.8</v>
      </c>
      <c r="AN13" s="5" t="n">
        <v>5.75</v>
      </c>
      <c r="AO13" s="5" t="n">
        <v>1.423</v>
      </c>
      <c r="AP13" s="5"/>
      <c r="AQ13" s="5"/>
      <c r="AR13" s="5" t="s">
        <v>89</v>
      </c>
      <c r="AS13" s="5" t="s">
        <v>1492</v>
      </c>
      <c r="AT13" s="5" t="s">
        <v>1498</v>
      </c>
      <c r="AU13" s="5" t="s">
        <v>1494</v>
      </c>
      <c r="AV13" s="5" t="s">
        <v>1495</v>
      </c>
      <c r="AW13" s="23" t="s">
        <v>1503</v>
      </c>
      <c r="AX13" s="5" t="s">
        <v>947</v>
      </c>
      <c r="AY13" s="5" t="s">
        <v>1497</v>
      </c>
    </row>
    <row r="14" customFormat="false" ht="15" hidden="false" customHeight="true" outlineLevel="0" collapsed="false">
      <c r="A14" s="5" t="s">
        <v>931</v>
      </c>
      <c r="B14" s="5" t="s">
        <v>931</v>
      </c>
      <c r="C14" s="5" t="s">
        <v>932</v>
      </c>
      <c r="D14" s="5" t="n">
        <v>2023</v>
      </c>
      <c r="E14" s="5" t="s">
        <v>933</v>
      </c>
      <c r="F14" s="5" t="s">
        <v>936</v>
      </c>
      <c r="G14" s="5" t="s">
        <v>937</v>
      </c>
      <c r="H14" s="5" t="n">
        <v>35.27</v>
      </c>
      <c r="I14" s="5" t="n">
        <v>119.38</v>
      </c>
      <c r="J14" s="5" t="s">
        <v>870</v>
      </c>
      <c r="K14" s="5" t="n">
        <v>2020</v>
      </c>
      <c r="L14" s="5" t="s">
        <v>821</v>
      </c>
      <c r="M14" s="5"/>
      <c r="N14" s="5" t="s">
        <v>1479</v>
      </c>
      <c r="O14" s="5" t="s">
        <v>1502</v>
      </c>
      <c r="P14" s="5" t="n">
        <v>1.483</v>
      </c>
      <c r="Q14" s="5"/>
      <c r="R14" s="5"/>
      <c r="S14" s="5"/>
      <c r="T14" s="5"/>
      <c r="U14" s="5"/>
      <c r="V14" s="5"/>
      <c r="W14" s="5"/>
      <c r="X14" s="5" t="n">
        <v>1.533</v>
      </c>
      <c r="Y14" s="5"/>
      <c r="Z14" s="5"/>
      <c r="AA14" s="5"/>
      <c r="AB14" s="5" t="n">
        <v>2</v>
      </c>
      <c r="AC14" s="5" t="n">
        <v>3</v>
      </c>
      <c r="AD14" s="5" t="n">
        <f aca="false">IF(AND(N(AB14)&gt;0,N(AC14)&gt;0),SQRT(2*AB14/AC14),"")</f>
        <v>1.15470053837925</v>
      </c>
      <c r="AE14" s="5"/>
      <c r="AF14" s="5"/>
      <c r="AG14" s="5"/>
      <c r="AH14" s="5" t="n">
        <v>916</v>
      </c>
      <c r="AI14" s="5" t="n">
        <v>35.27</v>
      </c>
      <c r="AJ14" s="5" t="n">
        <v>3</v>
      </c>
      <c r="AK14" s="5" t="n">
        <v>12.6</v>
      </c>
      <c r="AL14" s="5"/>
      <c r="AM14" s="5" t="n">
        <v>6.8</v>
      </c>
      <c r="AN14" s="5" t="n">
        <v>5.75</v>
      </c>
      <c r="AO14" s="5" t="n">
        <v>1.423</v>
      </c>
      <c r="AP14" s="5"/>
      <c r="AQ14" s="5"/>
      <c r="AR14" s="5" t="s">
        <v>89</v>
      </c>
      <c r="AS14" s="5" t="s">
        <v>1492</v>
      </c>
      <c r="AT14" s="5" t="s">
        <v>1499</v>
      </c>
      <c r="AU14" s="5" t="s">
        <v>1494</v>
      </c>
      <c r="AV14" s="5" t="s">
        <v>1495</v>
      </c>
      <c r="AW14" s="23" t="s">
        <v>1503</v>
      </c>
      <c r="AX14" s="5" t="s">
        <v>947</v>
      </c>
      <c r="AY14" s="5" t="s">
        <v>1497</v>
      </c>
    </row>
    <row r="15" customFormat="false" ht="15" hidden="false" customHeight="true" outlineLevel="0" collapsed="false">
      <c r="A15" s="18" t="s">
        <v>914</v>
      </c>
      <c r="B15" s="18" t="s">
        <v>914</v>
      </c>
      <c r="C15" s="18" t="s">
        <v>915</v>
      </c>
      <c r="D15" s="18" t="n">
        <v>2020</v>
      </c>
      <c r="E15" s="18" t="s">
        <v>916</v>
      </c>
      <c r="F15" s="18" t="s">
        <v>815</v>
      </c>
      <c r="G15" s="18" t="s">
        <v>919</v>
      </c>
      <c r="H15" s="18" t="n">
        <v>28.4</v>
      </c>
      <c r="I15" s="18" t="n">
        <v>77.1</v>
      </c>
      <c r="J15" s="18" t="s">
        <v>83</v>
      </c>
      <c r="K15" s="18" t="s">
        <v>1504</v>
      </c>
      <c r="L15" s="18" t="s">
        <v>802</v>
      </c>
      <c r="M15" s="18" t="s">
        <v>85</v>
      </c>
      <c r="N15" s="18" t="s">
        <v>86</v>
      </c>
      <c r="O15" s="18" t="s">
        <v>1472</v>
      </c>
      <c r="P15" s="18"/>
      <c r="Q15" s="18" t="n">
        <v>1.53</v>
      </c>
      <c r="R15" s="18"/>
      <c r="S15" s="18"/>
      <c r="T15" s="18"/>
      <c r="U15" s="18"/>
      <c r="V15" s="18" t="n">
        <v>1.48</v>
      </c>
      <c r="W15" s="18"/>
      <c r="X15" s="18"/>
      <c r="Y15" s="18"/>
      <c r="Z15" s="18"/>
      <c r="AA15" s="18"/>
      <c r="AB15" s="18" t="n">
        <v>2</v>
      </c>
      <c r="AC15" s="18" t="n">
        <v>3</v>
      </c>
      <c r="AD15" s="18" t="n">
        <f aca="false">IF(AND(N(AB15)&gt;0,N(AC15)&gt;0),SQRT(2*AB15/AC15),"")</f>
        <v>1.15470053837925</v>
      </c>
      <c r="AE15" s="18" t="n">
        <v>25.4</v>
      </c>
      <c r="AF15" s="18" t="n">
        <v>18</v>
      </c>
      <c r="AG15" s="18" t="n">
        <v>35.2</v>
      </c>
      <c r="AH15" s="18" t="n">
        <v>750</v>
      </c>
      <c r="AI15" s="18" t="n">
        <v>28.4</v>
      </c>
      <c r="AJ15" s="18" t="n">
        <v>12</v>
      </c>
      <c r="AK15" s="18"/>
      <c r="AL15" s="18"/>
      <c r="AM15" s="18" t="n">
        <v>8.45</v>
      </c>
      <c r="AN15" s="18" t="n">
        <v>5.1</v>
      </c>
      <c r="AO15" s="18" t="n">
        <v>1.5</v>
      </c>
      <c r="AP15" s="18" t="n">
        <v>52.1</v>
      </c>
      <c r="AQ15" s="18" t="n">
        <v>22.5</v>
      </c>
      <c r="AR15" s="18" t="s">
        <v>89</v>
      </c>
      <c r="AS15" s="18" t="s">
        <v>1505</v>
      </c>
      <c r="AT15" s="18" t="s">
        <v>1506</v>
      </c>
      <c r="AU15" s="18" t="s">
        <v>1507</v>
      </c>
      <c r="AV15" s="18" t="s">
        <v>1508</v>
      </c>
      <c r="AW15" s="30" t="s">
        <v>1509</v>
      </c>
      <c r="AX15" s="18" t="s">
        <v>928</v>
      </c>
      <c r="AY15" s="18" t="s">
        <v>1510</v>
      </c>
    </row>
    <row r="16" customFormat="false" ht="15" hidden="false" customHeight="true" outlineLevel="0" collapsed="false">
      <c r="A16" s="18" t="s">
        <v>914</v>
      </c>
      <c r="B16" s="18" t="s">
        <v>914</v>
      </c>
      <c r="C16" s="18" t="s">
        <v>915</v>
      </c>
      <c r="D16" s="18" t="n">
        <v>2020</v>
      </c>
      <c r="E16" s="18" t="s">
        <v>916</v>
      </c>
      <c r="F16" s="18" t="s">
        <v>815</v>
      </c>
      <c r="G16" s="18" t="s">
        <v>919</v>
      </c>
      <c r="H16" s="18" t="n">
        <v>28.4</v>
      </c>
      <c r="I16" s="18" t="n">
        <v>77.1</v>
      </c>
      <c r="J16" s="18" t="s">
        <v>83</v>
      </c>
      <c r="K16" s="18" t="s">
        <v>1504</v>
      </c>
      <c r="L16" s="18" t="s">
        <v>802</v>
      </c>
      <c r="M16" s="18" t="s">
        <v>85</v>
      </c>
      <c r="N16" s="18" t="s">
        <v>86</v>
      </c>
      <c r="O16" s="18" t="s">
        <v>1472</v>
      </c>
      <c r="P16" s="18"/>
      <c r="Q16" s="18" t="n">
        <v>1.53</v>
      </c>
      <c r="R16" s="18"/>
      <c r="S16" s="18"/>
      <c r="T16" s="18"/>
      <c r="U16" s="18"/>
      <c r="V16" s="18" t="n">
        <v>1.43</v>
      </c>
      <c r="W16" s="18"/>
      <c r="X16" s="18"/>
      <c r="Y16" s="18"/>
      <c r="Z16" s="18"/>
      <c r="AA16" s="18"/>
      <c r="AB16" s="18" t="n">
        <v>2</v>
      </c>
      <c r="AC16" s="18" t="n">
        <v>3</v>
      </c>
      <c r="AD16" s="18" t="n">
        <f aca="false">IF(AND(N(AB16)&gt;0,N(AC16)&gt;0),SQRT(2*AB16/AC16),"")</f>
        <v>1.15470053837925</v>
      </c>
      <c r="AE16" s="18" t="n">
        <v>25.4</v>
      </c>
      <c r="AF16" s="18" t="n">
        <v>18</v>
      </c>
      <c r="AG16" s="18" t="n">
        <v>35.2</v>
      </c>
      <c r="AH16" s="18" t="n">
        <v>750</v>
      </c>
      <c r="AI16" s="18" t="n">
        <v>28.4</v>
      </c>
      <c r="AJ16" s="18" t="n">
        <v>12</v>
      </c>
      <c r="AK16" s="18"/>
      <c r="AL16" s="18"/>
      <c r="AM16" s="18" t="n">
        <v>8.45</v>
      </c>
      <c r="AN16" s="18" t="n">
        <v>5.1</v>
      </c>
      <c r="AO16" s="18" t="n">
        <v>1.5</v>
      </c>
      <c r="AP16" s="18" t="n">
        <v>52.1</v>
      </c>
      <c r="AQ16" s="18" t="n">
        <v>22.5</v>
      </c>
      <c r="AR16" s="18" t="s">
        <v>89</v>
      </c>
      <c r="AS16" s="18" t="s">
        <v>1511</v>
      </c>
      <c r="AT16" s="18" t="s">
        <v>1506</v>
      </c>
      <c r="AU16" s="18" t="s">
        <v>1507</v>
      </c>
      <c r="AV16" s="18" t="s">
        <v>1508</v>
      </c>
      <c r="AW16" s="30" t="s">
        <v>1512</v>
      </c>
      <c r="AX16" s="18" t="s">
        <v>928</v>
      </c>
      <c r="AY16" s="18" t="s">
        <v>1510</v>
      </c>
    </row>
    <row r="17" customFormat="false" ht="15" hidden="false" customHeight="true" outlineLevel="0" collapsed="false">
      <c r="A17" s="18" t="s">
        <v>914</v>
      </c>
      <c r="B17" s="18" t="s">
        <v>914</v>
      </c>
      <c r="C17" s="18" t="s">
        <v>915</v>
      </c>
      <c r="D17" s="18" t="n">
        <v>2020</v>
      </c>
      <c r="E17" s="18" t="s">
        <v>916</v>
      </c>
      <c r="F17" s="18" t="s">
        <v>815</v>
      </c>
      <c r="G17" s="18" t="s">
        <v>919</v>
      </c>
      <c r="H17" s="18" t="n">
        <v>28.4</v>
      </c>
      <c r="I17" s="18" t="n">
        <v>77.1</v>
      </c>
      <c r="J17" s="18" t="s">
        <v>83</v>
      </c>
      <c r="K17" s="18" t="s">
        <v>1504</v>
      </c>
      <c r="L17" s="18" t="s">
        <v>802</v>
      </c>
      <c r="M17" s="18" t="s">
        <v>85</v>
      </c>
      <c r="N17" s="18" t="s">
        <v>86</v>
      </c>
      <c r="O17" s="18" t="s">
        <v>1472</v>
      </c>
      <c r="P17" s="18"/>
      <c r="Q17" s="18" t="n">
        <v>1.51</v>
      </c>
      <c r="R17" s="18"/>
      <c r="S17" s="18"/>
      <c r="T17" s="18"/>
      <c r="U17" s="18"/>
      <c r="V17" s="18" t="n">
        <v>1.46</v>
      </c>
      <c r="W17" s="18"/>
      <c r="X17" s="18"/>
      <c r="Y17" s="18"/>
      <c r="Z17" s="18"/>
      <c r="AA17" s="18"/>
      <c r="AB17" s="18" t="n">
        <v>2</v>
      </c>
      <c r="AC17" s="18" t="n">
        <v>3</v>
      </c>
      <c r="AD17" s="18" t="n">
        <f aca="false">IF(AND(N(AB17)&gt;0,N(AC17)&gt;0),SQRT(2*AB17/AC17),"")</f>
        <v>1.15470053837925</v>
      </c>
      <c r="AE17" s="18" t="n">
        <v>25.4</v>
      </c>
      <c r="AF17" s="18" t="n">
        <v>18</v>
      </c>
      <c r="AG17" s="18" t="n">
        <v>35.2</v>
      </c>
      <c r="AH17" s="18" t="n">
        <v>750</v>
      </c>
      <c r="AI17" s="18" t="n">
        <v>28.4</v>
      </c>
      <c r="AJ17" s="18" t="n">
        <v>12</v>
      </c>
      <c r="AK17" s="18"/>
      <c r="AL17" s="18"/>
      <c r="AM17" s="18" t="n">
        <v>8.45</v>
      </c>
      <c r="AN17" s="18" t="n">
        <v>5.1</v>
      </c>
      <c r="AO17" s="18" t="n">
        <v>1.5</v>
      </c>
      <c r="AP17" s="18" t="n">
        <v>52.1</v>
      </c>
      <c r="AQ17" s="18" t="n">
        <v>22.5</v>
      </c>
      <c r="AR17" s="18" t="s">
        <v>89</v>
      </c>
      <c r="AS17" s="18" t="s">
        <v>1513</v>
      </c>
      <c r="AT17" s="18" t="s">
        <v>1506</v>
      </c>
      <c r="AU17" s="18" t="s">
        <v>1507</v>
      </c>
      <c r="AV17" s="18" t="s">
        <v>1508</v>
      </c>
      <c r="AW17" s="30" t="s">
        <v>1514</v>
      </c>
      <c r="AX17" s="18" t="s">
        <v>928</v>
      </c>
      <c r="AY17" s="18" t="s">
        <v>1510</v>
      </c>
    </row>
    <row r="18" customFormat="false" ht="15" hidden="false" customHeight="true" outlineLevel="0" collapsed="false">
      <c r="A18" s="18" t="s">
        <v>914</v>
      </c>
      <c r="B18" s="18" t="s">
        <v>914</v>
      </c>
      <c r="C18" s="18" t="s">
        <v>915</v>
      </c>
      <c r="D18" s="18" t="n">
        <v>2020</v>
      </c>
      <c r="E18" s="18" t="s">
        <v>916</v>
      </c>
      <c r="F18" s="18" t="s">
        <v>815</v>
      </c>
      <c r="G18" s="18" t="s">
        <v>919</v>
      </c>
      <c r="H18" s="18" t="n">
        <v>28.4</v>
      </c>
      <c r="I18" s="18" t="n">
        <v>77.1</v>
      </c>
      <c r="J18" s="18" t="s">
        <v>83</v>
      </c>
      <c r="K18" s="18" t="s">
        <v>1504</v>
      </c>
      <c r="L18" s="18" t="s">
        <v>802</v>
      </c>
      <c r="M18" s="18" t="s">
        <v>85</v>
      </c>
      <c r="N18" s="18" t="s">
        <v>86</v>
      </c>
      <c r="O18" s="18" t="s">
        <v>1472</v>
      </c>
      <c r="P18" s="18"/>
      <c r="Q18" s="18" t="n">
        <v>1.51</v>
      </c>
      <c r="R18" s="18"/>
      <c r="S18" s="18"/>
      <c r="T18" s="18"/>
      <c r="U18" s="18"/>
      <c r="V18" s="18" t="n">
        <v>1.4</v>
      </c>
      <c r="W18" s="18"/>
      <c r="X18" s="18"/>
      <c r="Y18" s="18"/>
      <c r="Z18" s="18"/>
      <c r="AA18" s="18"/>
      <c r="AB18" s="18" t="n">
        <v>2</v>
      </c>
      <c r="AC18" s="18" t="n">
        <v>3</v>
      </c>
      <c r="AD18" s="18" t="n">
        <f aca="false">IF(AND(N(AB18)&gt;0,N(AC18)&gt;0),SQRT(2*AB18/AC18),"")</f>
        <v>1.15470053837925</v>
      </c>
      <c r="AE18" s="18" t="n">
        <v>25.4</v>
      </c>
      <c r="AF18" s="18" t="n">
        <v>18</v>
      </c>
      <c r="AG18" s="18" t="n">
        <v>35.2</v>
      </c>
      <c r="AH18" s="18" t="n">
        <v>750</v>
      </c>
      <c r="AI18" s="18" t="n">
        <v>28.4</v>
      </c>
      <c r="AJ18" s="18" t="n">
        <v>12</v>
      </c>
      <c r="AK18" s="18"/>
      <c r="AL18" s="18"/>
      <c r="AM18" s="18" t="n">
        <v>8.45</v>
      </c>
      <c r="AN18" s="18" t="n">
        <v>5.1</v>
      </c>
      <c r="AO18" s="18" t="n">
        <v>1.5</v>
      </c>
      <c r="AP18" s="18" t="n">
        <v>52.1</v>
      </c>
      <c r="AQ18" s="18" t="n">
        <v>22.5</v>
      </c>
      <c r="AR18" s="18" t="s">
        <v>89</v>
      </c>
      <c r="AS18" s="18" t="s">
        <v>1515</v>
      </c>
      <c r="AT18" s="18" t="s">
        <v>1506</v>
      </c>
      <c r="AU18" s="18" t="s">
        <v>1507</v>
      </c>
      <c r="AV18" s="18" t="s">
        <v>1508</v>
      </c>
      <c r="AW18" s="30" t="s">
        <v>1516</v>
      </c>
      <c r="AX18" s="18" t="s">
        <v>928</v>
      </c>
      <c r="AY18" s="18" t="s">
        <v>1510</v>
      </c>
    </row>
    <row r="19" customFormat="false" ht="15" hidden="false" customHeight="true" outlineLevel="0" collapsed="false">
      <c r="A19" s="18" t="s">
        <v>914</v>
      </c>
      <c r="B19" s="18" t="s">
        <v>914</v>
      </c>
      <c r="C19" s="18" t="s">
        <v>915</v>
      </c>
      <c r="D19" s="18" t="n">
        <v>2020</v>
      </c>
      <c r="E19" s="18" t="s">
        <v>916</v>
      </c>
      <c r="F19" s="18" t="s">
        <v>815</v>
      </c>
      <c r="G19" s="18" t="s">
        <v>919</v>
      </c>
      <c r="H19" s="18" t="n">
        <v>28.4</v>
      </c>
      <c r="I19" s="18" t="n">
        <v>77.1</v>
      </c>
      <c r="J19" s="18" t="s">
        <v>83</v>
      </c>
      <c r="K19" s="18" t="s">
        <v>1504</v>
      </c>
      <c r="L19" s="18" t="s">
        <v>802</v>
      </c>
      <c r="M19" s="18" t="s">
        <v>85</v>
      </c>
      <c r="N19" s="18" t="s">
        <v>86</v>
      </c>
      <c r="O19" s="18" t="s">
        <v>1472</v>
      </c>
      <c r="P19" s="18"/>
      <c r="Q19" s="18" t="n">
        <v>1.57</v>
      </c>
      <c r="R19" s="18"/>
      <c r="S19" s="18"/>
      <c r="T19" s="18"/>
      <c r="U19" s="18"/>
      <c r="V19" s="18" t="n">
        <v>1.49</v>
      </c>
      <c r="W19" s="18"/>
      <c r="X19" s="18"/>
      <c r="Y19" s="18"/>
      <c r="Z19" s="18"/>
      <c r="AA19" s="18"/>
      <c r="AB19" s="18" t="n">
        <v>2</v>
      </c>
      <c r="AC19" s="18" t="n">
        <v>3</v>
      </c>
      <c r="AD19" s="18" t="n">
        <f aca="false">IF(AND(N(AB19)&gt;0,N(AC19)&gt;0),SQRT(2*AB19/AC19),"")</f>
        <v>1.15470053837925</v>
      </c>
      <c r="AE19" s="18" t="n">
        <v>25.4</v>
      </c>
      <c r="AF19" s="18" t="n">
        <v>18</v>
      </c>
      <c r="AG19" s="18" t="n">
        <v>35.2</v>
      </c>
      <c r="AH19" s="18" t="n">
        <v>750</v>
      </c>
      <c r="AI19" s="18" t="n">
        <v>28.4</v>
      </c>
      <c r="AJ19" s="18" t="n">
        <v>12</v>
      </c>
      <c r="AK19" s="18"/>
      <c r="AL19" s="18"/>
      <c r="AM19" s="18" t="n">
        <v>8.45</v>
      </c>
      <c r="AN19" s="18" t="n">
        <v>5.1</v>
      </c>
      <c r="AO19" s="18" t="n">
        <v>1.5</v>
      </c>
      <c r="AP19" s="18" t="n">
        <v>52.1</v>
      </c>
      <c r="AQ19" s="18" t="n">
        <v>22.5</v>
      </c>
      <c r="AR19" s="18" t="s">
        <v>89</v>
      </c>
      <c r="AS19" s="18" t="s">
        <v>1517</v>
      </c>
      <c r="AT19" s="18" t="s">
        <v>1506</v>
      </c>
      <c r="AU19" s="18" t="s">
        <v>1507</v>
      </c>
      <c r="AV19" s="18" t="s">
        <v>1508</v>
      </c>
      <c r="AW19" s="30" t="s">
        <v>1518</v>
      </c>
      <c r="AX19" s="18" t="s">
        <v>928</v>
      </c>
      <c r="AY19" s="18" t="s">
        <v>1510</v>
      </c>
    </row>
    <row r="20" customFormat="false" ht="15" hidden="false" customHeight="true" outlineLevel="0" collapsed="false">
      <c r="A20" s="18" t="s">
        <v>914</v>
      </c>
      <c r="B20" s="18" t="s">
        <v>914</v>
      </c>
      <c r="C20" s="18" t="s">
        <v>915</v>
      </c>
      <c r="D20" s="18" t="n">
        <v>2020</v>
      </c>
      <c r="E20" s="18" t="s">
        <v>916</v>
      </c>
      <c r="F20" s="18" t="s">
        <v>815</v>
      </c>
      <c r="G20" s="18" t="s">
        <v>919</v>
      </c>
      <c r="H20" s="18" t="n">
        <v>28.4</v>
      </c>
      <c r="I20" s="18" t="n">
        <v>77.1</v>
      </c>
      <c r="J20" s="18" t="s">
        <v>83</v>
      </c>
      <c r="K20" s="18" t="s">
        <v>1504</v>
      </c>
      <c r="L20" s="18" t="s">
        <v>802</v>
      </c>
      <c r="M20" s="18" t="s">
        <v>85</v>
      </c>
      <c r="N20" s="18" t="s">
        <v>86</v>
      </c>
      <c r="O20" s="18" t="s">
        <v>1472</v>
      </c>
      <c r="P20" s="18"/>
      <c r="Q20" s="18" t="n">
        <v>1.57</v>
      </c>
      <c r="R20" s="18"/>
      <c r="S20" s="18"/>
      <c r="T20" s="18"/>
      <c r="U20" s="18"/>
      <c r="V20" s="18" t="n">
        <v>1.44</v>
      </c>
      <c r="W20" s="18"/>
      <c r="X20" s="18"/>
      <c r="Y20" s="18"/>
      <c r="Z20" s="18"/>
      <c r="AA20" s="18"/>
      <c r="AB20" s="18" t="n">
        <v>2</v>
      </c>
      <c r="AC20" s="18" t="n">
        <v>3</v>
      </c>
      <c r="AD20" s="18" t="n">
        <f aca="false">IF(AND(N(AB20)&gt;0,N(AC20)&gt;0),SQRT(2*AB20/AC20),"")</f>
        <v>1.15470053837925</v>
      </c>
      <c r="AE20" s="18" t="n">
        <v>25.4</v>
      </c>
      <c r="AF20" s="18" t="n">
        <v>18</v>
      </c>
      <c r="AG20" s="18" t="n">
        <v>35.2</v>
      </c>
      <c r="AH20" s="18" t="n">
        <v>750</v>
      </c>
      <c r="AI20" s="18" t="n">
        <v>28.4</v>
      </c>
      <c r="AJ20" s="18" t="n">
        <v>12</v>
      </c>
      <c r="AK20" s="18"/>
      <c r="AL20" s="18"/>
      <c r="AM20" s="18" t="n">
        <v>8.45</v>
      </c>
      <c r="AN20" s="18" t="n">
        <v>5.1</v>
      </c>
      <c r="AO20" s="18" t="n">
        <v>1.5</v>
      </c>
      <c r="AP20" s="18" t="n">
        <v>52.1</v>
      </c>
      <c r="AQ20" s="18" t="n">
        <v>22.5</v>
      </c>
      <c r="AR20" s="18" t="s">
        <v>89</v>
      </c>
      <c r="AS20" s="18" t="s">
        <v>1519</v>
      </c>
      <c r="AT20" s="18" t="s">
        <v>1506</v>
      </c>
      <c r="AU20" s="18" t="s">
        <v>1507</v>
      </c>
      <c r="AV20" s="18" t="s">
        <v>1508</v>
      </c>
      <c r="AW20" s="30" t="s">
        <v>1520</v>
      </c>
      <c r="AX20" s="18" t="s">
        <v>928</v>
      </c>
      <c r="AY20" s="18" t="s">
        <v>1510</v>
      </c>
    </row>
    <row r="21" customFormat="false" ht="15" hidden="false" customHeight="true" outlineLevel="0" collapsed="false">
      <c r="A21" s="18" t="s">
        <v>914</v>
      </c>
      <c r="B21" s="18" t="s">
        <v>914</v>
      </c>
      <c r="C21" s="18" t="s">
        <v>915</v>
      </c>
      <c r="D21" s="18" t="n">
        <v>2020</v>
      </c>
      <c r="E21" s="18" t="s">
        <v>916</v>
      </c>
      <c r="F21" s="18" t="s">
        <v>815</v>
      </c>
      <c r="G21" s="18" t="s">
        <v>919</v>
      </c>
      <c r="H21" s="18" t="n">
        <v>28.4</v>
      </c>
      <c r="I21" s="18" t="n">
        <v>77.1</v>
      </c>
      <c r="J21" s="18" t="s">
        <v>83</v>
      </c>
      <c r="K21" s="18" t="s">
        <v>1504</v>
      </c>
      <c r="L21" s="18" t="s">
        <v>802</v>
      </c>
      <c r="M21" s="18" t="s">
        <v>85</v>
      </c>
      <c r="N21" s="18" t="s">
        <v>86</v>
      </c>
      <c r="O21" s="18" t="s">
        <v>1472</v>
      </c>
      <c r="P21" s="18"/>
      <c r="Q21" s="18" t="n">
        <v>1.53</v>
      </c>
      <c r="R21" s="18"/>
      <c r="S21" s="18"/>
      <c r="T21" s="18"/>
      <c r="U21" s="18"/>
      <c r="V21" s="18" t="n">
        <v>1.46</v>
      </c>
      <c r="W21" s="18"/>
      <c r="X21" s="18"/>
      <c r="Y21" s="18"/>
      <c r="Z21" s="18"/>
      <c r="AA21" s="18"/>
      <c r="AB21" s="18" t="n">
        <v>2</v>
      </c>
      <c r="AC21" s="18" t="n">
        <v>3</v>
      </c>
      <c r="AD21" s="18" t="n">
        <f aca="false">IF(AND(N(AB21)&gt;0,N(AC21)&gt;0),SQRT(2*AB21/AC21),"")</f>
        <v>1.15470053837925</v>
      </c>
      <c r="AE21" s="18" t="n">
        <v>25.4</v>
      </c>
      <c r="AF21" s="18" t="n">
        <v>18</v>
      </c>
      <c r="AG21" s="18" t="n">
        <v>35.2</v>
      </c>
      <c r="AH21" s="18" t="n">
        <v>750</v>
      </c>
      <c r="AI21" s="18" t="n">
        <v>28.4</v>
      </c>
      <c r="AJ21" s="18" t="n">
        <v>12</v>
      </c>
      <c r="AK21" s="18"/>
      <c r="AL21" s="18"/>
      <c r="AM21" s="18" t="n">
        <v>8.45</v>
      </c>
      <c r="AN21" s="18" t="n">
        <v>5.1</v>
      </c>
      <c r="AO21" s="18" t="n">
        <v>1.5</v>
      </c>
      <c r="AP21" s="18" t="n">
        <v>52.1</v>
      </c>
      <c r="AQ21" s="18" t="n">
        <v>22.5</v>
      </c>
      <c r="AR21" s="18" t="s">
        <v>89</v>
      </c>
      <c r="AS21" s="18" t="s">
        <v>1521</v>
      </c>
      <c r="AT21" s="18" t="s">
        <v>1506</v>
      </c>
      <c r="AU21" s="18" t="s">
        <v>1507</v>
      </c>
      <c r="AV21" s="18" t="s">
        <v>1508</v>
      </c>
      <c r="AW21" s="30" t="s">
        <v>1522</v>
      </c>
      <c r="AX21" s="18" t="s">
        <v>928</v>
      </c>
      <c r="AY21" s="18" t="s">
        <v>1510</v>
      </c>
    </row>
    <row r="22" customFormat="false" ht="15" hidden="false" customHeight="true" outlineLevel="0" collapsed="false">
      <c r="A22" s="18" t="s">
        <v>914</v>
      </c>
      <c r="B22" s="18" t="s">
        <v>914</v>
      </c>
      <c r="C22" s="18" t="s">
        <v>915</v>
      </c>
      <c r="D22" s="18" t="n">
        <v>2020</v>
      </c>
      <c r="E22" s="18" t="s">
        <v>916</v>
      </c>
      <c r="F22" s="18" t="s">
        <v>815</v>
      </c>
      <c r="G22" s="18" t="s">
        <v>919</v>
      </c>
      <c r="H22" s="18" t="n">
        <v>28.4</v>
      </c>
      <c r="I22" s="18" t="n">
        <v>77.1</v>
      </c>
      <c r="J22" s="18" t="s">
        <v>83</v>
      </c>
      <c r="K22" s="18" t="s">
        <v>1504</v>
      </c>
      <c r="L22" s="18" t="s">
        <v>802</v>
      </c>
      <c r="M22" s="18" t="s">
        <v>85</v>
      </c>
      <c r="N22" s="18" t="s">
        <v>86</v>
      </c>
      <c r="O22" s="18" t="s">
        <v>1472</v>
      </c>
      <c r="P22" s="18"/>
      <c r="Q22" s="18" t="n">
        <v>1.53</v>
      </c>
      <c r="R22" s="18"/>
      <c r="S22" s="18"/>
      <c r="T22" s="18"/>
      <c r="U22" s="18"/>
      <c r="V22" s="18" t="n">
        <v>1.41</v>
      </c>
      <c r="W22" s="18"/>
      <c r="X22" s="18"/>
      <c r="Y22" s="18"/>
      <c r="Z22" s="18"/>
      <c r="AA22" s="18"/>
      <c r="AB22" s="18" t="n">
        <v>2</v>
      </c>
      <c r="AC22" s="18" t="n">
        <v>3</v>
      </c>
      <c r="AD22" s="18" t="n">
        <f aca="false">IF(AND(N(AB22)&gt;0,N(AC22)&gt;0),SQRT(2*AB22/AC22),"")</f>
        <v>1.15470053837925</v>
      </c>
      <c r="AE22" s="18" t="n">
        <v>25.4</v>
      </c>
      <c r="AF22" s="18" t="n">
        <v>18</v>
      </c>
      <c r="AG22" s="18" t="n">
        <v>35.2</v>
      </c>
      <c r="AH22" s="18" t="n">
        <v>750</v>
      </c>
      <c r="AI22" s="18" t="n">
        <v>28.4</v>
      </c>
      <c r="AJ22" s="18" t="n">
        <v>12</v>
      </c>
      <c r="AK22" s="18"/>
      <c r="AL22" s="18"/>
      <c r="AM22" s="18" t="n">
        <v>8.45</v>
      </c>
      <c r="AN22" s="18" t="n">
        <v>5.1</v>
      </c>
      <c r="AO22" s="18" t="n">
        <v>1.5</v>
      </c>
      <c r="AP22" s="18" t="n">
        <v>52.1</v>
      </c>
      <c r="AQ22" s="18" t="n">
        <v>22.5</v>
      </c>
      <c r="AR22" s="18" t="s">
        <v>89</v>
      </c>
      <c r="AS22" s="18" t="s">
        <v>1523</v>
      </c>
      <c r="AT22" s="18" t="s">
        <v>1506</v>
      </c>
      <c r="AU22" s="18" t="s">
        <v>1507</v>
      </c>
      <c r="AV22" s="18" t="s">
        <v>1508</v>
      </c>
      <c r="AW22" s="30" t="s">
        <v>1524</v>
      </c>
      <c r="AX22" s="18" t="s">
        <v>928</v>
      </c>
      <c r="AY22" s="18" t="s">
        <v>1510</v>
      </c>
    </row>
    <row r="23" customFormat="false" ht="15" hidden="false" customHeight="true" outlineLevel="0" collapsed="false"/>
    <row r="24" customFormat="false" ht="15" hidden="false" customHeight="true" outlineLevel="0" collapsed="false"/>
    <row r="25" customFormat="false" ht="15" hidden="false" customHeight="true" outlineLevel="0" collapsed="false"/>
    <row r="26" customFormat="false" ht="15" hidden="false" customHeight="true" outlineLevel="0" collapsed="false"/>
    <row r="27" customFormat="false" ht="15" hidden="false" customHeight="true" outlineLevel="0" collapsed="false"/>
    <row r="28" customFormat="false" ht="15" hidden="false" customHeight="true" outlineLevel="0" collapsed="false"/>
    <row r="29" customFormat="false" ht="15" hidden="false" customHeight="true" outlineLevel="0" collapsed="false"/>
    <row r="30" customFormat="false" ht="15" hidden="false" customHeight="true" outlineLevel="0" collapsed="false"/>
    <row r="31" customFormat="false" ht="15" hidden="false" customHeight="true" outlineLevel="0" collapsed="false"/>
    <row r="32" customFormat="false" ht="15" hidden="false" customHeight="true" outlineLevel="0" collapsed="false"/>
    <row r="3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1525</v>
      </c>
      <c r="Q1" s="25" t="s">
        <v>1526</v>
      </c>
      <c r="R1" s="25" t="s">
        <v>1527</v>
      </c>
      <c r="S1" s="25" t="s">
        <v>1528</v>
      </c>
      <c r="T1" s="25" t="s">
        <v>1529</v>
      </c>
      <c r="U1" s="25" t="s">
        <v>1530</v>
      </c>
      <c r="V1" s="25" t="s">
        <v>1531</v>
      </c>
      <c r="W1" s="25" t="s">
        <v>1532</v>
      </c>
      <c r="X1" s="28" t="s">
        <v>1533</v>
      </c>
      <c r="Y1" s="28" t="s">
        <v>1534</v>
      </c>
      <c r="Z1" s="28" t="s">
        <v>1535</v>
      </c>
      <c r="AA1" s="28" t="s">
        <v>1536</v>
      </c>
      <c r="AB1" s="25" t="s">
        <v>1537</v>
      </c>
      <c r="AC1" s="26" t="s">
        <v>35</v>
      </c>
      <c r="AD1" s="26" t="s">
        <v>33</v>
      </c>
      <c r="AE1" s="26" t="s">
        <v>37</v>
      </c>
      <c r="AF1" s="21" t="s">
        <v>73</v>
      </c>
      <c r="AG1" s="21" t="s">
        <v>775</v>
      </c>
      <c r="AH1" s="21" t="s">
        <v>776</v>
      </c>
      <c r="AI1" s="21" t="s">
        <v>74</v>
      </c>
      <c r="AJ1" s="21" t="s">
        <v>1465</v>
      </c>
      <c r="AK1" s="21" t="s">
        <v>1466</v>
      </c>
      <c r="AL1" s="21" t="s">
        <v>777</v>
      </c>
      <c r="AM1" s="21" t="s">
        <v>778</v>
      </c>
      <c r="AN1" s="21" t="s">
        <v>75</v>
      </c>
      <c r="AO1" s="21" t="s">
        <v>773</v>
      </c>
      <c r="AP1" s="21" t="s">
        <v>774</v>
      </c>
      <c r="AQ1" s="21" t="s">
        <v>771</v>
      </c>
      <c r="AR1" s="21" t="s">
        <v>772</v>
      </c>
      <c r="AS1" s="22" t="s">
        <v>76</v>
      </c>
      <c r="AT1" s="22" t="s">
        <v>77</v>
      </c>
      <c r="AU1" s="22" t="s">
        <v>1467</v>
      </c>
      <c r="AV1" s="22" t="s">
        <v>1468</v>
      </c>
      <c r="AW1" s="22" t="s">
        <v>78</v>
      </c>
      <c r="AX1" s="22" t="s">
        <v>790</v>
      </c>
      <c r="AY1" s="22" t="s">
        <v>1469</v>
      </c>
      <c r="AZ1" s="22" t="s">
        <v>1470</v>
      </c>
      <c r="BB1" s="29" t="s">
        <v>1471</v>
      </c>
    </row>
    <row r="2" customFormat="false" ht="15" hidden="false" customHeight="true" outlineLevel="0" collapsed="false">
      <c r="BB2" s="5" t="s">
        <v>89</v>
      </c>
    </row>
    <row r="3" customFormat="false" ht="15" hidden="false" customHeight="true" outlineLevel="0" collapsed="false"/>
  </sheetData>
  <autoFilter ref="A1:AZ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1538</v>
      </c>
      <c r="Q1" s="25" t="s">
        <v>1539</v>
      </c>
      <c r="R1" s="25" t="s">
        <v>1540</v>
      </c>
      <c r="S1" s="25" t="s">
        <v>1541</v>
      </c>
      <c r="T1" s="25" t="s">
        <v>1542</v>
      </c>
      <c r="U1" s="25" t="s">
        <v>1543</v>
      </c>
      <c r="V1" s="25" t="s">
        <v>1544</v>
      </c>
      <c r="W1" s="25" t="s">
        <v>1545</v>
      </c>
      <c r="X1" s="28" t="s">
        <v>1546</v>
      </c>
      <c r="Y1" s="28" t="s">
        <v>1547</v>
      </c>
      <c r="Z1" s="28" t="s">
        <v>1548</v>
      </c>
      <c r="AA1" s="28" t="s">
        <v>1549</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A2" s="18" t="n">
        <v>168</v>
      </c>
      <c r="B2" s="18" t="n">
        <v>168</v>
      </c>
      <c r="C2" s="18" t="s">
        <v>862</v>
      </c>
      <c r="D2" s="18" t="n">
        <v>2020</v>
      </c>
      <c r="E2" s="18" t="s">
        <v>863</v>
      </c>
      <c r="F2" s="18" t="s">
        <v>866</v>
      </c>
      <c r="G2" s="18" t="s">
        <v>867</v>
      </c>
      <c r="H2" s="18" t="n">
        <v>30.933</v>
      </c>
      <c r="I2" s="18" t="n">
        <v>75.867</v>
      </c>
      <c r="J2" s="18" t="s">
        <v>870</v>
      </c>
      <c r="K2" s="18" t="n">
        <v>2016</v>
      </c>
      <c r="L2" s="18" t="s">
        <v>84</v>
      </c>
      <c r="M2" s="18" t="s">
        <v>85</v>
      </c>
      <c r="N2" s="18" t="s">
        <v>86</v>
      </c>
      <c r="O2" s="18" t="s">
        <v>1472</v>
      </c>
      <c r="P2" s="18" t="n">
        <f aca="false">ROUND((1-BD!P2/2.65)*100,2)</f>
        <v>39.62</v>
      </c>
      <c r="Q2" s="18" t="n">
        <f aca="false">ROUND((1-BD!Q2/2.65)*100,2)</f>
        <v>41.13</v>
      </c>
      <c r="R2" s="18" t="n">
        <f aca="false">ROUND((1-BD!R2/2.65)*100,2)</f>
        <v>39.62</v>
      </c>
      <c r="S2" s="18"/>
      <c r="T2" s="18"/>
      <c r="U2" s="18"/>
      <c r="V2" s="18" t="n">
        <f aca="false">ROUND((1-BD!V2/2.65)*100,2)</f>
        <v>43.4</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742</v>
      </c>
      <c r="AS2" s="18" t="s">
        <v>1473</v>
      </c>
      <c r="AT2" s="18" t="s">
        <v>1474</v>
      </c>
      <c r="AU2" s="18" t="s">
        <v>1475</v>
      </c>
      <c r="AV2" s="18" t="s">
        <v>1550</v>
      </c>
      <c r="AW2" s="30" t="s">
        <v>1551</v>
      </c>
      <c r="AX2" s="18" t="s">
        <v>877</v>
      </c>
      <c r="AY2" s="18" t="s">
        <v>1552</v>
      </c>
      <c r="BA2" s="31" t="s">
        <v>742</v>
      </c>
    </row>
    <row r="3" customFormat="false" ht="15" hidden="false" customHeight="true" outlineLevel="0" collapsed="false">
      <c r="A3" s="18" t="n">
        <v>168</v>
      </c>
      <c r="B3" s="18" t="n">
        <v>168</v>
      </c>
      <c r="C3" s="18" t="s">
        <v>862</v>
      </c>
      <c r="D3" s="18" t="n">
        <v>2020</v>
      </c>
      <c r="E3" s="18" t="s">
        <v>863</v>
      </c>
      <c r="F3" s="18" t="s">
        <v>866</v>
      </c>
      <c r="G3" s="18" t="s">
        <v>867</v>
      </c>
      <c r="H3" s="18" t="n">
        <v>30.933</v>
      </c>
      <c r="I3" s="18" t="n">
        <v>75.867</v>
      </c>
      <c r="J3" s="18" t="s">
        <v>870</v>
      </c>
      <c r="K3" s="18" t="n">
        <v>2016</v>
      </c>
      <c r="L3" s="18" t="s">
        <v>84</v>
      </c>
      <c r="M3" s="18" t="s">
        <v>85</v>
      </c>
      <c r="N3" s="18" t="s">
        <v>1479</v>
      </c>
      <c r="O3" s="18" t="s">
        <v>1480</v>
      </c>
      <c r="P3" s="18" t="n">
        <f aca="false">ROUND((1-BD!P3/2.65)*100,2)</f>
        <v>37.74</v>
      </c>
      <c r="Q3" s="18" t="n">
        <f aca="false">ROUND((1-BD!Q3/2.65)*100,2)</f>
        <v>33.21</v>
      </c>
      <c r="R3" s="18" t="n">
        <f aca="false">ROUND((1-BD!R3/2.65)*100,2)</f>
        <v>36.98</v>
      </c>
      <c r="S3" s="18"/>
      <c r="T3" s="18"/>
      <c r="U3" s="18"/>
      <c r="V3" s="18" t="n">
        <f aca="false">ROUND((1-BD!V3/2.65)*100,2)</f>
        <v>33.96</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742</v>
      </c>
      <c r="AS3" s="18" t="s">
        <v>1473</v>
      </c>
      <c r="AT3" s="18" t="s">
        <v>1474</v>
      </c>
      <c r="AU3" s="18" t="s">
        <v>1475</v>
      </c>
      <c r="AV3" s="18" t="s">
        <v>1550</v>
      </c>
      <c r="AW3" s="30" t="s">
        <v>1551</v>
      </c>
      <c r="AX3" s="18" t="s">
        <v>877</v>
      </c>
      <c r="AY3" s="18" t="s">
        <v>1552</v>
      </c>
    </row>
    <row r="4" customFormat="false" ht="15" hidden="false" customHeight="true" outlineLevel="0" collapsed="false">
      <c r="A4" s="5" t="n">
        <v>165</v>
      </c>
      <c r="B4" s="5" t="n">
        <v>165</v>
      </c>
      <c r="C4" s="5" t="s">
        <v>811</v>
      </c>
      <c r="D4" s="5" t="n">
        <v>2012</v>
      </c>
      <c r="E4" s="5" t="s">
        <v>812</v>
      </c>
      <c r="F4" s="5" t="s">
        <v>815</v>
      </c>
      <c r="G4" s="5" t="s">
        <v>816</v>
      </c>
      <c r="H4" s="5" t="n">
        <v>28.633</v>
      </c>
      <c r="I4" s="5" t="n">
        <v>77.183</v>
      </c>
      <c r="J4" s="5" t="s">
        <v>83</v>
      </c>
      <c r="K4" s="5" t="s">
        <v>1481</v>
      </c>
      <c r="L4" s="5" t="s">
        <v>821</v>
      </c>
      <c r="M4" s="5" t="s">
        <v>85</v>
      </c>
      <c r="N4" s="5" t="s">
        <v>86</v>
      </c>
      <c r="O4" s="5" t="s">
        <v>1472</v>
      </c>
      <c r="P4" s="5"/>
      <c r="Q4" s="5" t="n">
        <v>44.9</v>
      </c>
      <c r="R4" s="5"/>
      <c r="S4" s="5"/>
      <c r="T4" s="5"/>
      <c r="U4" s="5"/>
      <c r="V4" s="5" t="n">
        <v>47.2</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1553</v>
      </c>
      <c r="AS4" s="5" t="s">
        <v>1482</v>
      </c>
      <c r="AT4" s="5" t="s">
        <v>1483</v>
      </c>
      <c r="AU4" s="5" t="s">
        <v>1484</v>
      </c>
      <c r="AV4" s="5" t="s">
        <v>1485</v>
      </c>
      <c r="AW4" s="23" t="s">
        <v>1554</v>
      </c>
      <c r="AX4" s="5" t="s">
        <v>829</v>
      </c>
      <c r="AY4" s="5" t="s">
        <v>1555</v>
      </c>
    </row>
    <row r="5" customFormat="false" ht="15" hidden="false" customHeight="true" outlineLevel="0" collapsed="false">
      <c r="A5" s="5" t="n">
        <v>165</v>
      </c>
      <c r="B5" s="5" t="n">
        <v>165</v>
      </c>
      <c r="C5" s="5" t="s">
        <v>811</v>
      </c>
      <c r="D5" s="5" t="n">
        <v>2012</v>
      </c>
      <c r="E5" s="5" t="s">
        <v>812</v>
      </c>
      <c r="F5" s="5" t="s">
        <v>815</v>
      </c>
      <c r="G5" s="5" t="s">
        <v>816</v>
      </c>
      <c r="H5" s="5" t="n">
        <v>28.633</v>
      </c>
      <c r="I5" s="5" t="n">
        <v>77.183</v>
      </c>
      <c r="J5" s="5" t="s">
        <v>83</v>
      </c>
      <c r="K5" s="5" t="s">
        <v>1481</v>
      </c>
      <c r="L5" s="5" t="s">
        <v>821</v>
      </c>
      <c r="M5" s="5" t="s">
        <v>85</v>
      </c>
      <c r="N5" s="5" t="s">
        <v>86</v>
      </c>
      <c r="O5" s="5" t="s">
        <v>1472</v>
      </c>
      <c r="P5" s="5"/>
      <c r="Q5" s="5" t="n">
        <v>45.7</v>
      </c>
      <c r="R5" s="5"/>
      <c r="S5" s="5"/>
      <c r="T5" s="5"/>
      <c r="U5" s="5"/>
      <c r="V5" s="5" t="n">
        <v>48</v>
      </c>
      <c r="W5" s="5"/>
      <c r="X5" s="5"/>
      <c r="Y5" s="5"/>
      <c r="Z5" s="5"/>
      <c r="AA5" s="5"/>
      <c r="AB5" s="5" t="n">
        <v>1</v>
      </c>
      <c r="AC5" s="5" t="n">
        <v>3</v>
      </c>
      <c r="AD5" s="5" t="n">
        <f aca="false">IF(AND(N(AB5)&gt;0,N(AC5)&gt;0),SQRT(2*AB5/AC5),"")</f>
        <v>0.816496580927726</v>
      </c>
      <c r="AE5" s="5" t="n">
        <v>25.4</v>
      </c>
      <c r="AF5" s="5"/>
      <c r="AG5" s="5"/>
      <c r="AH5" s="5"/>
      <c r="AI5" s="5" t="n">
        <v>28.633</v>
      </c>
      <c r="AJ5" s="5" t="n">
        <v>2</v>
      </c>
      <c r="AK5" s="5"/>
      <c r="AL5" s="5"/>
      <c r="AM5" s="5" t="n">
        <v>8.16</v>
      </c>
      <c r="AN5" s="5" t="n">
        <v>5.2</v>
      </c>
      <c r="AO5" s="5" t="n">
        <v>1.5</v>
      </c>
      <c r="AP5" s="5" t="n">
        <v>52.06</v>
      </c>
      <c r="AQ5" s="5" t="n">
        <v>22.54</v>
      </c>
      <c r="AR5" s="5" t="s">
        <v>1553</v>
      </c>
      <c r="AS5" s="5" t="s">
        <v>1488</v>
      </c>
      <c r="AT5" s="5" t="s">
        <v>1489</v>
      </c>
      <c r="AU5" s="5" t="s">
        <v>1484</v>
      </c>
      <c r="AV5" s="5" t="s">
        <v>1485</v>
      </c>
      <c r="AW5" s="23" t="s">
        <v>1556</v>
      </c>
      <c r="AX5" s="5" t="s">
        <v>829</v>
      </c>
      <c r="AY5" s="5" t="s">
        <v>1555</v>
      </c>
      <c r="BA5" s="5" t="s">
        <v>89</v>
      </c>
    </row>
    <row r="6" customFormat="false" ht="15" hidden="false" customHeight="true" outlineLevel="0" collapsed="false">
      <c r="A6" s="5" t="s">
        <v>931</v>
      </c>
      <c r="B6" s="5" t="s">
        <v>931</v>
      </c>
      <c r="C6" s="5" t="s">
        <v>932</v>
      </c>
      <c r="D6" s="5" t="n">
        <v>2023</v>
      </c>
      <c r="E6" s="5" t="s">
        <v>933</v>
      </c>
      <c r="F6" s="5" t="s">
        <v>936</v>
      </c>
      <c r="G6" s="5" t="s">
        <v>937</v>
      </c>
      <c r="H6" s="5" t="n">
        <v>35.27</v>
      </c>
      <c r="I6" s="5" t="n">
        <v>119.38</v>
      </c>
      <c r="J6" s="5" t="s">
        <v>870</v>
      </c>
      <c r="K6" s="5" t="n">
        <v>2018</v>
      </c>
      <c r="L6" s="5" t="s">
        <v>821</v>
      </c>
      <c r="M6" s="5"/>
      <c r="N6" s="5" t="s">
        <v>86</v>
      </c>
      <c r="O6" s="5" t="s">
        <v>1491</v>
      </c>
      <c r="P6" s="5" t="n">
        <f aca="false">ROUND((1-BD!P6/2.65)*100,2)</f>
        <v>48.15</v>
      </c>
      <c r="Q6" s="5"/>
      <c r="R6" s="5"/>
      <c r="S6" s="5"/>
      <c r="T6" s="5"/>
      <c r="U6" s="5"/>
      <c r="V6" s="5"/>
      <c r="W6" s="5"/>
      <c r="X6" s="5" t="n">
        <f aca="false">ROUND((1-BD!X6/2.65)*100,2)</f>
        <v>47.36</v>
      </c>
      <c r="Y6" s="5"/>
      <c r="Z6" s="5"/>
      <c r="AA6" s="5"/>
      <c r="AB6" s="5" t="n">
        <v>1</v>
      </c>
      <c r="AC6" s="5" t="n">
        <v>3</v>
      </c>
      <c r="AD6" s="5" t="n">
        <f aca="false">IF(AND(N(AB6)&gt;0,N(AC6)&gt;0),SQRT(2*AB6/AC6),"")</f>
        <v>0.816496580927726</v>
      </c>
      <c r="AE6" s="5"/>
      <c r="AF6" s="5"/>
      <c r="AG6" s="5"/>
      <c r="AH6" s="5" t="n">
        <v>916</v>
      </c>
      <c r="AI6" s="5" t="n">
        <v>35.27</v>
      </c>
      <c r="AJ6" s="5" t="n">
        <v>1</v>
      </c>
      <c r="AK6" s="5" t="n">
        <v>12.6</v>
      </c>
      <c r="AL6" s="5"/>
      <c r="AM6" s="5" t="n">
        <v>6.8</v>
      </c>
      <c r="AN6" s="5" t="n">
        <v>5.75</v>
      </c>
      <c r="AO6" s="5" t="n">
        <v>1.423</v>
      </c>
      <c r="AP6" s="5"/>
      <c r="AQ6" s="5"/>
      <c r="AR6" s="5" t="s">
        <v>742</v>
      </c>
      <c r="AS6" s="5" t="s">
        <v>1492</v>
      </c>
      <c r="AT6" s="5" t="s">
        <v>1493</v>
      </c>
      <c r="AU6" s="5" t="s">
        <v>1494</v>
      </c>
      <c r="AV6" s="5" t="s">
        <v>1557</v>
      </c>
      <c r="AW6" s="23" t="s">
        <v>1558</v>
      </c>
      <c r="AX6" s="5" t="s">
        <v>947</v>
      </c>
      <c r="AY6" s="5" t="s">
        <v>1552</v>
      </c>
    </row>
    <row r="7" customFormat="false" ht="15" hidden="false" customHeight="true" outlineLevel="0" collapsed="false">
      <c r="A7" s="5" t="s">
        <v>931</v>
      </c>
      <c r="B7" s="5" t="s">
        <v>931</v>
      </c>
      <c r="C7" s="5" t="s">
        <v>932</v>
      </c>
      <c r="D7" s="5" t="n">
        <v>2023</v>
      </c>
      <c r="E7" s="5" t="s">
        <v>933</v>
      </c>
      <c r="F7" s="5" t="s">
        <v>936</v>
      </c>
      <c r="G7" s="5" t="s">
        <v>937</v>
      </c>
      <c r="H7" s="5" t="n">
        <v>35.27</v>
      </c>
      <c r="I7" s="5" t="n">
        <v>119.38</v>
      </c>
      <c r="J7" s="5" t="s">
        <v>870</v>
      </c>
      <c r="K7" s="5" t="n">
        <v>2019</v>
      </c>
      <c r="L7" s="5" t="s">
        <v>821</v>
      </c>
      <c r="M7" s="5"/>
      <c r="N7" s="5" t="s">
        <v>86</v>
      </c>
      <c r="O7" s="5" t="s">
        <v>1491</v>
      </c>
      <c r="P7" s="5" t="n">
        <f aca="false">ROUND((1-BD!P7/2.65)*100,2)</f>
        <v>48.08</v>
      </c>
      <c r="Q7" s="5"/>
      <c r="R7" s="5"/>
      <c r="S7" s="5"/>
      <c r="T7" s="5"/>
      <c r="U7" s="5"/>
      <c r="V7" s="5"/>
      <c r="W7" s="5"/>
      <c r="X7" s="5" t="n">
        <f aca="false">ROUND((1-BD!X7/2.65)*100,2)</f>
        <v>47.28</v>
      </c>
      <c r="Y7" s="5"/>
      <c r="Z7" s="5"/>
      <c r="AA7" s="5"/>
      <c r="AB7" s="5" t="n">
        <v>1</v>
      </c>
      <c r="AC7" s="5" t="n">
        <v>3</v>
      </c>
      <c r="AD7" s="5" t="n">
        <f aca="false">IF(AND(N(AB7)&gt;0,N(AC7)&gt;0),SQRT(2*AB7/AC7),"")</f>
        <v>0.816496580927726</v>
      </c>
      <c r="AE7" s="5"/>
      <c r="AF7" s="5"/>
      <c r="AG7" s="5"/>
      <c r="AH7" s="5" t="n">
        <v>916</v>
      </c>
      <c r="AI7" s="5" t="n">
        <v>35.27</v>
      </c>
      <c r="AJ7" s="5" t="n">
        <v>2</v>
      </c>
      <c r="AK7" s="5" t="n">
        <v>12.6</v>
      </c>
      <c r="AL7" s="5"/>
      <c r="AM7" s="5" t="n">
        <v>6.8</v>
      </c>
      <c r="AN7" s="5" t="n">
        <v>5.75</v>
      </c>
      <c r="AO7" s="5" t="n">
        <v>1.423</v>
      </c>
      <c r="AP7" s="5"/>
      <c r="AQ7" s="5"/>
      <c r="AR7" s="5" t="s">
        <v>742</v>
      </c>
      <c r="AS7" s="5" t="s">
        <v>1492</v>
      </c>
      <c r="AT7" s="5" t="s">
        <v>1498</v>
      </c>
      <c r="AU7" s="5" t="s">
        <v>1494</v>
      </c>
      <c r="AV7" s="5" t="s">
        <v>1557</v>
      </c>
      <c r="AW7" s="23" t="s">
        <v>1558</v>
      </c>
      <c r="AX7" s="5" t="s">
        <v>947</v>
      </c>
      <c r="AY7" s="5" t="s">
        <v>1552</v>
      </c>
    </row>
    <row r="8" customFormat="false" ht="15" hidden="false" customHeight="true" outlineLevel="0" collapsed="false">
      <c r="A8" s="5" t="s">
        <v>931</v>
      </c>
      <c r="B8" s="5" t="s">
        <v>931</v>
      </c>
      <c r="C8" s="5" t="s">
        <v>932</v>
      </c>
      <c r="D8" s="5" t="n">
        <v>2023</v>
      </c>
      <c r="E8" s="5" t="s">
        <v>933</v>
      </c>
      <c r="F8" s="5" t="s">
        <v>936</v>
      </c>
      <c r="G8" s="5" t="s">
        <v>937</v>
      </c>
      <c r="H8" s="5" t="n">
        <v>35.27</v>
      </c>
      <c r="I8" s="5" t="n">
        <v>119.38</v>
      </c>
      <c r="J8" s="5" t="s">
        <v>870</v>
      </c>
      <c r="K8" s="5" t="n">
        <v>2020</v>
      </c>
      <c r="L8" s="5" t="s">
        <v>821</v>
      </c>
      <c r="M8" s="5"/>
      <c r="N8" s="5" t="s">
        <v>86</v>
      </c>
      <c r="O8" s="5" t="s">
        <v>1491</v>
      </c>
      <c r="P8" s="5" t="n">
        <f aca="false">ROUND((1-BD!P8/2.65)*100,2)</f>
        <v>47.85</v>
      </c>
      <c r="Q8" s="5"/>
      <c r="R8" s="5"/>
      <c r="S8" s="5"/>
      <c r="T8" s="5"/>
      <c r="U8" s="5"/>
      <c r="V8" s="5"/>
      <c r="W8" s="5"/>
      <c r="X8" s="5" t="n">
        <f aca="false">ROUND((1-BD!X8/2.65)*100,2)</f>
        <v>46.87</v>
      </c>
      <c r="Y8" s="5"/>
      <c r="Z8" s="5"/>
      <c r="AA8" s="5"/>
      <c r="AB8" s="5" t="n">
        <v>1</v>
      </c>
      <c r="AC8" s="5" t="n">
        <v>3</v>
      </c>
      <c r="AD8" s="5" t="n">
        <f aca="false">IF(AND(N(AB8)&gt;0,N(AC8)&gt;0),SQRT(2*AB8/AC8),"")</f>
        <v>0.816496580927726</v>
      </c>
      <c r="AE8" s="5"/>
      <c r="AF8" s="5"/>
      <c r="AG8" s="5"/>
      <c r="AH8" s="5" t="n">
        <v>916</v>
      </c>
      <c r="AI8" s="5" t="n">
        <v>35.27</v>
      </c>
      <c r="AJ8" s="5" t="n">
        <v>3</v>
      </c>
      <c r="AK8" s="5" t="n">
        <v>12.6</v>
      </c>
      <c r="AL8" s="5"/>
      <c r="AM8" s="5" t="n">
        <v>6.8</v>
      </c>
      <c r="AN8" s="5" t="n">
        <v>5.75</v>
      </c>
      <c r="AO8" s="5" t="n">
        <v>1.423</v>
      </c>
      <c r="AP8" s="5"/>
      <c r="AQ8" s="5"/>
      <c r="AR8" s="5" t="s">
        <v>742</v>
      </c>
      <c r="AS8" s="5" t="s">
        <v>1492</v>
      </c>
      <c r="AT8" s="5" t="s">
        <v>1499</v>
      </c>
      <c r="AU8" s="5" t="s">
        <v>1494</v>
      </c>
      <c r="AV8" s="5" t="s">
        <v>1557</v>
      </c>
      <c r="AW8" s="23" t="s">
        <v>1558</v>
      </c>
      <c r="AX8" s="5" t="s">
        <v>947</v>
      </c>
      <c r="AY8" s="5" t="s">
        <v>1552</v>
      </c>
    </row>
    <row r="9" customFormat="false" ht="15" hidden="false" customHeight="true" outlineLevel="0" collapsed="false">
      <c r="A9" s="5" t="s">
        <v>931</v>
      </c>
      <c r="B9" s="5" t="s">
        <v>931</v>
      </c>
      <c r="C9" s="5" t="s">
        <v>932</v>
      </c>
      <c r="D9" s="5" t="n">
        <v>2023</v>
      </c>
      <c r="E9" s="5" t="s">
        <v>933</v>
      </c>
      <c r="F9" s="5" t="s">
        <v>936</v>
      </c>
      <c r="G9" s="5" t="s">
        <v>937</v>
      </c>
      <c r="H9" s="5" t="n">
        <v>35.27</v>
      </c>
      <c r="I9" s="5" t="n">
        <v>119.38</v>
      </c>
      <c r="J9" s="5" t="s">
        <v>870</v>
      </c>
      <c r="K9" s="5" t="n">
        <v>2018</v>
      </c>
      <c r="L9" s="5" t="s">
        <v>821</v>
      </c>
      <c r="M9" s="5"/>
      <c r="N9" s="5" t="s">
        <v>1479</v>
      </c>
      <c r="O9" s="5" t="s">
        <v>1500</v>
      </c>
      <c r="P9" s="5" t="n">
        <f aca="false">ROUND((1-BD!P9/2.65)*100,2)</f>
        <v>46.38</v>
      </c>
      <c r="Q9" s="5"/>
      <c r="R9" s="5"/>
      <c r="S9" s="5"/>
      <c r="T9" s="5"/>
      <c r="U9" s="5"/>
      <c r="V9" s="5"/>
      <c r="W9" s="5"/>
      <c r="X9" s="5" t="n">
        <f aca="false">ROUND((1-BD!X9/2.65)*100,2)</f>
        <v>45.89</v>
      </c>
      <c r="Y9" s="5"/>
      <c r="Z9" s="5"/>
      <c r="AA9" s="5"/>
      <c r="AB9" s="5" t="n">
        <v>2</v>
      </c>
      <c r="AC9" s="5" t="n">
        <v>3</v>
      </c>
      <c r="AD9" s="5" t="n">
        <f aca="false">IF(AND(N(AB9)&gt;0,N(AC9)&gt;0),SQRT(2*AB9/AC9),"")</f>
        <v>1.15470053837925</v>
      </c>
      <c r="AE9" s="5"/>
      <c r="AF9" s="5"/>
      <c r="AG9" s="5"/>
      <c r="AH9" s="5" t="n">
        <v>916</v>
      </c>
      <c r="AI9" s="5" t="n">
        <v>35.27</v>
      </c>
      <c r="AJ9" s="5" t="n">
        <v>1</v>
      </c>
      <c r="AK9" s="5" t="n">
        <v>12.6</v>
      </c>
      <c r="AL9" s="5"/>
      <c r="AM9" s="5" t="n">
        <v>6.8</v>
      </c>
      <c r="AN9" s="5" t="n">
        <v>5.75</v>
      </c>
      <c r="AO9" s="5" t="n">
        <v>1.423</v>
      </c>
      <c r="AP9" s="5"/>
      <c r="AQ9" s="5"/>
      <c r="AR9" s="5" t="s">
        <v>742</v>
      </c>
      <c r="AS9" s="5" t="s">
        <v>1492</v>
      </c>
      <c r="AT9" s="5" t="s">
        <v>1493</v>
      </c>
      <c r="AU9" s="5" t="s">
        <v>1494</v>
      </c>
      <c r="AV9" s="5" t="s">
        <v>1557</v>
      </c>
      <c r="AW9" s="23" t="s">
        <v>1558</v>
      </c>
      <c r="AX9" s="5" t="s">
        <v>947</v>
      </c>
      <c r="AY9" s="5" t="s">
        <v>1552</v>
      </c>
    </row>
    <row r="10" customFormat="false" ht="15" hidden="false" customHeight="true" outlineLevel="0" collapsed="false">
      <c r="A10" s="5" t="s">
        <v>931</v>
      </c>
      <c r="B10" s="5" t="s">
        <v>931</v>
      </c>
      <c r="C10" s="5" t="s">
        <v>932</v>
      </c>
      <c r="D10" s="5" t="n">
        <v>2023</v>
      </c>
      <c r="E10" s="5" t="s">
        <v>933</v>
      </c>
      <c r="F10" s="5" t="s">
        <v>936</v>
      </c>
      <c r="G10" s="5" t="s">
        <v>937</v>
      </c>
      <c r="H10" s="5" t="n">
        <v>35.27</v>
      </c>
      <c r="I10" s="5" t="n">
        <v>119.38</v>
      </c>
      <c r="J10" s="5" t="s">
        <v>870</v>
      </c>
      <c r="K10" s="5" t="n">
        <v>2019</v>
      </c>
      <c r="L10" s="5" t="s">
        <v>821</v>
      </c>
      <c r="M10" s="5"/>
      <c r="N10" s="5" t="s">
        <v>1479</v>
      </c>
      <c r="O10" s="5" t="s">
        <v>1500</v>
      </c>
      <c r="P10" s="5" t="n">
        <f aca="false">ROUND((1-BD!P10/2.65)*100,2)</f>
        <v>46.49</v>
      </c>
      <c r="Q10" s="5"/>
      <c r="R10" s="5"/>
      <c r="S10" s="5"/>
      <c r="T10" s="5"/>
      <c r="U10" s="5"/>
      <c r="V10" s="5"/>
      <c r="W10" s="5"/>
      <c r="X10" s="5" t="n">
        <f aca="false">ROUND((1-BD!X10/2.65)*100,2)</f>
        <v>45.85</v>
      </c>
      <c r="Y10" s="5"/>
      <c r="Z10" s="5"/>
      <c r="AA10" s="5"/>
      <c r="AB10" s="5" t="n">
        <v>2</v>
      </c>
      <c r="AC10" s="5" t="n">
        <v>3</v>
      </c>
      <c r="AD10" s="5" t="n">
        <f aca="false">IF(AND(N(AB10)&gt;0,N(AC10)&gt;0),SQRT(2*AB10/AC10),"")</f>
        <v>1.15470053837925</v>
      </c>
      <c r="AE10" s="5"/>
      <c r="AF10" s="5"/>
      <c r="AG10" s="5"/>
      <c r="AH10" s="5" t="n">
        <v>916</v>
      </c>
      <c r="AI10" s="5" t="n">
        <v>35.27</v>
      </c>
      <c r="AJ10" s="5" t="n">
        <v>2</v>
      </c>
      <c r="AK10" s="5" t="n">
        <v>12.6</v>
      </c>
      <c r="AL10" s="5"/>
      <c r="AM10" s="5" t="n">
        <v>6.8</v>
      </c>
      <c r="AN10" s="5" t="n">
        <v>5.75</v>
      </c>
      <c r="AO10" s="5" t="n">
        <v>1.423</v>
      </c>
      <c r="AP10" s="5"/>
      <c r="AQ10" s="5"/>
      <c r="AR10" s="5" t="s">
        <v>742</v>
      </c>
      <c r="AS10" s="5" t="s">
        <v>1492</v>
      </c>
      <c r="AT10" s="5" t="s">
        <v>1498</v>
      </c>
      <c r="AU10" s="5" t="s">
        <v>1494</v>
      </c>
      <c r="AV10" s="5" t="s">
        <v>1557</v>
      </c>
      <c r="AW10" s="23" t="s">
        <v>1558</v>
      </c>
      <c r="AX10" s="5" t="s">
        <v>947</v>
      </c>
      <c r="AY10" s="5" t="s">
        <v>1552</v>
      </c>
    </row>
    <row r="11" customFormat="false" ht="15" hidden="false" customHeight="true" outlineLevel="0" collapsed="false">
      <c r="A11" s="5" t="s">
        <v>931</v>
      </c>
      <c r="B11" s="5" t="s">
        <v>931</v>
      </c>
      <c r="C11" s="5" t="s">
        <v>932</v>
      </c>
      <c r="D11" s="5" t="n">
        <v>2023</v>
      </c>
      <c r="E11" s="5" t="s">
        <v>933</v>
      </c>
      <c r="F11" s="5" t="s">
        <v>936</v>
      </c>
      <c r="G11" s="5" t="s">
        <v>937</v>
      </c>
      <c r="H11" s="5" t="n">
        <v>35.27</v>
      </c>
      <c r="I11" s="5" t="n">
        <v>119.38</v>
      </c>
      <c r="J11" s="5" t="s">
        <v>870</v>
      </c>
      <c r="K11" s="5" t="n">
        <v>2020</v>
      </c>
      <c r="L11" s="5" t="s">
        <v>821</v>
      </c>
      <c r="M11" s="5"/>
      <c r="N11" s="5" t="s">
        <v>1479</v>
      </c>
      <c r="O11" s="5" t="s">
        <v>1500</v>
      </c>
      <c r="P11" s="5" t="n">
        <f aca="false">ROUND((1-BD!P11/2.65)*100,2)</f>
        <v>45.09</v>
      </c>
      <c r="Q11" s="5"/>
      <c r="R11" s="5"/>
      <c r="S11" s="5"/>
      <c r="T11" s="5"/>
      <c r="U11" s="5"/>
      <c r="V11" s="5"/>
      <c r="W11" s="5"/>
      <c r="X11" s="5" t="n">
        <f aca="false">ROUND((1-BD!X11/2.65)*100,2)</f>
        <v>45.62</v>
      </c>
      <c r="Y11" s="5"/>
      <c r="Z11" s="5"/>
      <c r="AA11" s="5"/>
      <c r="AB11" s="5" t="n">
        <v>2</v>
      </c>
      <c r="AC11" s="5" t="n">
        <v>3</v>
      </c>
      <c r="AD11" s="5" t="n">
        <f aca="false">IF(AND(N(AB11)&gt;0,N(AC11)&gt;0),SQRT(2*AB11/AC11),"")</f>
        <v>1.15470053837925</v>
      </c>
      <c r="AE11" s="5"/>
      <c r="AF11" s="5"/>
      <c r="AG11" s="5"/>
      <c r="AH11" s="5" t="n">
        <v>916</v>
      </c>
      <c r="AI11" s="5" t="n">
        <v>35.27</v>
      </c>
      <c r="AJ11" s="5" t="n">
        <v>3</v>
      </c>
      <c r="AK11" s="5" t="n">
        <v>12.6</v>
      </c>
      <c r="AL11" s="5"/>
      <c r="AM11" s="5" t="n">
        <v>6.8</v>
      </c>
      <c r="AN11" s="5" t="n">
        <v>5.75</v>
      </c>
      <c r="AO11" s="5" t="n">
        <v>1.423</v>
      </c>
      <c r="AP11" s="5"/>
      <c r="AQ11" s="5"/>
      <c r="AR11" s="5" t="s">
        <v>742</v>
      </c>
      <c r="AS11" s="5" t="s">
        <v>1492</v>
      </c>
      <c r="AT11" s="5" t="s">
        <v>1499</v>
      </c>
      <c r="AU11" s="5" t="s">
        <v>1494</v>
      </c>
      <c r="AV11" s="5" t="s">
        <v>1557</v>
      </c>
      <c r="AW11" s="23" t="s">
        <v>1558</v>
      </c>
      <c r="AX11" s="5" t="s">
        <v>947</v>
      </c>
      <c r="AY11" s="5" t="s">
        <v>1552</v>
      </c>
    </row>
    <row r="12" customFormat="false" ht="15" hidden="false" customHeight="true" outlineLevel="0" collapsed="false">
      <c r="A12" s="5" t="s">
        <v>931</v>
      </c>
      <c r="B12" s="5" t="s">
        <v>931</v>
      </c>
      <c r="C12" s="5" t="s">
        <v>932</v>
      </c>
      <c r="D12" s="5" t="n">
        <v>2023</v>
      </c>
      <c r="E12" s="5" t="s">
        <v>933</v>
      </c>
      <c r="F12" s="5" t="s">
        <v>936</v>
      </c>
      <c r="G12" s="5" t="s">
        <v>937</v>
      </c>
      <c r="H12" s="5" t="n">
        <v>35.27</v>
      </c>
      <c r="I12" s="5" t="n">
        <v>119.38</v>
      </c>
      <c r="J12" s="5" t="s">
        <v>870</v>
      </c>
      <c r="K12" s="5" t="n">
        <v>2018</v>
      </c>
      <c r="L12" s="5" t="s">
        <v>821</v>
      </c>
      <c r="M12" s="5"/>
      <c r="N12" s="5" t="s">
        <v>1479</v>
      </c>
      <c r="O12" s="5" t="s">
        <v>1502</v>
      </c>
      <c r="P12" s="5" t="n">
        <f aca="false">ROUND((1-BD!P12/2.65)*100,2)</f>
        <v>43.77</v>
      </c>
      <c r="Q12" s="5"/>
      <c r="R12" s="5"/>
      <c r="S12" s="5"/>
      <c r="T12" s="5"/>
      <c r="U12" s="5"/>
      <c r="V12" s="5"/>
      <c r="W12" s="5"/>
      <c r="X12" s="5" t="n">
        <f aca="false">ROUND((1-BD!X12/2.65)*100,2)</f>
        <v>43.36</v>
      </c>
      <c r="Y12" s="5"/>
      <c r="Z12" s="5"/>
      <c r="AA12" s="5"/>
      <c r="AB12" s="5" t="n">
        <v>2</v>
      </c>
      <c r="AC12" s="5" t="n">
        <v>3</v>
      </c>
      <c r="AD12" s="5" t="n">
        <f aca="false">IF(AND(N(AB12)&gt;0,N(AC12)&gt;0),SQRT(2*AB12/AC12),"")</f>
        <v>1.15470053837925</v>
      </c>
      <c r="AE12" s="5"/>
      <c r="AF12" s="5"/>
      <c r="AG12" s="5"/>
      <c r="AH12" s="5" t="n">
        <v>916</v>
      </c>
      <c r="AI12" s="5" t="n">
        <v>35.27</v>
      </c>
      <c r="AJ12" s="5" t="n">
        <v>1</v>
      </c>
      <c r="AK12" s="5" t="n">
        <v>12.6</v>
      </c>
      <c r="AL12" s="5"/>
      <c r="AM12" s="5" t="n">
        <v>6.8</v>
      </c>
      <c r="AN12" s="5" t="n">
        <v>5.75</v>
      </c>
      <c r="AO12" s="5" t="n">
        <v>1.423</v>
      </c>
      <c r="AP12" s="5"/>
      <c r="AQ12" s="5"/>
      <c r="AR12" s="5" t="s">
        <v>742</v>
      </c>
      <c r="AS12" s="5" t="s">
        <v>1492</v>
      </c>
      <c r="AT12" s="5" t="s">
        <v>1493</v>
      </c>
      <c r="AU12" s="5" t="s">
        <v>1494</v>
      </c>
      <c r="AV12" s="5" t="s">
        <v>1557</v>
      </c>
      <c r="AW12" s="23" t="s">
        <v>1558</v>
      </c>
      <c r="AX12" s="5" t="s">
        <v>947</v>
      </c>
      <c r="AY12" s="5" t="s">
        <v>1552</v>
      </c>
    </row>
    <row r="13" customFormat="false" ht="15" hidden="false" customHeight="true" outlineLevel="0" collapsed="false">
      <c r="A13" s="5" t="s">
        <v>931</v>
      </c>
      <c r="B13" s="5" t="s">
        <v>931</v>
      </c>
      <c r="C13" s="5" t="s">
        <v>932</v>
      </c>
      <c r="D13" s="5" t="n">
        <v>2023</v>
      </c>
      <c r="E13" s="5" t="s">
        <v>933</v>
      </c>
      <c r="F13" s="5" t="s">
        <v>936</v>
      </c>
      <c r="G13" s="5" t="s">
        <v>937</v>
      </c>
      <c r="H13" s="5" t="n">
        <v>35.27</v>
      </c>
      <c r="I13" s="5" t="n">
        <v>119.38</v>
      </c>
      <c r="J13" s="5" t="s">
        <v>870</v>
      </c>
      <c r="K13" s="5" t="n">
        <v>2019</v>
      </c>
      <c r="L13" s="5" t="s">
        <v>821</v>
      </c>
      <c r="M13" s="5"/>
      <c r="N13" s="5" t="s">
        <v>1479</v>
      </c>
      <c r="O13" s="5" t="s">
        <v>1502</v>
      </c>
      <c r="P13" s="5" t="n">
        <f aca="false">ROUND((1-BD!P13/2.65)*100,2)</f>
        <v>44.15</v>
      </c>
      <c r="Q13" s="5"/>
      <c r="R13" s="5"/>
      <c r="S13" s="5"/>
      <c r="T13" s="5"/>
      <c r="U13" s="5"/>
      <c r="V13" s="5"/>
      <c r="W13" s="5"/>
      <c r="X13" s="5" t="n">
        <f aca="false">ROUND((1-BD!X13/2.65)*100,2)</f>
        <v>42.75</v>
      </c>
      <c r="Y13" s="5"/>
      <c r="Z13" s="5"/>
      <c r="AA13" s="5"/>
      <c r="AB13" s="5" t="n">
        <v>2</v>
      </c>
      <c r="AC13" s="5" t="n">
        <v>3</v>
      </c>
      <c r="AD13" s="5" t="n">
        <f aca="false">IF(AND(N(AB13)&gt;0,N(AC13)&gt;0),SQRT(2*AB13/AC13),"")</f>
        <v>1.15470053837925</v>
      </c>
      <c r="AE13" s="5"/>
      <c r="AF13" s="5"/>
      <c r="AG13" s="5"/>
      <c r="AH13" s="5" t="n">
        <v>916</v>
      </c>
      <c r="AI13" s="5" t="n">
        <v>35.27</v>
      </c>
      <c r="AJ13" s="5" t="n">
        <v>2</v>
      </c>
      <c r="AK13" s="5" t="n">
        <v>12.6</v>
      </c>
      <c r="AL13" s="5"/>
      <c r="AM13" s="5" t="n">
        <v>6.8</v>
      </c>
      <c r="AN13" s="5" t="n">
        <v>5.75</v>
      </c>
      <c r="AO13" s="5" t="n">
        <v>1.423</v>
      </c>
      <c r="AP13" s="5"/>
      <c r="AQ13" s="5"/>
      <c r="AR13" s="5" t="s">
        <v>742</v>
      </c>
      <c r="AS13" s="5" t="s">
        <v>1492</v>
      </c>
      <c r="AT13" s="5" t="s">
        <v>1498</v>
      </c>
      <c r="AU13" s="5" t="s">
        <v>1494</v>
      </c>
      <c r="AV13" s="5" t="s">
        <v>1557</v>
      </c>
      <c r="AW13" s="23" t="s">
        <v>1558</v>
      </c>
      <c r="AX13" s="5" t="s">
        <v>947</v>
      </c>
      <c r="AY13" s="5" t="s">
        <v>1552</v>
      </c>
    </row>
    <row r="14" customFormat="false" ht="15" hidden="false" customHeight="true" outlineLevel="0" collapsed="false">
      <c r="A14" s="5" t="s">
        <v>931</v>
      </c>
      <c r="B14" s="5" t="s">
        <v>931</v>
      </c>
      <c r="C14" s="5" t="s">
        <v>932</v>
      </c>
      <c r="D14" s="5" t="n">
        <v>2023</v>
      </c>
      <c r="E14" s="5" t="s">
        <v>933</v>
      </c>
      <c r="F14" s="5" t="s">
        <v>936</v>
      </c>
      <c r="G14" s="5" t="s">
        <v>937</v>
      </c>
      <c r="H14" s="5" t="n">
        <v>35.27</v>
      </c>
      <c r="I14" s="5" t="n">
        <v>119.38</v>
      </c>
      <c r="J14" s="5" t="s">
        <v>870</v>
      </c>
      <c r="K14" s="5" t="n">
        <v>2020</v>
      </c>
      <c r="L14" s="5" t="s">
        <v>821</v>
      </c>
      <c r="M14" s="5"/>
      <c r="N14" s="5" t="s">
        <v>1479</v>
      </c>
      <c r="O14" s="5" t="s">
        <v>1502</v>
      </c>
      <c r="P14" s="5" t="n">
        <f aca="false">ROUND((1-BD!P14/2.65)*100,2)</f>
        <v>44.04</v>
      </c>
      <c r="Q14" s="5"/>
      <c r="R14" s="5"/>
      <c r="S14" s="5"/>
      <c r="T14" s="5"/>
      <c r="U14" s="5"/>
      <c r="V14" s="5"/>
      <c r="W14" s="5"/>
      <c r="X14" s="5" t="n">
        <f aca="false">ROUND((1-BD!X14/2.65)*100,2)</f>
        <v>42.15</v>
      </c>
      <c r="Y14" s="5"/>
      <c r="Z14" s="5"/>
      <c r="AA14" s="5"/>
      <c r="AB14" s="5" t="n">
        <v>2</v>
      </c>
      <c r="AC14" s="5" t="n">
        <v>3</v>
      </c>
      <c r="AD14" s="5" t="n">
        <f aca="false">IF(AND(N(AB14)&gt;0,N(AC14)&gt;0),SQRT(2*AB14/AC14),"")</f>
        <v>1.15470053837925</v>
      </c>
      <c r="AE14" s="5"/>
      <c r="AF14" s="5"/>
      <c r="AG14" s="5"/>
      <c r="AH14" s="5" t="n">
        <v>916</v>
      </c>
      <c r="AI14" s="5" t="n">
        <v>35.27</v>
      </c>
      <c r="AJ14" s="5" t="n">
        <v>3</v>
      </c>
      <c r="AK14" s="5" t="n">
        <v>12.6</v>
      </c>
      <c r="AL14" s="5"/>
      <c r="AM14" s="5" t="n">
        <v>6.8</v>
      </c>
      <c r="AN14" s="5" t="n">
        <v>5.75</v>
      </c>
      <c r="AO14" s="5" t="n">
        <v>1.423</v>
      </c>
      <c r="AP14" s="5"/>
      <c r="AQ14" s="5"/>
      <c r="AR14" s="5" t="s">
        <v>742</v>
      </c>
      <c r="AS14" s="5" t="s">
        <v>1492</v>
      </c>
      <c r="AT14" s="5" t="s">
        <v>1499</v>
      </c>
      <c r="AU14" s="5" t="s">
        <v>1494</v>
      </c>
      <c r="AV14" s="5" t="s">
        <v>1557</v>
      </c>
      <c r="AW14" s="23" t="s">
        <v>1558</v>
      </c>
      <c r="AX14" s="5" t="s">
        <v>947</v>
      </c>
      <c r="AY14" s="5" t="s">
        <v>1552</v>
      </c>
    </row>
    <row r="15" customFormat="false" ht="15" hidden="false" customHeight="true" outlineLevel="0" collapsed="false">
      <c r="A15" s="18" t="s">
        <v>914</v>
      </c>
      <c r="B15" s="18" t="s">
        <v>914</v>
      </c>
      <c r="C15" s="18" t="s">
        <v>915</v>
      </c>
      <c r="D15" s="18" t="n">
        <v>2020</v>
      </c>
      <c r="E15" s="18" t="s">
        <v>916</v>
      </c>
      <c r="F15" s="18" t="s">
        <v>815</v>
      </c>
      <c r="G15" s="18" t="s">
        <v>919</v>
      </c>
      <c r="H15" s="18" t="n">
        <v>28.4</v>
      </c>
      <c r="I15" s="18" t="n">
        <v>77.1</v>
      </c>
      <c r="J15" s="18" t="s">
        <v>83</v>
      </c>
      <c r="K15" s="18" t="s">
        <v>1504</v>
      </c>
      <c r="L15" s="18" t="s">
        <v>802</v>
      </c>
      <c r="M15" s="18" t="s">
        <v>85</v>
      </c>
      <c r="N15" s="18" t="s">
        <v>86</v>
      </c>
      <c r="O15" s="18" t="s">
        <v>1472</v>
      </c>
      <c r="P15" s="18"/>
      <c r="Q15" s="18" t="n">
        <f aca="false">ROUND((1-BD!Q15/2.65)*100,2)</f>
        <v>42.26</v>
      </c>
      <c r="R15" s="18"/>
      <c r="S15" s="18"/>
      <c r="T15" s="18"/>
      <c r="U15" s="18"/>
      <c r="V15" s="18" t="n">
        <f aca="false">ROUND((1-BD!V15/2.65)*100,2)</f>
        <v>44.15</v>
      </c>
      <c r="W15" s="18"/>
      <c r="X15" s="18"/>
      <c r="Y15" s="18"/>
      <c r="Z15" s="18"/>
      <c r="AA15" s="18"/>
      <c r="AB15" s="18" t="n">
        <v>2</v>
      </c>
      <c r="AC15" s="18" t="n">
        <v>3</v>
      </c>
      <c r="AD15" s="18" t="n">
        <f aca="false">IF(AND(N(AB15)&gt;0,N(AC15)&gt;0),SQRT(2*AB15/AC15),"")</f>
        <v>1.15470053837925</v>
      </c>
      <c r="AE15" s="18" t="n">
        <v>25.4</v>
      </c>
      <c r="AF15" s="18" t="n">
        <v>18</v>
      </c>
      <c r="AG15" s="18" t="n">
        <v>35.2</v>
      </c>
      <c r="AH15" s="18" t="n">
        <v>750</v>
      </c>
      <c r="AI15" s="18" t="n">
        <v>28.4</v>
      </c>
      <c r="AJ15" s="18" t="n">
        <v>12</v>
      </c>
      <c r="AK15" s="18"/>
      <c r="AL15" s="18"/>
      <c r="AM15" s="18" t="n">
        <v>8.45</v>
      </c>
      <c r="AN15" s="18" t="n">
        <v>5.1</v>
      </c>
      <c r="AO15" s="18" t="n">
        <v>1.5</v>
      </c>
      <c r="AP15" s="18" t="n">
        <v>52.1</v>
      </c>
      <c r="AQ15" s="18" t="n">
        <v>22.5</v>
      </c>
      <c r="AR15" s="18" t="s">
        <v>742</v>
      </c>
      <c r="AS15" s="18" t="s">
        <v>1505</v>
      </c>
      <c r="AT15" s="18" t="s">
        <v>1506</v>
      </c>
      <c r="AU15" s="18" t="s">
        <v>1507</v>
      </c>
      <c r="AV15" s="18" t="s">
        <v>1559</v>
      </c>
      <c r="AW15" s="30" t="s">
        <v>1560</v>
      </c>
      <c r="AX15" s="18" t="s">
        <v>928</v>
      </c>
      <c r="AY15" s="18" t="s">
        <v>1552</v>
      </c>
    </row>
    <row r="16" customFormat="false" ht="15" hidden="false" customHeight="true" outlineLevel="0" collapsed="false">
      <c r="A16" s="18" t="s">
        <v>914</v>
      </c>
      <c r="B16" s="18" t="s">
        <v>914</v>
      </c>
      <c r="C16" s="18" t="s">
        <v>915</v>
      </c>
      <c r="D16" s="18" t="n">
        <v>2020</v>
      </c>
      <c r="E16" s="18" t="s">
        <v>916</v>
      </c>
      <c r="F16" s="18" t="s">
        <v>815</v>
      </c>
      <c r="G16" s="18" t="s">
        <v>919</v>
      </c>
      <c r="H16" s="18" t="n">
        <v>28.4</v>
      </c>
      <c r="I16" s="18" t="n">
        <v>77.1</v>
      </c>
      <c r="J16" s="18" t="s">
        <v>83</v>
      </c>
      <c r="K16" s="18" t="s">
        <v>1504</v>
      </c>
      <c r="L16" s="18" t="s">
        <v>802</v>
      </c>
      <c r="M16" s="18" t="s">
        <v>85</v>
      </c>
      <c r="N16" s="18" t="s">
        <v>86</v>
      </c>
      <c r="O16" s="18" t="s">
        <v>1472</v>
      </c>
      <c r="P16" s="18"/>
      <c r="Q16" s="18" t="n">
        <f aca="false">ROUND((1-BD!Q16/2.65)*100,2)</f>
        <v>42.26</v>
      </c>
      <c r="R16" s="18"/>
      <c r="S16" s="18"/>
      <c r="T16" s="18"/>
      <c r="U16" s="18"/>
      <c r="V16" s="18" t="n">
        <f aca="false">ROUND((1-BD!V16/2.65)*100,2)</f>
        <v>46.04</v>
      </c>
      <c r="W16" s="18"/>
      <c r="X16" s="18"/>
      <c r="Y16" s="18"/>
      <c r="Z16" s="18"/>
      <c r="AA16" s="18"/>
      <c r="AB16" s="18" t="n">
        <v>2</v>
      </c>
      <c r="AC16" s="18" t="n">
        <v>3</v>
      </c>
      <c r="AD16" s="18" t="n">
        <f aca="false">IF(AND(N(AB16)&gt;0,N(AC16)&gt;0),SQRT(2*AB16/AC16),"")</f>
        <v>1.15470053837925</v>
      </c>
      <c r="AE16" s="18" t="n">
        <v>25.4</v>
      </c>
      <c r="AF16" s="18" t="n">
        <v>18</v>
      </c>
      <c r="AG16" s="18" t="n">
        <v>35.2</v>
      </c>
      <c r="AH16" s="18" t="n">
        <v>750</v>
      </c>
      <c r="AI16" s="18" t="n">
        <v>28.4</v>
      </c>
      <c r="AJ16" s="18" t="n">
        <v>12</v>
      </c>
      <c r="AK16" s="18"/>
      <c r="AL16" s="18"/>
      <c r="AM16" s="18" t="n">
        <v>8.45</v>
      </c>
      <c r="AN16" s="18" t="n">
        <v>5.1</v>
      </c>
      <c r="AO16" s="18" t="n">
        <v>1.5</v>
      </c>
      <c r="AP16" s="18" t="n">
        <v>52.1</v>
      </c>
      <c r="AQ16" s="18" t="n">
        <v>22.5</v>
      </c>
      <c r="AR16" s="18" t="s">
        <v>742</v>
      </c>
      <c r="AS16" s="18" t="s">
        <v>1511</v>
      </c>
      <c r="AT16" s="18" t="s">
        <v>1506</v>
      </c>
      <c r="AU16" s="18" t="s">
        <v>1507</v>
      </c>
      <c r="AV16" s="18" t="s">
        <v>1559</v>
      </c>
      <c r="AW16" s="30" t="s">
        <v>1561</v>
      </c>
      <c r="AX16" s="18" t="s">
        <v>928</v>
      </c>
      <c r="AY16" s="18" t="s">
        <v>1552</v>
      </c>
    </row>
    <row r="17" customFormat="false" ht="15" hidden="false" customHeight="true" outlineLevel="0" collapsed="false">
      <c r="A17" s="18" t="s">
        <v>914</v>
      </c>
      <c r="B17" s="18" t="s">
        <v>914</v>
      </c>
      <c r="C17" s="18" t="s">
        <v>915</v>
      </c>
      <c r="D17" s="18" t="n">
        <v>2020</v>
      </c>
      <c r="E17" s="18" t="s">
        <v>916</v>
      </c>
      <c r="F17" s="18" t="s">
        <v>815</v>
      </c>
      <c r="G17" s="18" t="s">
        <v>919</v>
      </c>
      <c r="H17" s="18" t="n">
        <v>28.4</v>
      </c>
      <c r="I17" s="18" t="n">
        <v>77.1</v>
      </c>
      <c r="J17" s="18" t="s">
        <v>83</v>
      </c>
      <c r="K17" s="18" t="s">
        <v>1504</v>
      </c>
      <c r="L17" s="18" t="s">
        <v>802</v>
      </c>
      <c r="M17" s="18" t="s">
        <v>85</v>
      </c>
      <c r="N17" s="18" t="s">
        <v>86</v>
      </c>
      <c r="O17" s="18" t="s">
        <v>1472</v>
      </c>
      <c r="P17" s="18"/>
      <c r="Q17" s="18" t="n">
        <f aca="false">ROUND((1-BD!Q17/2.65)*100,2)</f>
        <v>43.02</v>
      </c>
      <c r="R17" s="18"/>
      <c r="S17" s="18"/>
      <c r="T17" s="18"/>
      <c r="U17" s="18"/>
      <c r="V17" s="18" t="n">
        <f aca="false">ROUND((1-BD!V17/2.65)*100,2)</f>
        <v>44.91</v>
      </c>
      <c r="W17" s="18"/>
      <c r="X17" s="18"/>
      <c r="Y17" s="18"/>
      <c r="Z17" s="18"/>
      <c r="AA17" s="18"/>
      <c r="AB17" s="18" t="n">
        <v>2</v>
      </c>
      <c r="AC17" s="18" t="n">
        <v>3</v>
      </c>
      <c r="AD17" s="18" t="n">
        <f aca="false">IF(AND(N(AB17)&gt;0,N(AC17)&gt;0),SQRT(2*AB17/AC17),"")</f>
        <v>1.15470053837925</v>
      </c>
      <c r="AE17" s="18" t="n">
        <v>25.4</v>
      </c>
      <c r="AF17" s="18" t="n">
        <v>18</v>
      </c>
      <c r="AG17" s="18" t="n">
        <v>35.2</v>
      </c>
      <c r="AH17" s="18" t="n">
        <v>750</v>
      </c>
      <c r="AI17" s="18" t="n">
        <v>28.4</v>
      </c>
      <c r="AJ17" s="18" t="n">
        <v>12</v>
      </c>
      <c r="AK17" s="18"/>
      <c r="AL17" s="18"/>
      <c r="AM17" s="18" t="n">
        <v>8.45</v>
      </c>
      <c r="AN17" s="18" t="n">
        <v>5.1</v>
      </c>
      <c r="AO17" s="18" t="n">
        <v>1.5</v>
      </c>
      <c r="AP17" s="18" t="n">
        <v>52.1</v>
      </c>
      <c r="AQ17" s="18" t="n">
        <v>22.5</v>
      </c>
      <c r="AR17" s="18" t="s">
        <v>742</v>
      </c>
      <c r="AS17" s="18" t="s">
        <v>1513</v>
      </c>
      <c r="AT17" s="18" t="s">
        <v>1506</v>
      </c>
      <c r="AU17" s="18" t="s">
        <v>1507</v>
      </c>
      <c r="AV17" s="18" t="s">
        <v>1559</v>
      </c>
      <c r="AW17" s="30" t="s">
        <v>1562</v>
      </c>
      <c r="AX17" s="18" t="s">
        <v>928</v>
      </c>
      <c r="AY17" s="18" t="s">
        <v>1552</v>
      </c>
    </row>
    <row r="18" customFormat="false" ht="15" hidden="false" customHeight="true" outlineLevel="0" collapsed="false">
      <c r="A18" s="18" t="s">
        <v>914</v>
      </c>
      <c r="B18" s="18" t="s">
        <v>914</v>
      </c>
      <c r="C18" s="18" t="s">
        <v>915</v>
      </c>
      <c r="D18" s="18" t="n">
        <v>2020</v>
      </c>
      <c r="E18" s="18" t="s">
        <v>916</v>
      </c>
      <c r="F18" s="18" t="s">
        <v>815</v>
      </c>
      <c r="G18" s="18" t="s">
        <v>919</v>
      </c>
      <c r="H18" s="18" t="n">
        <v>28.4</v>
      </c>
      <c r="I18" s="18" t="n">
        <v>77.1</v>
      </c>
      <c r="J18" s="18" t="s">
        <v>83</v>
      </c>
      <c r="K18" s="18" t="s">
        <v>1504</v>
      </c>
      <c r="L18" s="18" t="s">
        <v>802</v>
      </c>
      <c r="M18" s="18" t="s">
        <v>85</v>
      </c>
      <c r="N18" s="18" t="s">
        <v>86</v>
      </c>
      <c r="O18" s="18" t="s">
        <v>1472</v>
      </c>
      <c r="P18" s="18"/>
      <c r="Q18" s="18" t="n">
        <f aca="false">ROUND((1-BD!Q18/2.65)*100,2)</f>
        <v>43.02</v>
      </c>
      <c r="R18" s="18"/>
      <c r="S18" s="18"/>
      <c r="T18" s="18"/>
      <c r="U18" s="18"/>
      <c r="V18" s="18" t="n">
        <f aca="false">ROUND((1-BD!V18/2.65)*100,2)</f>
        <v>47.17</v>
      </c>
      <c r="W18" s="18"/>
      <c r="X18" s="18"/>
      <c r="Y18" s="18"/>
      <c r="Z18" s="18"/>
      <c r="AA18" s="18"/>
      <c r="AB18" s="18" t="n">
        <v>2</v>
      </c>
      <c r="AC18" s="18" t="n">
        <v>3</v>
      </c>
      <c r="AD18" s="18" t="n">
        <f aca="false">IF(AND(N(AB18)&gt;0,N(AC18)&gt;0),SQRT(2*AB18/AC18),"")</f>
        <v>1.15470053837925</v>
      </c>
      <c r="AE18" s="18" t="n">
        <v>25.4</v>
      </c>
      <c r="AF18" s="18" t="n">
        <v>18</v>
      </c>
      <c r="AG18" s="18" t="n">
        <v>35.2</v>
      </c>
      <c r="AH18" s="18" t="n">
        <v>750</v>
      </c>
      <c r="AI18" s="18" t="n">
        <v>28.4</v>
      </c>
      <c r="AJ18" s="18" t="n">
        <v>12</v>
      </c>
      <c r="AK18" s="18"/>
      <c r="AL18" s="18"/>
      <c r="AM18" s="18" t="n">
        <v>8.45</v>
      </c>
      <c r="AN18" s="18" t="n">
        <v>5.1</v>
      </c>
      <c r="AO18" s="18" t="n">
        <v>1.5</v>
      </c>
      <c r="AP18" s="18" t="n">
        <v>52.1</v>
      </c>
      <c r="AQ18" s="18" t="n">
        <v>22.5</v>
      </c>
      <c r="AR18" s="18" t="s">
        <v>742</v>
      </c>
      <c r="AS18" s="18" t="s">
        <v>1515</v>
      </c>
      <c r="AT18" s="18" t="s">
        <v>1506</v>
      </c>
      <c r="AU18" s="18" t="s">
        <v>1507</v>
      </c>
      <c r="AV18" s="18" t="s">
        <v>1559</v>
      </c>
      <c r="AW18" s="30" t="s">
        <v>1563</v>
      </c>
      <c r="AX18" s="18" t="s">
        <v>928</v>
      </c>
      <c r="AY18" s="18" t="s">
        <v>1552</v>
      </c>
    </row>
    <row r="19" customFormat="false" ht="15" hidden="false" customHeight="true" outlineLevel="0" collapsed="false">
      <c r="A19" s="18" t="s">
        <v>914</v>
      </c>
      <c r="B19" s="18" t="s">
        <v>914</v>
      </c>
      <c r="C19" s="18" t="s">
        <v>915</v>
      </c>
      <c r="D19" s="18" t="n">
        <v>2020</v>
      </c>
      <c r="E19" s="18" t="s">
        <v>916</v>
      </c>
      <c r="F19" s="18" t="s">
        <v>815</v>
      </c>
      <c r="G19" s="18" t="s">
        <v>919</v>
      </c>
      <c r="H19" s="18" t="n">
        <v>28.4</v>
      </c>
      <c r="I19" s="18" t="n">
        <v>77.1</v>
      </c>
      <c r="J19" s="18" t="s">
        <v>83</v>
      </c>
      <c r="K19" s="18" t="s">
        <v>1504</v>
      </c>
      <c r="L19" s="18" t="s">
        <v>802</v>
      </c>
      <c r="M19" s="18" t="s">
        <v>85</v>
      </c>
      <c r="N19" s="18" t="s">
        <v>86</v>
      </c>
      <c r="O19" s="18" t="s">
        <v>1472</v>
      </c>
      <c r="P19" s="18"/>
      <c r="Q19" s="18" t="n">
        <f aca="false">ROUND((1-BD!Q19/2.65)*100,2)</f>
        <v>40.75</v>
      </c>
      <c r="R19" s="18"/>
      <c r="S19" s="18"/>
      <c r="T19" s="18"/>
      <c r="U19" s="18"/>
      <c r="V19" s="18" t="n">
        <f aca="false">ROUND((1-BD!V19/2.65)*100,2)</f>
        <v>43.77</v>
      </c>
      <c r="W19" s="18"/>
      <c r="X19" s="18"/>
      <c r="Y19" s="18"/>
      <c r="Z19" s="18"/>
      <c r="AA19" s="18"/>
      <c r="AB19" s="18" t="n">
        <v>2</v>
      </c>
      <c r="AC19" s="18" t="n">
        <v>3</v>
      </c>
      <c r="AD19" s="18" t="n">
        <f aca="false">IF(AND(N(AB19)&gt;0,N(AC19)&gt;0),SQRT(2*AB19/AC19),"")</f>
        <v>1.15470053837925</v>
      </c>
      <c r="AE19" s="18" t="n">
        <v>25.4</v>
      </c>
      <c r="AF19" s="18" t="n">
        <v>18</v>
      </c>
      <c r="AG19" s="18" t="n">
        <v>35.2</v>
      </c>
      <c r="AH19" s="18" t="n">
        <v>750</v>
      </c>
      <c r="AI19" s="18" t="n">
        <v>28.4</v>
      </c>
      <c r="AJ19" s="18" t="n">
        <v>12</v>
      </c>
      <c r="AK19" s="18"/>
      <c r="AL19" s="18"/>
      <c r="AM19" s="18" t="n">
        <v>8.45</v>
      </c>
      <c r="AN19" s="18" t="n">
        <v>5.1</v>
      </c>
      <c r="AO19" s="18" t="n">
        <v>1.5</v>
      </c>
      <c r="AP19" s="18" t="n">
        <v>52.1</v>
      </c>
      <c r="AQ19" s="18" t="n">
        <v>22.5</v>
      </c>
      <c r="AR19" s="18" t="s">
        <v>742</v>
      </c>
      <c r="AS19" s="18" t="s">
        <v>1517</v>
      </c>
      <c r="AT19" s="18" t="s">
        <v>1506</v>
      </c>
      <c r="AU19" s="18" t="s">
        <v>1507</v>
      </c>
      <c r="AV19" s="18" t="s">
        <v>1559</v>
      </c>
      <c r="AW19" s="30" t="s">
        <v>1564</v>
      </c>
      <c r="AX19" s="18" t="s">
        <v>928</v>
      </c>
      <c r="AY19" s="18" t="s">
        <v>1552</v>
      </c>
    </row>
    <row r="20" customFormat="false" ht="15" hidden="false" customHeight="true" outlineLevel="0" collapsed="false">
      <c r="A20" s="18" t="s">
        <v>914</v>
      </c>
      <c r="B20" s="18" t="s">
        <v>914</v>
      </c>
      <c r="C20" s="18" t="s">
        <v>915</v>
      </c>
      <c r="D20" s="18" t="n">
        <v>2020</v>
      </c>
      <c r="E20" s="18" t="s">
        <v>916</v>
      </c>
      <c r="F20" s="18" t="s">
        <v>815</v>
      </c>
      <c r="G20" s="18" t="s">
        <v>919</v>
      </c>
      <c r="H20" s="18" t="n">
        <v>28.4</v>
      </c>
      <c r="I20" s="18" t="n">
        <v>77.1</v>
      </c>
      <c r="J20" s="18" t="s">
        <v>83</v>
      </c>
      <c r="K20" s="18" t="s">
        <v>1504</v>
      </c>
      <c r="L20" s="18" t="s">
        <v>802</v>
      </c>
      <c r="M20" s="18" t="s">
        <v>85</v>
      </c>
      <c r="N20" s="18" t="s">
        <v>86</v>
      </c>
      <c r="O20" s="18" t="s">
        <v>1472</v>
      </c>
      <c r="P20" s="18"/>
      <c r="Q20" s="18" t="n">
        <f aca="false">ROUND((1-BD!Q20/2.65)*100,2)</f>
        <v>40.75</v>
      </c>
      <c r="R20" s="18"/>
      <c r="S20" s="18"/>
      <c r="T20" s="18"/>
      <c r="U20" s="18"/>
      <c r="V20" s="18" t="n">
        <f aca="false">ROUND((1-BD!V20/2.65)*100,2)</f>
        <v>45.66</v>
      </c>
      <c r="W20" s="18"/>
      <c r="X20" s="18"/>
      <c r="Y20" s="18"/>
      <c r="Z20" s="18"/>
      <c r="AA20" s="18"/>
      <c r="AB20" s="18" t="n">
        <v>2</v>
      </c>
      <c r="AC20" s="18" t="n">
        <v>3</v>
      </c>
      <c r="AD20" s="18" t="n">
        <f aca="false">IF(AND(N(AB20)&gt;0,N(AC20)&gt;0),SQRT(2*AB20/AC20),"")</f>
        <v>1.15470053837925</v>
      </c>
      <c r="AE20" s="18" t="n">
        <v>25.4</v>
      </c>
      <c r="AF20" s="18" t="n">
        <v>18</v>
      </c>
      <c r="AG20" s="18" t="n">
        <v>35.2</v>
      </c>
      <c r="AH20" s="18" t="n">
        <v>750</v>
      </c>
      <c r="AI20" s="18" t="n">
        <v>28.4</v>
      </c>
      <c r="AJ20" s="18" t="n">
        <v>12</v>
      </c>
      <c r="AK20" s="18"/>
      <c r="AL20" s="18"/>
      <c r="AM20" s="18" t="n">
        <v>8.45</v>
      </c>
      <c r="AN20" s="18" t="n">
        <v>5.1</v>
      </c>
      <c r="AO20" s="18" t="n">
        <v>1.5</v>
      </c>
      <c r="AP20" s="18" t="n">
        <v>52.1</v>
      </c>
      <c r="AQ20" s="18" t="n">
        <v>22.5</v>
      </c>
      <c r="AR20" s="18" t="s">
        <v>742</v>
      </c>
      <c r="AS20" s="18" t="s">
        <v>1519</v>
      </c>
      <c r="AT20" s="18" t="s">
        <v>1506</v>
      </c>
      <c r="AU20" s="18" t="s">
        <v>1507</v>
      </c>
      <c r="AV20" s="18" t="s">
        <v>1559</v>
      </c>
      <c r="AW20" s="30" t="s">
        <v>1565</v>
      </c>
      <c r="AX20" s="18" t="s">
        <v>928</v>
      </c>
      <c r="AY20" s="18" t="s">
        <v>1552</v>
      </c>
    </row>
    <row r="21" customFormat="false" ht="15" hidden="false" customHeight="true" outlineLevel="0" collapsed="false">
      <c r="A21" s="18" t="s">
        <v>914</v>
      </c>
      <c r="B21" s="18" t="s">
        <v>914</v>
      </c>
      <c r="C21" s="18" t="s">
        <v>915</v>
      </c>
      <c r="D21" s="18" t="n">
        <v>2020</v>
      </c>
      <c r="E21" s="18" t="s">
        <v>916</v>
      </c>
      <c r="F21" s="18" t="s">
        <v>815</v>
      </c>
      <c r="G21" s="18" t="s">
        <v>919</v>
      </c>
      <c r="H21" s="18" t="n">
        <v>28.4</v>
      </c>
      <c r="I21" s="18" t="n">
        <v>77.1</v>
      </c>
      <c r="J21" s="18" t="s">
        <v>83</v>
      </c>
      <c r="K21" s="18" t="s">
        <v>1504</v>
      </c>
      <c r="L21" s="18" t="s">
        <v>802</v>
      </c>
      <c r="M21" s="18" t="s">
        <v>85</v>
      </c>
      <c r="N21" s="18" t="s">
        <v>86</v>
      </c>
      <c r="O21" s="18" t="s">
        <v>1472</v>
      </c>
      <c r="P21" s="18"/>
      <c r="Q21" s="18" t="n">
        <f aca="false">ROUND((1-BD!Q21/2.65)*100,2)</f>
        <v>42.26</v>
      </c>
      <c r="R21" s="18"/>
      <c r="S21" s="18"/>
      <c r="T21" s="18"/>
      <c r="U21" s="18"/>
      <c r="V21" s="18" t="n">
        <f aca="false">ROUND((1-BD!V21/2.65)*100,2)</f>
        <v>44.91</v>
      </c>
      <c r="W21" s="18"/>
      <c r="X21" s="18"/>
      <c r="Y21" s="18"/>
      <c r="Z21" s="18"/>
      <c r="AA21" s="18"/>
      <c r="AB21" s="18" t="n">
        <v>2</v>
      </c>
      <c r="AC21" s="18" t="n">
        <v>3</v>
      </c>
      <c r="AD21" s="18" t="n">
        <f aca="false">IF(AND(N(AB21)&gt;0,N(AC21)&gt;0),SQRT(2*AB21/AC21),"")</f>
        <v>1.15470053837925</v>
      </c>
      <c r="AE21" s="18" t="n">
        <v>25.4</v>
      </c>
      <c r="AF21" s="18" t="n">
        <v>18</v>
      </c>
      <c r="AG21" s="18" t="n">
        <v>35.2</v>
      </c>
      <c r="AH21" s="18" t="n">
        <v>750</v>
      </c>
      <c r="AI21" s="18" t="n">
        <v>28.4</v>
      </c>
      <c r="AJ21" s="18" t="n">
        <v>12</v>
      </c>
      <c r="AK21" s="18"/>
      <c r="AL21" s="18"/>
      <c r="AM21" s="18" t="n">
        <v>8.45</v>
      </c>
      <c r="AN21" s="18" t="n">
        <v>5.1</v>
      </c>
      <c r="AO21" s="18" t="n">
        <v>1.5</v>
      </c>
      <c r="AP21" s="18" t="n">
        <v>52.1</v>
      </c>
      <c r="AQ21" s="18" t="n">
        <v>22.5</v>
      </c>
      <c r="AR21" s="18" t="s">
        <v>742</v>
      </c>
      <c r="AS21" s="18" t="s">
        <v>1521</v>
      </c>
      <c r="AT21" s="18" t="s">
        <v>1506</v>
      </c>
      <c r="AU21" s="18" t="s">
        <v>1507</v>
      </c>
      <c r="AV21" s="18" t="s">
        <v>1559</v>
      </c>
      <c r="AW21" s="30" t="s">
        <v>1566</v>
      </c>
      <c r="AX21" s="18" t="s">
        <v>928</v>
      </c>
      <c r="AY21" s="18" t="s">
        <v>1552</v>
      </c>
    </row>
    <row r="22" customFormat="false" ht="15" hidden="false" customHeight="true" outlineLevel="0" collapsed="false">
      <c r="A22" s="18" t="s">
        <v>914</v>
      </c>
      <c r="B22" s="18" t="s">
        <v>914</v>
      </c>
      <c r="C22" s="18" t="s">
        <v>915</v>
      </c>
      <c r="D22" s="18" t="n">
        <v>2020</v>
      </c>
      <c r="E22" s="18" t="s">
        <v>916</v>
      </c>
      <c r="F22" s="18" t="s">
        <v>815</v>
      </c>
      <c r="G22" s="18" t="s">
        <v>919</v>
      </c>
      <c r="H22" s="18" t="n">
        <v>28.4</v>
      </c>
      <c r="I22" s="18" t="n">
        <v>77.1</v>
      </c>
      <c r="J22" s="18" t="s">
        <v>83</v>
      </c>
      <c r="K22" s="18" t="s">
        <v>1504</v>
      </c>
      <c r="L22" s="18" t="s">
        <v>802</v>
      </c>
      <c r="M22" s="18" t="s">
        <v>85</v>
      </c>
      <c r="N22" s="18" t="s">
        <v>86</v>
      </c>
      <c r="O22" s="18" t="s">
        <v>1472</v>
      </c>
      <c r="P22" s="18"/>
      <c r="Q22" s="18" t="n">
        <f aca="false">ROUND((1-BD!Q22/2.65)*100,2)</f>
        <v>42.26</v>
      </c>
      <c r="R22" s="18"/>
      <c r="S22" s="18"/>
      <c r="T22" s="18"/>
      <c r="U22" s="18"/>
      <c r="V22" s="18" t="n">
        <f aca="false">ROUND((1-BD!V22/2.65)*100,2)</f>
        <v>46.79</v>
      </c>
      <c r="W22" s="18"/>
      <c r="X22" s="18"/>
      <c r="Y22" s="18"/>
      <c r="Z22" s="18"/>
      <c r="AA22" s="18"/>
      <c r="AB22" s="18" t="n">
        <v>2</v>
      </c>
      <c r="AC22" s="18" t="n">
        <v>3</v>
      </c>
      <c r="AD22" s="18" t="n">
        <f aca="false">IF(AND(N(AB22)&gt;0,N(AC22)&gt;0),SQRT(2*AB22/AC22),"")</f>
        <v>1.15470053837925</v>
      </c>
      <c r="AE22" s="18" t="n">
        <v>25.4</v>
      </c>
      <c r="AF22" s="18" t="n">
        <v>18</v>
      </c>
      <c r="AG22" s="18" t="n">
        <v>35.2</v>
      </c>
      <c r="AH22" s="18" t="n">
        <v>750</v>
      </c>
      <c r="AI22" s="18" t="n">
        <v>28.4</v>
      </c>
      <c r="AJ22" s="18" t="n">
        <v>12</v>
      </c>
      <c r="AK22" s="18"/>
      <c r="AL22" s="18"/>
      <c r="AM22" s="18" t="n">
        <v>8.45</v>
      </c>
      <c r="AN22" s="18" t="n">
        <v>5.1</v>
      </c>
      <c r="AO22" s="18" t="n">
        <v>1.5</v>
      </c>
      <c r="AP22" s="18" t="n">
        <v>52.1</v>
      </c>
      <c r="AQ22" s="18" t="n">
        <v>22.5</v>
      </c>
      <c r="AR22" s="18" t="s">
        <v>742</v>
      </c>
      <c r="AS22" s="18" t="s">
        <v>1523</v>
      </c>
      <c r="AT22" s="18" t="s">
        <v>1506</v>
      </c>
      <c r="AU22" s="18" t="s">
        <v>1507</v>
      </c>
      <c r="AV22" s="18" t="s">
        <v>1559</v>
      </c>
      <c r="AW22" s="30" t="s">
        <v>1567</v>
      </c>
      <c r="AX22" s="18" t="s">
        <v>928</v>
      </c>
      <c r="AY22" s="18" t="s">
        <v>1552</v>
      </c>
    </row>
    <row r="23" customFormat="false" ht="15" hidden="false" customHeight="true" outlineLevel="0" collapsed="false"/>
    <row r="24" customFormat="false" ht="15" hidden="false" customHeight="true" outlineLevel="0" collapsed="false"/>
    <row r="25" customFormat="false" ht="15" hidden="false" customHeight="true" outlineLevel="0" collapsed="false"/>
    <row r="26" customFormat="false" ht="15" hidden="false" customHeight="true" outlineLevel="0" collapsed="false"/>
    <row r="27" customFormat="false" ht="15" hidden="false" customHeight="true" outlineLevel="0" collapsed="false"/>
    <row r="28" customFormat="false" ht="15" hidden="false" customHeight="true" outlineLevel="0" collapsed="false"/>
    <row r="29" customFormat="false" ht="15" hidden="false" customHeight="true" outlineLevel="0" collapsed="false"/>
    <row r="30" customFormat="false" ht="15" hidden="false" customHeight="true" outlineLevel="0" collapsed="false"/>
    <row r="31" customFormat="false" ht="15" hidden="false" customHeight="true" outlineLevel="0" collapsed="false"/>
    <row r="32" customFormat="false" ht="15" hidden="false" customHeight="true" outlineLevel="0" collapsed="false"/>
    <row r="3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1568</v>
      </c>
      <c r="Q1" s="25" t="s">
        <v>1569</v>
      </c>
      <c r="R1" s="25" t="s">
        <v>1570</v>
      </c>
      <c r="S1" s="25" t="s">
        <v>1571</v>
      </c>
      <c r="T1" s="25" t="s">
        <v>1572</v>
      </c>
      <c r="U1" s="25" t="s">
        <v>1573</v>
      </c>
      <c r="V1" s="25" t="s">
        <v>1574</v>
      </c>
      <c r="W1" s="25" t="s">
        <v>1575</v>
      </c>
      <c r="X1" s="28" t="s">
        <v>1576</v>
      </c>
      <c r="Y1" s="28" t="s">
        <v>1577</v>
      </c>
      <c r="Z1" s="28" t="s">
        <v>1578</v>
      </c>
      <c r="AA1" s="28" t="s">
        <v>1579</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BA2" s="31" t="s">
        <v>742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1580</v>
      </c>
      <c r="Q1" s="25" t="s">
        <v>1581</v>
      </c>
      <c r="R1" s="25" t="s">
        <v>1582</v>
      </c>
      <c r="S1" s="25" t="s">
        <v>1583</v>
      </c>
      <c r="T1" s="25" t="s">
        <v>1584</v>
      </c>
      <c r="U1" s="25" t="s">
        <v>1585</v>
      </c>
      <c r="V1" s="25" t="s">
        <v>1586</v>
      </c>
      <c r="W1" s="25" t="s">
        <v>1587</v>
      </c>
      <c r="X1" s="28" t="s">
        <v>1588</v>
      </c>
      <c r="Y1" s="28" t="s">
        <v>1589</v>
      </c>
      <c r="Z1" s="28" t="s">
        <v>1590</v>
      </c>
      <c r="AA1" s="28" t="s">
        <v>1591</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BA2" s="31" t="s">
        <v>742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1592</v>
      </c>
      <c r="Q1" s="25" t="s">
        <v>1593</v>
      </c>
      <c r="R1" s="25" t="s">
        <v>1594</v>
      </c>
      <c r="S1" s="25" t="s">
        <v>1595</v>
      </c>
      <c r="T1" s="25" t="s">
        <v>1596</v>
      </c>
      <c r="U1" s="25" t="s">
        <v>1597</v>
      </c>
      <c r="V1" s="25" t="s">
        <v>1598</v>
      </c>
      <c r="W1" s="25" t="s">
        <v>1599</v>
      </c>
      <c r="X1" s="28" t="s">
        <v>1600</v>
      </c>
      <c r="Y1" s="28" t="s">
        <v>1601</v>
      </c>
      <c r="Z1" s="28" t="s">
        <v>1602</v>
      </c>
      <c r="AA1" s="28" t="s">
        <v>1603</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BA2" s="31" t="s">
        <v>742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32" activeCellId="0" sqref="A32"/>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1604</v>
      </c>
      <c r="Q1" s="25" t="s">
        <v>1605</v>
      </c>
      <c r="R1" s="25" t="s">
        <v>1606</v>
      </c>
      <c r="S1" s="25" t="s">
        <v>1607</v>
      </c>
      <c r="T1" s="25" t="s">
        <v>1608</v>
      </c>
      <c r="U1" s="25" t="s">
        <v>1609</v>
      </c>
      <c r="V1" s="25" t="s">
        <v>1610</v>
      </c>
      <c r="W1" s="25" t="s">
        <v>1611</v>
      </c>
      <c r="X1" s="28" t="s">
        <v>1612</v>
      </c>
      <c r="Y1" s="28" t="s">
        <v>1613</v>
      </c>
      <c r="Z1" s="28" t="s">
        <v>1614</v>
      </c>
      <c r="AA1" s="28" t="s">
        <v>1615</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A2" s="18" t="n">
        <v>168</v>
      </c>
      <c r="B2" s="18" t="n">
        <v>168</v>
      </c>
      <c r="C2" s="18" t="s">
        <v>862</v>
      </c>
      <c r="D2" s="18" t="n">
        <v>2020</v>
      </c>
      <c r="E2" s="18" t="s">
        <v>863</v>
      </c>
      <c r="F2" s="18" t="s">
        <v>866</v>
      </c>
      <c r="G2" s="18" t="s">
        <v>867</v>
      </c>
      <c r="H2" s="18" t="n">
        <v>30.933</v>
      </c>
      <c r="I2" s="18" t="n">
        <v>75.867</v>
      </c>
      <c r="J2" s="18" t="s">
        <v>870</v>
      </c>
      <c r="K2" s="18" t="n">
        <v>2016</v>
      </c>
      <c r="L2" s="18" t="s">
        <v>84</v>
      </c>
      <c r="M2" s="18" t="s">
        <v>85</v>
      </c>
      <c r="N2" s="18" t="s">
        <v>86</v>
      </c>
      <c r="O2" s="18" t="s">
        <v>1472</v>
      </c>
      <c r="P2" s="18" t="n">
        <v>1.33</v>
      </c>
      <c r="Q2" s="18" t="n">
        <v>0.46</v>
      </c>
      <c r="R2" s="18" t="n">
        <v>0.99</v>
      </c>
      <c r="S2" s="18"/>
      <c r="T2" s="18"/>
      <c r="U2" s="18"/>
      <c r="V2" s="18" t="n">
        <v>1.21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978</v>
      </c>
      <c r="AS2" s="18" t="s">
        <v>1473</v>
      </c>
      <c r="AT2" s="18" t="s">
        <v>1474</v>
      </c>
      <c r="AU2" s="18" t="s">
        <v>1475</v>
      </c>
      <c r="AV2" s="18" t="s">
        <v>1508</v>
      </c>
      <c r="AW2" s="30" t="s">
        <v>1616</v>
      </c>
      <c r="AX2" s="18" t="s">
        <v>877</v>
      </c>
      <c r="AY2" s="18" t="s">
        <v>1617</v>
      </c>
      <c r="BA2" s="31" t="s">
        <v>978</v>
      </c>
    </row>
    <row r="3" customFormat="false" ht="15" hidden="false" customHeight="true" outlineLevel="0" collapsed="false">
      <c r="A3" s="18" t="n">
        <v>168</v>
      </c>
      <c r="B3" s="18" t="n">
        <v>168</v>
      </c>
      <c r="C3" s="18" t="s">
        <v>862</v>
      </c>
      <c r="D3" s="18" t="n">
        <v>2020</v>
      </c>
      <c r="E3" s="18" t="s">
        <v>863</v>
      </c>
      <c r="F3" s="18" t="s">
        <v>866</v>
      </c>
      <c r="G3" s="18" t="s">
        <v>867</v>
      </c>
      <c r="H3" s="18" t="n">
        <v>30.933</v>
      </c>
      <c r="I3" s="18" t="n">
        <v>75.867</v>
      </c>
      <c r="J3" s="18" t="s">
        <v>870</v>
      </c>
      <c r="K3" s="18" t="n">
        <v>2016</v>
      </c>
      <c r="L3" s="18" t="s">
        <v>84</v>
      </c>
      <c r="M3" s="18" t="s">
        <v>85</v>
      </c>
      <c r="N3" s="18" t="s">
        <v>1479</v>
      </c>
      <c r="O3" s="18" t="s">
        <v>1480</v>
      </c>
      <c r="P3" s="18" t="n">
        <v>0.5</v>
      </c>
      <c r="Q3" s="18" t="n">
        <v>0.35</v>
      </c>
      <c r="R3" s="18" t="n">
        <v>0.42</v>
      </c>
      <c r="S3" s="18"/>
      <c r="T3" s="18"/>
      <c r="U3" s="18"/>
      <c r="V3" s="18" t="n">
        <v>0.27</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978</v>
      </c>
      <c r="AS3" s="18" t="s">
        <v>1473</v>
      </c>
      <c r="AT3" s="18" t="s">
        <v>1474</v>
      </c>
      <c r="AU3" s="18" t="s">
        <v>1475</v>
      </c>
      <c r="AV3" s="18" t="s">
        <v>1508</v>
      </c>
      <c r="AW3" s="30" t="s">
        <v>1616</v>
      </c>
      <c r="AX3" s="18" t="s">
        <v>877</v>
      </c>
      <c r="AY3" s="18" t="s">
        <v>1617</v>
      </c>
    </row>
    <row r="4" customFormat="false" ht="15" hidden="false" customHeight="true" outlineLevel="0" collapsed="false">
      <c r="A4" s="5" t="n">
        <v>166</v>
      </c>
      <c r="B4" s="5" t="n">
        <v>166</v>
      </c>
      <c r="C4" s="5" t="s">
        <v>832</v>
      </c>
      <c r="D4" s="5" t="n">
        <v>2014</v>
      </c>
      <c r="E4" s="5" t="s">
        <v>833</v>
      </c>
      <c r="F4" s="5" t="s">
        <v>836</v>
      </c>
      <c r="G4" s="5" t="s">
        <v>837</v>
      </c>
      <c r="H4" s="5" t="n">
        <v>29.067</v>
      </c>
      <c r="I4" s="5" t="n">
        <v>77.767</v>
      </c>
      <c r="J4" s="5" t="s">
        <v>83</v>
      </c>
      <c r="K4" s="5" t="n">
        <v>2011</v>
      </c>
      <c r="L4" s="5" t="s">
        <v>802</v>
      </c>
      <c r="M4" s="5" t="s">
        <v>85</v>
      </c>
      <c r="N4" s="5" t="s">
        <v>86</v>
      </c>
      <c r="O4" s="5" t="s">
        <v>1618</v>
      </c>
      <c r="P4" s="5"/>
      <c r="Q4" s="5" t="n">
        <v>1.41</v>
      </c>
      <c r="R4" s="5"/>
      <c r="S4" s="5"/>
      <c r="T4" s="5"/>
      <c r="U4" s="5"/>
      <c r="V4" s="5" t="n">
        <v>2.36</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1619</v>
      </c>
      <c r="AS4" s="5" t="s">
        <v>1620</v>
      </c>
      <c r="AT4" s="5" t="s">
        <v>1621</v>
      </c>
      <c r="AU4" s="5" t="s">
        <v>1622</v>
      </c>
      <c r="AV4" s="5" t="s">
        <v>1623</v>
      </c>
      <c r="AW4" s="23" t="s">
        <v>1624</v>
      </c>
      <c r="AX4" s="5" t="s">
        <v>848</v>
      </c>
      <c r="AY4" s="5" t="s">
        <v>1625</v>
      </c>
    </row>
    <row r="5" customFormat="false" ht="15" hidden="false" customHeight="true" outlineLevel="0" collapsed="false">
      <c r="A5" s="5" t="n">
        <v>166</v>
      </c>
      <c r="B5" s="5" t="n">
        <v>166</v>
      </c>
      <c r="C5" s="5" t="s">
        <v>832</v>
      </c>
      <c r="D5" s="5" t="n">
        <v>2014</v>
      </c>
      <c r="E5" s="5" t="s">
        <v>833</v>
      </c>
      <c r="F5" s="5" t="s">
        <v>836</v>
      </c>
      <c r="G5" s="5" t="s">
        <v>837</v>
      </c>
      <c r="H5" s="5" t="n">
        <v>29.067</v>
      </c>
      <c r="I5" s="5" t="n">
        <v>77.767</v>
      </c>
      <c r="J5" s="5" t="s">
        <v>83</v>
      </c>
      <c r="K5" s="5" t="n">
        <v>2011</v>
      </c>
      <c r="L5" s="5" t="s">
        <v>802</v>
      </c>
      <c r="M5" s="5" t="s">
        <v>85</v>
      </c>
      <c r="N5" s="5" t="s">
        <v>86</v>
      </c>
      <c r="O5" s="5" t="s">
        <v>1618</v>
      </c>
      <c r="P5" s="5"/>
      <c r="Q5" s="5" t="n">
        <v>3.86</v>
      </c>
      <c r="R5" s="5"/>
      <c r="S5" s="5"/>
      <c r="T5" s="5"/>
      <c r="U5" s="5"/>
      <c r="V5" s="5" t="n">
        <v>4.32</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1626</v>
      </c>
      <c r="AS5" s="5" t="s">
        <v>1620</v>
      </c>
      <c r="AT5" s="5" t="s">
        <v>1621</v>
      </c>
      <c r="AU5" s="5" t="s">
        <v>1622</v>
      </c>
      <c r="AV5" s="5" t="s">
        <v>1627</v>
      </c>
      <c r="AW5" s="23" t="s">
        <v>1628</v>
      </c>
      <c r="AX5" s="5" t="s">
        <v>848</v>
      </c>
      <c r="AY5" s="5" t="s">
        <v>1629</v>
      </c>
    </row>
    <row r="6" customFormat="false" ht="15" hidden="false" customHeight="true" outlineLevel="0" collapsed="false">
      <c r="A6" s="5" t="n">
        <v>166</v>
      </c>
      <c r="B6" s="5" t="n">
        <v>166</v>
      </c>
      <c r="C6" s="5" t="s">
        <v>832</v>
      </c>
      <c r="D6" s="5" t="n">
        <v>2014</v>
      </c>
      <c r="E6" s="5" t="s">
        <v>833</v>
      </c>
      <c r="F6" s="5" t="s">
        <v>836</v>
      </c>
      <c r="G6" s="5" t="s">
        <v>837</v>
      </c>
      <c r="H6" s="5" t="n">
        <v>29.067</v>
      </c>
      <c r="I6" s="5" t="n">
        <v>77.767</v>
      </c>
      <c r="J6" s="5" t="s">
        <v>83</v>
      </c>
      <c r="K6" s="5" t="n">
        <v>2011</v>
      </c>
      <c r="L6" s="5" t="s">
        <v>802</v>
      </c>
      <c r="M6" s="5" t="s">
        <v>85</v>
      </c>
      <c r="N6" s="5" t="s">
        <v>86</v>
      </c>
      <c r="O6" s="5" t="s">
        <v>1630</v>
      </c>
      <c r="P6" s="5"/>
      <c r="Q6" s="5" t="n">
        <v>1.17</v>
      </c>
      <c r="R6" s="5"/>
      <c r="S6" s="5"/>
      <c r="T6" s="5"/>
      <c r="U6" s="5"/>
      <c r="V6" s="5" t="n">
        <v>1.64</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1619</v>
      </c>
      <c r="AS6" s="5" t="s">
        <v>1620</v>
      </c>
      <c r="AT6" s="5" t="s">
        <v>1621</v>
      </c>
      <c r="AU6" s="5" t="s">
        <v>1622</v>
      </c>
      <c r="AV6" s="5" t="s">
        <v>1623</v>
      </c>
      <c r="AW6" s="23" t="s">
        <v>1624</v>
      </c>
      <c r="AX6" s="5" t="s">
        <v>848</v>
      </c>
      <c r="AY6" s="5" t="s">
        <v>1625</v>
      </c>
    </row>
    <row r="7" customFormat="false" ht="15" hidden="false" customHeight="true" outlineLevel="0" collapsed="false">
      <c r="A7" s="5" t="n">
        <v>166</v>
      </c>
      <c r="B7" s="5" t="n">
        <v>166</v>
      </c>
      <c r="C7" s="5" t="s">
        <v>832</v>
      </c>
      <c r="D7" s="5" t="n">
        <v>2014</v>
      </c>
      <c r="E7" s="5" t="s">
        <v>833</v>
      </c>
      <c r="F7" s="5" t="s">
        <v>836</v>
      </c>
      <c r="G7" s="5" t="s">
        <v>837</v>
      </c>
      <c r="H7" s="5" t="n">
        <v>29.067</v>
      </c>
      <c r="I7" s="5" t="n">
        <v>77.767</v>
      </c>
      <c r="J7" s="5" t="s">
        <v>83</v>
      </c>
      <c r="K7" s="5" t="n">
        <v>2011</v>
      </c>
      <c r="L7" s="5" t="s">
        <v>802</v>
      </c>
      <c r="M7" s="5" t="s">
        <v>85</v>
      </c>
      <c r="N7" s="5" t="s">
        <v>86</v>
      </c>
      <c r="O7" s="5" t="s">
        <v>1630</v>
      </c>
      <c r="P7" s="5"/>
      <c r="Q7" s="5" t="n">
        <v>3.65</v>
      </c>
      <c r="R7" s="5"/>
      <c r="S7" s="5"/>
      <c r="T7" s="5"/>
      <c r="U7" s="5"/>
      <c r="V7" s="5" t="n">
        <v>3.93</v>
      </c>
      <c r="W7" s="5"/>
      <c r="X7" s="5"/>
      <c r="Y7" s="5"/>
      <c r="Z7" s="5"/>
      <c r="AA7" s="5"/>
      <c r="AB7" s="5" t="n">
        <v>2</v>
      </c>
      <c r="AC7" s="5" t="n">
        <v>3</v>
      </c>
      <c r="AD7" s="5" t="n">
        <f aca="false">IF(AND(N(AB7)&gt;0,N(AC7)&gt;0),SQRT(2*AB7/AC7),"")</f>
        <v>1.15470053837925</v>
      </c>
      <c r="AE7" s="5" t="n">
        <v>27</v>
      </c>
      <c r="AF7" s="5" t="n">
        <v>5</v>
      </c>
      <c r="AG7" s="5" t="n">
        <v>45.5</v>
      </c>
      <c r="AH7" s="5" t="n">
        <v>863</v>
      </c>
      <c r="AI7" s="5" t="n">
        <v>29.067</v>
      </c>
      <c r="AJ7" s="5" t="n">
        <v>18</v>
      </c>
      <c r="AK7" s="5"/>
      <c r="AL7" s="5"/>
      <c r="AM7" s="5" t="n">
        <v>7.98</v>
      </c>
      <c r="AN7" s="5" t="n">
        <v>4.1</v>
      </c>
      <c r="AO7" s="5" t="n">
        <v>1.55</v>
      </c>
      <c r="AP7" s="5" t="n">
        <v>55</v>
      </c>
      <c r="AQ7" s="5" t="n">
        <v>18</v>
      </c>
      <c r="AR7" s="5" t="s">
        <v>1626</v>
      </c>
      <c r="AS7" s="5" t="s">
        <v>1620</v>
      </c>
      <c r="AT7" s="5" t="s">
        <v>1621</v>
      </c>
      <c r="AU7" s="5" t="s">
        <v>1622</v>
      </c>
      <c r="AV7" s="5" t="s">
        <v>1627</v>
      </c>
      <c r="AW7" s="23" t="s">
        <v>1628</v>
      </c>
      <c r="AX7" s="5" t="s">
        <v>848</v>
      </c>
      <c r="AY7" s="5" t="s">
        <v>1629</v>
      </c>
    </row>
    <row r="8" customFormat="false" ht="15" hidden="false" customHeight="true" outlineLevel="0" collapsed="false">
      <c r="A8" s="5" t="n">
        <v>166</v>
      </c>
      <c r="B8" s="5" t="n">
        <v>166</v>
      </c>
      <c r="C8" s="5" t="s">
        <v>832</v>
      </c>
      <c r="D8" s="5" t="n">
        <v>2014</v>
      </c>
      <c r="E8" s="5" t="s">
        <v>833</v>
      </c>
      <c r="F8" s="5" t="s">
        <v>836</v>
      </c>
      <c r="G8" s="5" t="s">
        <v>837</v>
      </c>
      <c r="H8" s="5" t="n">
        <v>29.067</v>
      </c>
      <c r="I8" s="5" t="n">
        <v>77.767</v>
      </c>
      <c r="J8" s="5" t="s">
        <v>83</v>
      </c>
      <c r="K8" s="5" t="n">
        <v>2011</v>
      </c>
      <c r="L8" s="5" t="s">
        <v>802</v>
      </c>
      <c r="M8" s="5" t="s">
        <v>85</v>
      </c>
      <c r="N8" s="5" t="s">
        <v>1479</v>
      </c>
      <c r="O8" s="5" t="s">
        <v>1480</v>
      </c>
      <c r="P8" s="5"/>
      <c r="Q8" s="5" t="n">
        <v>0.93</v>
      </c>
      <c r="R8" s="5"/>
      <c r="S8" s="5"/>
      <c r="T8" s="5"/>
      <c r="U8" s="5"/>
      <c r="V8" s="5" t="n">
        <v>1.62</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1619</v>
      </c>
      <c r="AS8" s="5" t="s">
        <v>1620</v>
      </c>
      <c r="AT8" s="5" t="s">
        <v>1621</v>
      </c>
      <c r="AU8" s="5" t="s">
        <v>1622</v>
      </c>
      <c r="AV8" s="5" t="s">
        <v>1623</v>
      </c>
      <c r="AW8" s="23" t="s">
        <v>1631</v>
      </c>
      <c r="AX8" s="5" t="s">
        <v>848</v>
      </c>
      <c r="AY8" s="5" t="s">
        <v>1625</v>
      </c>
    </row>
    <row r="9" customFormat="false" ht="15" hidden="false" customHeight="true" outlineLevel="0" collapsed="false">
      <c r="A9" s="5" t="n">
        <v>166</v>
      </c>
      <c r="B9" s="5" t="n">
        <v>166</v>
      </c>
      <c r="C9" s="5" t="s">
        <v>832</v>
      </c>
      <c r="D9" s="5" t="n">
        <v>2014</v>
      </c>
      <c r="E9" s="5" t="s">
        <v>833</v>
      </c>
      <c r="F9" s="5" t="s">
        <v>836</v>
      </c>
      <c r="G9" s="5" t="s">
        <v>837</v>
      </c>
      <c r="H9" s="5" t="n">
        <v>29.067</v>
      </c>
      <c r="I9" s="5" t="n">
        <v>77.767</v>
      </c>
      <c r="J9" s="5" t="s">
        <v>83</v>
      </c>
      <c r="K9" s="5" t="n">
        <v>2011</v>
      </c>
      <c r="L9" s="5" t="s">
        <v>802</v>
      </c>
      <c r="M9" s="5" t="s">
        <v>85</v>
      </c>
      <c r="N9" s="5" t="s">
        <v>1479</v>
      </c>
      <c r="O9" s="5" t="s">
        <v>1480</v>
      </c>
      <c r="P9" s="5"/>
      <c r="Q9" s="5" t="n">
        <v>3.38</v>
      </c>
      <c r="R9" s="5"/>
      <c r="S9" s="5"/>
      <c r="T9" s="5"/>
      <c r="U9" s="5"/>
      <c r="V9" s="5" t="n">
        <v>3.85</v>
      </c>
      <c r="W9" s="5"/>
      <c r="X9" s="5"/>
      <c r="Y9" s="5"/>
      <c r="Z9" s="5"/>
      <c r="AA9" s="5"/>
      <c r="AB9" s="5" t="n">
        <v>1</v>
      </c>
      <c r="AC9" s="5" t="n">
        <v>3</v>
      </c>
      <c r="AD9" s="5" t="n">
        <f aca="false">IF(AND(N(AB9)&gt;0,N(AC9)&gt;0),SQRT(2*AB9/AC9),"")</f>
        <v>0.816496580927726</v>
      </c>
      <c r="AE9" s="5" t="n">
        <v>27</v>
      </c>
      <c r="AF9" s="5" t="n">
        <v>5</v>
      </c>
      <c r="AG9" s="5" t="n">
        <v>45.5</v>
      </c>
      <c r="AH9" s="5" t="n">
        <v>863</v>
      </c>
      <c r="AI9" s="5" t="n">
        <v>29.067</v>
      </c>
      <c r="AJ9" s="5" t="n">
        <v>18</v>
      </c>
      <c r="AK9" s="5"/>
      <c r="AL9" s="5"/>
      <c r="AM9" s="5" t="n">
        <v>7.98</v>
      </c>
      <c r="AN9" s="5" t="n">
        <v>4.1</v>
      </c>
      <c r="AO9" s="5" t="n">
        <v>1.55</v>
      </c>
      <c r="AP9" s="5" t="n">
        <v>55</v>
      </c>
      <c r="AQ9" s="5" t="n">
        <v>18</v>
      </c>
      <c r="AR9" s="5" t="s">
        <v>1626</v>
      </c>
      <c r="AS9" s="5" t="s">
        <v>1620</v>
      </c>
      <c r="AT9" s="5" t="s">
        <v>1621</v>
      </c>
      <c r="AU9" s="5" t="s">
        <v>1622</v>
      </c>
      <c r="AV9" s="5" t="s">
        <v>1627</v>
      </c>
      <c r="AW9" s="23" t="s">
        <v>1632</v>
      </c>
      <c r="AX9" s="5" t="s">
        <v>848</v>
      </c>
      <c r="AY9" s="5" t="s">
        <v>1629</v>
      </c>
    </row>
    <row r="10" customFormat="false" ht="15" hidden="false" customHeight="true" outlineLevel="0" collapsed="false">
      <c r="A10" s="5" t="s">
        <v>931</v>
      </c>
      <c r="B10" s="5" t="s">
        <v>931</v>
      </c>
      <c r="C10" s="5" t="s">
        <v>932</v>
      </c>
      <c r="D10" s="5" t="n">
        <v>2023</v>
      </c>
      <c r="E10" s="5" t="s">
        <v>933</v>
      </c>
      <c r="F10" s="5" t="s">
        <v>936</v>
      </c>
      <c r="G10" s="5" t="s">
        <v>937</v>
      </c>
      <c r="H10" s="5" t="n">
        <v>35.27</v>
      </c>
      <c r="I10" s="5" t="n">
        <v>119.38</v>
      </c>
      <c r="J10" s="5" t="s">
        <v>870</v>
      </c>
      <c r="K10" s="5" t="n">
        <v>2020</v>
      </c>
      <c r="L10" s="5" t="s">
        <v>821</v>
      </c>
      <c r="M10" s="5"/>
      <c r="N10" s="5" t="s">
        <v>86</v>
      </c>
      <c r="O10" s="5" t="s">
        <v>1491</v>
      </c>
      <c r="P10" s="5" t="n">
        <v>0.54</v>
      </c>
      <c r="Q10" s="5"/>
      <c r="R10" s="5"/>
      <c r="S10" s="5"/>
      <c r="T10" s="5"/>
      <c r="U10" s="5"/>
      <c r="V10" s="5"/>
      <c r="W10" s="5"/>
      <c r="X10" s="5" t="n">
        <v>0.38</v>
      </c>
      <c r="Y10" s="5"/>
      <c r="Z10" s="5"/>
      <c r="AA10" s="5"/>
      <c r="AB10" s="5" t="n">
        <v>1</v>
      </c>
      <c r="AC10" s="5" t="n">
        <v>3</v>
      </c>
      <c r="AD10" s="5" t="n">
        <f aca="false">IF(AND(N(AB10)&gt;0,N(AC10)&gt;0),SQRT(2*AB10/AC10),"")</f>
        <v>0.816496580927726</v>
      </c>
      <c r="AE10" s="5"/>
      <c r="AF10" s="5"/>
      <c r="AG10" s="5"/>
      <c r="AH10" s="5" t="n">
        <v>916</v>
      </c>
      <c r="AI10" s="5" t="n">
        <v>35.27</v>
      </c>
      <c r="AJ10" s="5" t="n">
        <v>3</v>
      </c>
      <c r="AK10" s="5" t="n">
        <v>12.6</v>
      </c>
      <c r="AL10" s="5"/>
      <c r="AM10" s="5" t="n">
        <v>6.8</v>
      </c>
      <c r="AN10" s="5" t="n">
        <v>5.75</v>
      </c>
      <c r="AO10" s="5" t="n">
        <v>1.423</v>
      </c>
      <c r="AP10" s="5"/>
      <c r="AQ10" s="5"/>
      <c r="AR10" s="5" t="s">
        <v>978</v>
      </c>
      <c r="AS10" s="5" t="s">
        <v>1492</v>
      </c>
      <c r="AT10" s="5" t="s">
        <v>1633</v>
      </c>
      <c r="AU10" s="5" t="s">
        <v>1494</v>
      </c>
      <c r="AV10" s="5" t="s">
        <v>1634</v>
      </c>
      <c r="AW10" s="23" t="s">
        <v>1635</v>
      </c>
      <c r="AX10" s="5" t="s">
        <v>947</v>
      </c>
      <c r="AY10" s="5" t="s">
        <v>1636</v>
      </c>
    </row>
    <row r="11" customFormat="false" ht="15" hidden="false" customHeight="true" outlineLevel="0" collapsed="false">
      <c r="A11" s="5" t="s">
        <v>931</v>
      </c>
      <c r="B11" s="5" t="s">
        <v>931</v>
      </c>
      <c r="C11" s="5" t="s">
        <v>932</v>
      </c>
      <c r="D11" s="5" t="n">
        <v>2023</v>
      </c>
      <c r="E11" s="5" t="s">
        <v>933</v>
      </c>
      <c r="F11" s="5" t="s">
        <v>936</v>
      </c>
      <c r="G11" s="5" t="s">
        <v>937</v>
      </c>
      <c r="H11" s="5" t="n">
        <v>35.27</v>
      </c>
      <c r="I11" s="5" t="n">
        <v>119.38</v>
      </c>
      <c r="J11" s="5" t="s">
        <v>870</v>
      </c>
      <c r="K11" s="5" t="n">
        <v>2020</v>
      </c>
      <c r="L11" s="5" t="s">
        <v>821</v>
      </c>
      <c r="M11" s="5"/>
      <c r="N11" s="5" t="s">
        <v>1479</v>
      </c>
      <c r="O11" s="5" t="s">
        <v>1500</v>
      </c>
      <c r="P11" s="5" t="n">
        <v>0.32</v>
      </c>
      <c r="Q11" s="5"/>
      <c r="R11" s="5"/>
      <c r="S11" s="5"/>
      <c r="T11" s="5"/>
      <c r="U11" s="5"/>
      <c r="V11" s="5"/>
      <c r="W11" s="5"/>
      <c r="X11" s="5" t="n">
        <v>0.38</v>
      </c>
      <c r="Y11" s="5"/>
      <c r="Z11" s="5"/>
      <c r="AA11" s="5"/>
      <c r="AB11" s="5" t="n">
        <v>2</v>
      </c>
      <c r="AC11" s="5" t="n">
        <v>3</v>
      </c>
      <c r="AD11" s="5" t="n">
        <f aca="false">IF(AND(N(AB11)&gt;0,N(AC11)&gt;0),SQRT(2*AB11/AC11),"")</f>
        <v>1.15470053837925</v>
      </c>
      <c r="AE11" s="5"/>
      <c r="AF11" s="5"/>
      <c r="AG11" s="5"/>
      <c r="AH11" s="5" t="n">
        <v>916</v>
      </c>
      <c r="AI11" s="5" t="n">
        <v>35.27</v>
      </c>
      <c r="AJ11" s="5" t="n">
        <v>3</v>
      </c>
      <c r="AK11" s="5" t="n">
        <v>12.6</v>
      </c>
      <c r="AL11" s="5"/>
      <c r="AM11" s="5" t="n">
        <v>6.8</v>
      </c>
      <c r="AN11" s="5" t="n">
        <v>5.75</v>
      </c>
      <c r="AO11" s="5" t="n">
        <v>1.423</v>
      </c>
      <c r="AP11" s="5"/>
      <c r="AQ11" s="5"/>
      <c r="AR11" s="5" t="s">
        <v>978</v>
      </c>
      <c r="AS11" s="5" t="s">
        <v>1492</v>
      </c>
      <c r="AT11" s="5" t="s">
        <v>1633</v>
      </c>
      <c r="AU11" s="5" t="s">
        <v>1494</v>
      </c>
      <c r="AV11" s="5" t="s">
        <v>1634</v>
      </c>
      <c r="AW11" s="23" t="s">
        <v>1637</v>
      </c>
      <c r="AX11" s="5" t="s">
        <v>947</v>
      </c>
      <c r="AY11" s="5" t="s">
        <v>1636</v>
      </c>
    </row>
    <row r="12" customFormat="false" ht="15" hidden="false" customHeight="true" outlineLevel="0" collapsed="false">
      <c r="A12" s="5" t="s">
        <v>931</v>
      </c>
      <c r="B12" s="5" t="s">
        <v>931</v>
      </c>
      <c r="C12" s="5" t="s">
        <v>932</v>
      </c>
      <c r="D12" s="5" t="n">
        <v>2023</v>
      </c>
      <c r="E12" s="5" t="s">
        <v>933</v>
      </c>
      <c r="F12" s="5" t="s">
        <v>936</v>
      </c>
      <c r="G12" s="5" t="s">
        <v>937</v>
      </c>
      <c r="H12" s="5" t="n">
        <v>35.27</v>
      </c>
      <c r="I12" s="5" t="n">
        <v>119.38</v>
      </c>
      <c r="J12" s="5" t="s">
        <v>870</v>
      </c>
      <c r="K12" s="5" t="n">
        <v>2020</v>
      </c>
      <c r="L12" s="5" t="s">
        <v>821</v>
      </c>
      <c r="M12" s="5"/>
      <c r="N12" s="5" t="s">
        <v>1479</v>
      </c>
      <c r="O12" s="5" t="s">
        <v>1502</v>
      </c>
      <c r="P12" s="5" t="n">
        <v>0.27</v>
      </c>
      <c r="Q12" s="5"/>
      <c r="R12" s="5"/>
      <c r="S12" s="5"/>
      <c r="T12" s="5"/>
      <c r="U12" s="5"/>
      <c r="V12" s="5"/>
      <c r="W12" s="5"/>
      <c r="X12" s="5" t="n">
        <v>0.21</v>
      </c>
      <c r="Y12" s="5"/>
      <c r="Z12" s="5"/>
      <c r="AA12" s="5"/>
      <c r="AB12" s="5" t="n">
        <v>2</v>
      </c>
      <c r="AC12" s="5" t="n">
        <v>3</v>
      </c>
      <c r="AD12" s="5" t="n">
        <f aca="false">IF(AND(N(AB12)&gt;0,N(AC12)&gt;0),SQRT(2*AB12/AC12),"")</f>
        <v>1.15470053837925</v>
      </c>
      <c r="AE12" s="5"/>
      <c r="AF12" s="5"/>
      <c r="AG12" s="5"/>
      <c r="AH12" s="5" t="n">
        <v>916</v>
      </c>
      <c r="AI12" s="5" t="n">
        <v>35.27</v>
      </c>
      <c r="AJ12" s="5" t="n">
        <v>3</v>
      </c>
      <c r="AK12" s="5" t="n">
        <v>12.6</v>
      </c>
      <c r="AL12" s="5"/>
      <c r="AM12" s="5" t="n">
        <v>6.8</v>
      </c>
      <c r="AN12" s="5" t="n">
        <v>5.75</v>
      </c>
      <c r="AO12" s="5" t="n">
        <v>1.423</v>
      </c>
      <c r="AP12" s="5"/>
      <c r="AQ12" s="5"/>
      <c r="AR12" s="5" t="s">
        <v>978</v>
      </c>
      <c r="AS12" s="5" t="s">
        <v>1492</v>
      </c>
      <c r="AT12" s="5" t="s">
        <v>1633</v>
      </c>
      <c r="AU12" s="5" t="s">
        <v>1494</v>
      </c>
      <c r="AV12" s="5" t="s">
        <v>1634</v>
      </c>
      <c r="AW12" s="23" t="s">
        <v>1638</v>
      </c>
      <c r="AX12" s="5" t="s">
        <v>947</v>
      </c>
      <c r="AY12" s="5" t="s">
        <v>1636</v>
      </c>
    </row>
    <row r="13" customFormat="false" ht="15" hidden="false" customHeight="true" outlineLevel="0" collapsed="false">
      <c r="A13" s="18" t="s">
        <v>887</v>
      </c>
      <c r="B13" s="18" t="s">
        <v>887</v>
      </c>
      <c r="C13" s="18" t="s">
        <v>888</v>
      </c>
      <c r="D13" s="18" t="n">
        <v>2019</v>
      </c>
      <c r="E13" s="18" t="s">
        <v>833</v>
      </c>
      <c r="F13" s="18" t="s">
        <v>891</v>
      </c>
      <c r="G13" s="18" t="s">
        <v>892</v>
      </c>
      <c r="H13" s="18" t="n">
        <v>29.7</v>
      </c>
      <c r="I13" s="18" t="n">
        <v>76.96</v>
      </c>
      <c r="J13" s="18" t="s">
        <v>83</v>
      </c>
      <c r="K13" s="18" t="n">
        <v>2013</v>
      </c>
      <c r="L13" s="18" t="s">
        <v>84</v>
      </c>
      <c r="M13" s="18" t="s">
        <v>85</v>
      </c>
      <c r="N13" s="18" t="s">
        <v>86</v>
      </c>
      <c r="O13" s="18" t="s">
        <v>1472</v>
      </c>
      <c r="P13" s="18" t="n">
        <v>2.44</v>
      </c>
      <c r="Q13" s="18" t="n">
        <v>1.48</v>
      </c>
      <c r="R13" s="18"/>
      <c r="S13" s="18"/>
      <c r="T13" s="18"/>
      <c r="U13" s="18"/>
      <c r="V13" s="18"/>
      <c r="W13" s="18"/>
      <c r="X13" s="18" t="n">
        <v>2.06</v>
      </c>
      <c r="Y13" s="18"/>
      <c r="Z13" s="18"/>
      <c r="AA13" s="18"/>
      <c r="AB13" s="18" t="n">
        <v>1</v>
      </c>
      <c r="AC13" s="18" t="n">
        <v>3</v>
      </c>
      <c r="AD13" s="18" t="n">
        <f aca="false">IF(AND(N(AB13)&gt;0,N(AC13)&gt;0),SQRT(2*AB13/AC13),"")</f>
        <v>0.816496580927726</v>
      </c>
      <c r="AE13" s="18"/>
      <c r="AF13" s="18" t="n">
        <v>2</v>
      </c>
      <c r="AG13" s="18" t="n">
        <v>42.5</v>
      </c>
      <c r="AH13" s="18" t="n">
        <v>700</v>
      </c>
      <c r="AI13" s="18" t="n">
        <v>29.7</v>
      </c>
      <c r="AJ13" s="18" t="n">
        <v>4</v>
      </c>
      <c r="AK13" s="18"/>
      <c r="AL13" s="18"/>
      <c r="AM13" s="18"/>
      <c r="AN13" s="18"/>
      <c r="AO13" s="18"/>
      <c r="AP13" s="18"/>
      <c r="AQ13" s="18"/>
      <c r="AR13" s="18" t="s">
        <v>978</v>
      </c>
      <c r="AS13" s="18" t="s">
        <v>1639</v>
      </c>
      <c r="AT13" s="18" t="s">
        <v>1640</v>
      </c>
      <c r="AU13" s="18" t="s">
        <v>1641</v>
      </c>
      <c r="AV13" s="18" t="s">
        <v>91</v>
      </c>
      <c r="AW13" s="30" t="s">
        <v>1642</v>
      </c>
      <c r="AX13" s="18" t="s">
        <v>901</v>
      </c>
      <c r="AY13" s="18" t="s">
        <v>1643</v>
      </c>
    </row>
    <row r="14" customFormat="false" ht="15" hidden="false" customHeight="true" outlineLevel="0" collapsed="false">
      <c r="A14" s="18" t="s">
        <v>887</v>
      </c>
      <c r="B14" s="18" t="s">
        <v>887</v>
      </c>
      <c r="C14" s="18" t="s">
        <v>888</v>
      </c>
      <c r="D14" s="18" t="n">
        <v>2019</v>
      </c>
      <c r="E14" s="18" t="s">
        <v>833</v>
      </c>
      <c r="F14" s="18" t="s">
        <v>891</v>
      </c>
      <c r="G14" s="18" t="s">
        <v>892</v>
      </c>
      <c r="H14" s="18" t="n">
        <v>29.7</v>
      </c>
      <c r="I14" s="18" t="n">
        <v>76.96</v>
      </c>
      <c r="J14" s="18" t="s">
        <v>83</v>
      </c>
      <c r="K14" s="18" t="n">
        <v>2013</v>
      </c>
      <c r="L14" s="18" t="s">
        <v>84</v>
      </c>
      <c r="M14" s="18" t="s">
        <v>85</v>
      </c>
      <c r="N14" s="18" t="s">
        <v>1479</v>
      </c>
      <c r="O14" s="18" t="s">
        <v>1480</v>
      </c>
      <c r="P14" s="18" t="n">
        <v>1.34</v>
      </c>
      <c r="Q14" s="18" t="n">
        <v>1.27</v>
      </c>
      <c r="R14" s="18"/>
      <c r="S14" s="18"/>
      <c r="T14" s="18"/>
      <c r="U14" s="18"/>
      <c r="V14" s="18"/>
      <c r="W14" s="18"/>
      <c r="X14" s="18" t="n">
        <v>1.31</v>
      </c>
      <c r="Y14" s="18"/>
      <c r="Z14" s="18"/>
      <c r="AA14" s="18"/>
      <c r="AB14" s="18" t="n">
        <v>1</v>
      </c>
      <c r="AC14" s="18" t="n">
        <v>3</v>
      </c>
      <c r="AD14" s="18" t="n">
        <f aca="false">IF(AND(N(AB14)&gt;0,N(AC14)&gt;0),SQRT(2*AB14/AC14),"")</f>
        <v>0.816496580927726</v>
      </c>
      <c r="AE14" s="18"/>
      <c r="AF14" s="18" t="n">
        <v>2</v>
      </c>
      <c r="AG14" s="18" t="n">
        <v>42.5</v>
      </c>
      <c r="AH14" s="18" t="n">
        <v>700</v>
      </c>
      <c r="AI14" s="18" t="n">
        <v>29.7</v>
      </c>
      <c r="AJ14" s="18" t="n">
        <v>4</v>
      </c>
      <c r="AK14" s="18"/>
      <c r="AL14" s="18"/>
      <c r="AM14" s="18"/>
      <c r="AN14" s="18"/>
      <c r="AO14" s="18"/>
      <c r="AP14" s="18"/>
      <c r="AQ14" s="18"/>
      <c r="AR14" s="18" t="s">
        <v>978</v>
      </c>
      <c r="AS14" s="18" t="s">
        <v>1639</v>
      </c>
      <c r="AT14" s="18" t="s">
        <v>1640</v>
      </c>
      <c r="AU14" s="18" t="s">
        <v>1641</v>
      </c>
      <c r="AV14" s="18" t="s">
        <v>91</v>
      </c>
      <c r="AW14" s="30" t="s">
        <v>1644</v>
      </c>
      <c r="AX14" s="18" t="s">
        <v>901</v>
      </c>
      <c r="AY14" s="18" t="s">
        <v>1643</v>
      </c>
    </row>
    <row r="15" customFormat="false" ht="15" hidden="false" customHeight="true" outlineLevel="0" collapsed="false">
      <c r="A15" s="18" t="s">
        <v>887</v>
      </c>
      <c r="B15" s="18" t="s">
        <v>887</v>
      </c>
      <c r="C15" s="18" t="s">
        <v>888</v>
      </c>
      <c r="D15" s="18" t="n">
        <v>2019</v>
      </c>
      <c r="E15" s="18" t="s">
        <v>833</v>
      </c>
      <c r="F15" s="18" t="s">
        <v>891</v>
      </c>
      <c r="G15" s="18" t="s">
        <v>892</v>
      </c>
      <c r="H15" s="18" t="n">
        <v>29.7</v>
      </c>
      <c r="I15" s="18" t="n">
        <v>76.96</v>
      </c>
      <c r="J15" s="18" t="s">
        <v>83</v>
      </c>
      <c r="K15" s="18" t="n">
        <v>2015</v>
      </c>
      <c r="L15" s="18" t="s">
        <v>84</v>
      </c>
      <c r="M15" s="18" t="s">
        <v>85</v>
      </c>
      <c r="N15" s="18" t="s">
        <v>86</v>
      </c>
      <c r="O15" s="18" t="s">
        <v>1472</v>
      </c>
      <c r="P15" s="18" t="n">
        <v>2.65</v>
      </c>
      <c r="Q15" s="18" t="n">
        <v>1.67</v>
      </c>
      <c r="R15" s="18"/>
      <c r="S15" s="18"/>
      <c r="T15" s="18"/>
      <c r="U15" s="18"/>
      <c r="V15" s="18"/>
      <c r="W15" s="18"/>
      <c r="X15" s="18" t="n">
        <v>2.2</v>
      </c>
      <c r="Y15" s="18"/>
      <c r="Z15" s="18"/>
      <c r="AA15" s="18"/>
      <c r="AB15" s="18" t="n">
        <v>1</v>
      </c>
      <c r="AC15" s="18" t="n">
        <v>3</v>
      </c>
      <c r="AD15" s="18" t="n">
        <f aca="false">IF(AND(N(AB15)&gt;0,N(AC15)&gt;0),SQRT(2*AB15/AC15),"")</f>
        <v>0.816496580927726</v>
      </c>
      <c r="AE15" s="18"/>
      <c r="AF15" s="18" t="n">
        <v>2</v>
      </c>
      <c r="AG15" s="18" t="n">
        <v>42.5</v>
      </c>
      <c r="AH15" s="18" t="n">
        <v>700</v>
      </c>
      <c r="AI15" s="18" t="n">
        <v>29.7</v>
      </c>
      <c r="AJ15" s="18" t="n">
        <v>6</v>
      </c>
      <c r="AK15" s="18"/>
      <c r="AL15" s="18"/>
      <c r="AM15" s="18"/>
      <c r="AN15" s="18"/>
      <c r="AO15" s="18"/>
      <c r="AP15" s="18"/>
      <c r="AQ15" s="18"/>
      <c r="AR15" s="18" t="s">
        <v>978</v>
      </c>
      <c r="AS15" s="18" t="s">
        <v>1639</v>
      </c>
      <c r="AT15" s="18" t="s">
        <v>1645</v>
      </c>
      <c r="AU15" s="18" t="s">
        <v>1641</v>
      </c>
      <c r="AV15" s="18" t="s">
        <v>91</v>
      </c>
      <c r="AW15" s="30" t="s">
        <v>1646</v>
      </c>
      <c r="AX15" s="18" t="s">
        <v>901</v>
      </c>
      <c r="AY15" s="18" t="s">
        <v>1643</v>
      </c>
    </row>
    <row r="16" customFormat="false" ht="15" hidden="false" customHeight="true" outlineLevel="0" collapsed="false">
      <c r="A16" s="18" t="s">
        <v>887</v>
      </c>
      <c r="B16" s="18" t="s">
        <v>887</v>
      </c>
      <c r="C16" s="18" t="s">
        <v>888</v>
      </c>
      <c r="D16" s="18" t="n">
        <v>2019</v>
      </c>
      <c r="E16" s="18" t="s">
        <v>833</v>
      </c>
      <c r="F16" s="18" t="s">
        <v>891</v>
      </c>
      <c r="G16" s="18" t="s">
        <v>892</v>
      </c>
      <c r="H16" s="18" t="n">
        <v>29.7</v>
      </c>
      <c r="I16" s="18" t="n">
        <v>76.96</v>
      </c>
      <c r="J16" s="18" t="s">
        <v>83</v>
      </c>
      <c r="K16" s="18" t="n">
        <v>2015</v>
      </c>
      <c r="L16" s="18" t="s">
        <v>84</v>
      </c>
      <c r="M16" s="18" t="s">
        <v>85</v>
      </c>
      <c r="N16" s="18" t="s">
        <v>1479</v>
      </c>
      <c r="O16" s="18" t="s">
        <v>1480</v>
      </c>
      <c r="P16" s="18" t="n">
        <v>1.53</v>
      </c>
      <c r="Q16" s="18" t="n">
        <v>1.12</v>
      </c>
      <c r="R16" s="18"/>
      <c r="S16" s="18"/>
      <c r="T16" s="18"/>
      <c r="U16" s="18"/>
      <c r="V16" s="18"/>
      <c r="W16" s="18"/>
      <c r="X16" s="18" t="n">
        <v>1.56</v>
      </c>
      <c r="Y16" s="18"/>
      <c r="Z16" s="18"/>
      <c r="AA16" s="18"/>
      <c r="AB16" s="18" t="n">
        <v>1</v>
      </c>
      <c r="AC16" s="18" t="n">
        <v>3</v>
      </c>
      <c r="AD16" s="18" t="n">
        <f aca="false">IF(AND(N(AB16)&gt;0,N(AC16)&gt;0),SQRT(2*AB16/AC16),"")</f>
        <v>0.816496580927726</v>
      </c>
      <c r="AE16" s="18"/>
      <c r="AF16" s="18" t="n">
        <v>2</v>
      </c>
      <c r="AG16" s="18" t="n">
        <v>42.5</v>
      </c>
      <c r="AH16" s="18" t="n">
        <v>700</v>
      </c>
      <c r="AI16" s="18" t="n">
        <v>29.7</v>
      </c>
      <c r="AJ16" s="18" t="n">
        <v>6</v>
      </c>
      <c r="AK16" s="18"/>
      <c r="AL16" s="18"/>
      <c r="AM16" s="18"/>
      <c r="AN16" s="18"/>
      <c r="AO16" s="18"/>
      <c r="AP16" s="18"/>
      <c r="AQ16" s="18"/>
      <c r="AR16" s="18" t="s">
        <v>978</v>
      </c>
      <c r="AS16" s="18" t="s">
        <v>1639</v>
      </c>
      <c r="AT16" s="18" t="s">
        <v>1645</v>
      </c>
      <c r="AU16" s="18" t="s">
        <v>1641</v>
      </c>
      <c r="AV16" s="18" t="s">
        <v>91</v>
      </c>
      <c r="AW16" s="30" t="s">
        <v>1647</v>
      </c>
      <c r="AX16" s="18" t="s">
        <v>901</v>
      </c>
      <c r="AY16" s="18" t="s">
        <v>1643</v>
      </c>
    </row>
    <row r="17" customFormat="false" ht="15" hidden="false" customHeight="true" outlineLevel="0" collapsed="false">
      <c r="A17" s="18" t="s">
        <v>914</v>
      </c>
      <c r="B17" s="18" t="s">
        <v>914</v>
      </c>
      <c r="C17" s="18" t="s">
        <v>915</v>
      </c>
      <c r="D17" s="18" t="n">
        <v>2020</v>
      </c>
      <c r="E17" s="18" t="s">
        <v>916</v>
      </c>
      <c r="F17" s="18" t="s">
        <v>815</v>
      </c>
      <c r="G17" s="18" t="s">
        <v>919</v>
      </c>
      <c r="H17" s="18" t="n">
        <v>28.4</v>
      </c>
      <c r="I17" s="18" t="n">
        <v>77.1</v>
      </c>
      <c r="J17" s="18" t="s">
        <v>83</v>
      </c>
      <c r="K17" s="18" t="s">
        <v>1504</v>
      </c>
      <c r="L17" s="18" t="s">
        <v>802</v>
      </c>
      <c r="M17" s="18" t="s">
        <v>85</v>
      </c>
      <c r="N17" s="18" t="s">
        <v>86</v>
      </c>
      <c r="O17" s="18" t="s">
        <v>1472</v>
      </c>
      <c r="P17" s="18"/>
      <c r="Q17" s="18" t="n">
        <v>0.79</v>
      </c>
      <c r="R17" s="18"/>
      <c r="S17" s="18"/>
      <c r="T17" s="18"/>
      <c r="U17" s="18"/>
      <c r="V17" s="18" t="n">
        <v>0.83</v>
      </c>
      <c r="W17" s="18"/>
      <c r="X17" s="18"/>
      <c r="Y17" s="18"/>
      <c r="Z17" s="18"/>
      <c r="AA17" s="18"/>
      <c r="AB17" s="18" t="n">
        <v>2</v>
      </c>
      <c r="AC17" s="18" t="n">
        <v>3</v>
      </c>
      <c r="AD17" s="18" t="n">
        <f aca="false">IF(AND(N(AB17)&gt;0,N(AC17)&gt;0),SQRT(2*AB17/AC17),"")</f>
        <v>1.15470053837925</v>
      </c>
      <c r="AE17" s="18" t="n">
        <v>25.4</v>
      </c>
      <c r="AF17" s="18" t="n">
        <v>18</v>
      </c>
      <c r="AG17" s="18" t="n">
        <v>35.2</v>
      </c>
      <c r="AH17" s="18" t="n">
        <v>750</v>
      </c>
      <c r="AI17" s="18" t="n">
        <v>28.4</v>
      </c>
      <c r="AJ17" s="18" t="n">
        <v>12</v>
      </c>
      <c r="AK17" s="18"/>
      <c r="AL17" s="18"/>
      <c r="AM17" s="18" t="n">
        <v>8.45</v>
      </c>
      <c r="AN17" s="18" t="n">
        <v>5.1</v>
      </c>
      <c r="AO17" s="18" t="n">
        <v>1.5</v>
      </c>
      <c r="AP17" s="18" t="n">
        <v>52.1</v>
      </c>
      <c r="AQ17" s="18" t="n">
        <v>22.5</v>
      </c>
      <c r="AR17" s="18" t="s">
        <v>978</v>
      </c>
      <c r="AS17" s="18" t="s">
        <v>1505</v>
      </c>
      <c r="AT17" s="18" t="s">
        <v>1506</v>
      </c>
      <c r="AU17" s="18" t="s">
        <v>1507</v>
      </c>
      <c r="AV17" s="18" t="s">
        <v>1508</v>
      </c>
      <c r="AW17" s="30" t="s">
        <v>1648</v>
      </c>
      <c r="AX17" s="18" t="s">
        <v>928</v>
      </c>
      <c r="AY17" s="18" t="s">
        <v>1649</v>
      </c>
    </row>
    <row r="18" customFormat="false" ht="15" hidden="false" customHeight="true" outlineLevel="0" collapsed="false">
      <c r="A18" s="18" t="s">
        <v>914</v>
      </c>
      <c r="B18" s="18" t="s">
        <v>914</v>
      </c>
      <c r="C18" s="18" t="s">
        <v>915</v>
      </c>
      <c r="D18" s="18" t="n">
        <v>2020</v>
      </c>
      <c r="E18" s="18" t="s">
        <v>916</v>
      </c>
      <c r="F18" s="18" t="s">
        <v>815</v>
      </c>
      <c r="G18" s="18" t="s">
        <v>919</v>
      </c>
      <c r="H18" s="18" t="n">
        <v>28.4</v>
      </c>
      <c r="I18" s="18" t="n">
        <v>77.1</v>
      </c>
      <c r="J18" s="18" t="s">
        <v>83</v>
      </c>
      <c r="K18" s="18" t="s">
        <v>1504</v>
      </c>
      <c r="L18" s="18" t="s">
        <v>802</v>
      </c>
      <c r="M18" s="18" t="s">
        <v>85</v>
      </c>
      <c r="N18" s="18" t="s">
        <v>86</v>
      </c>
      <c r="O18" s="18" t="s">
        <v>1472</v>
      </c>
      <c r="P18" s="18"/>
      <c r="Q18" s="18" t="n">
        <v>0.79</v>
      </c>
      <c r="R18" s="18"/>
      <c r="S18" s="18"/>
      <c r="T18" s="18"/>
      <c r="U18" s="18"/>
      <c r="V18" s="18" t="n">
        <v>0.86</v>
      </c>
      <c r="W18" s="18"/>
      <c r="X18" s="18"/>
      <c r="Y18" s="18"/>
      <c r="Z18" s="18"/>
      <c r="AA18" s="18"/>
      <c r="AB18" s="18" t="n">
        <v>2</v>
      </c>
      <c r="AC18" s="18" t="n">
        <v>3</v>
      </c>
      <c r="AD18" s="18" t="n">
        <f aca="false">IF(AND(N(AB18)&gt;0,N(AC18)&gt;0),SQRT(2*AB18/AC18),"")</f>
        <v>1.15470053837925</v>
      </c>
      <c r="AE18" s="18" t="n">
        <v>25.4</v>
      </c>
      <c r="AF18" s="18" t="n">
        <v>18</v>
      </c>
      <c r="AG18" s="18" t="n">
        <v>35.2</v>
      </c>
      <c r="AH18" s="18" t="n">
        <v>750</v>
      </c>
      <c r="AI18" s="18" t="n">
        <v>28.4</v>
      </c>
      <c r="AJ18" s="18" t="n">
        <v>12</v>
      </c>
      <c r="AK18" s="18"/>
      <c r="AL18" s="18"/>
      <c r="AM18" s="18" t="n">
        <v>8.45</v>
      </c>
      <c r="AN18" s="18" t="n">
        <v>5.1</v>
      </c>
      <c r="AO18" s="18" t="n">
        <v>1.5</v>
      </c>
      <c r="AP18" s="18" t="n">
        <v>52.1</v>
      </c>
      <c r="AQ18" s="18" t="n">
        <v>22.5</v>
      </c>
      <c r="AR18" s="18" t="s">
        <v>978</v>
      </c>
      <c r="AS18" s="18" t="s">
        <v>1511</v>
      </c>
      <c r="AT18" s="18" t="s">
        <v>1506</v>
      </c>
      <c r="AU18" s="18" t="s">
        <v>1507</v>
      </c>
      <c r="AV18" s="18" t="s">
        <v>1508</v>
      </c>
      <c r="AW18" s="30" t="s">
        <v>1650</v>
      </c>
      <c r="AX18" s="18" t="s">
        <v>928</v>
      </c>
      <c r="AY18" s="18" t="s">
        <v>1649</v>
      </c>
    </row>
    <row r="19" customFormat="false" ht="15" hidden="false" customHeight="true" outlineLevel="0" collapsed="false">
      <c r="A19" s="18" t="s">
        <v>914</v>
      </c>
      <c r="B19" s="18" t="s">
        <v>914</v>
      </c>
      <c r="C19" s="18" t="s">
        <v>915</v>
      </c>
      <c r="D19" s="18" t="n">
        <v>2020</v>
      </c>
      <c r="E19" s="18" t="s">
        <v>916</v>
      </c>
      <c r="F19" s="18" t="s">
        <v>815</v>
      </c>
      <c r="G19" s="18" t="s">
        <v>919</v>
      </c>
      <c r="H19" s="18" t="n">
        <v>28.4</v>
      </c>
      <c r="I19" s="18" t="n">
        <v>77.1</v>
      </c>
      <c r="J19" s="18" t="s">
        <v>83</v>
      </c>
      <c r="K19" s="18" t="s">
        <v>1504</v>
      </c>
      <c r="L19" s="18" t="s">
        <v>802</v>
      </c>
      <c r="M19" s="18" t="s">
        <v>85</v>
      </c>
      <c r="N19" s="18" t="s">
        <v>86</v>
      </c>
      <c r="O19" s="18" t="s">
        <v>1472</v>
      </c>
      <c r="P19" s="18"/>
      <c r="Q19" s="18" t="n">
        <v>0.81</v>
      </c>
      <c r="R19" s="18"/>
      <c r="S19" s="18"/>
      <c r="T19" s="18"/>
      <c r="U19" s="18"/>
      <c r="V19" s="18" t="n">
        <v>0.84</v>
      </c>
      <c r="W19" s="18"/>
      <c r="X19" s="18"/>
      <c r="Y19" s="18"/>
      <c r="Z19" s="18"/>
      <c r="AA19" s="18"/>
      <c r="AB19" s="18" t="n">
        <v>2</v>
      </c>
      <c r="AC19" s="18" t="n">
        <v>3</v>
      </c>
      <c r="AD19" s="18" t="n">
        <f aca="false">IF(AND(N(AB19)&gt;0,N(AC19)&gt;0),SQRT(2*AB19/AC19),"")</f>
        <v>1.15470053837925</v>
      </c>
      <c r="AE19" s="18" t="n">
        <v>25.4</v>
      </c>
      <c r="AF19" s="18" t="n">
        <v>18</v>
      </c>
      <c r="AG19" s="18" t="n">
        <v>35.2</v>
      </c>
      <c r="AH19" s="18" t="n">
        <v>750</v>
      </c>
      <c r="AI19" s="18" t="n">
        <v>28.4</v>
      </c>
      <c r="AJ19" s="18" t="n">
        <v>12</v>
      </c>
      <c r="AK19" s="18"/>
      <c r="AL19" s="18"/>
      <c r="AM19" s="18" t="n">
        <v>8.45</v>
      </c>
      <c r="AN19" s="18" t="n">
        <v>5.1</v>
      </c>
      <c r="AO19" s="18" t="n">
        <v>1.5</v>
      </c>
      <c r="AP19" s="18" t="n">
        <v>52.1</v>
      </c>
      <c r="AQ19" s="18" t="n">
        <v>22.5</v>
      </c>
      <c r="AR19" s="18" t="s">
        <v>978</v>
      </c>
      <c r="AS19" s="18" t="s">
        <v>1513</v>
      </c>
      <c r="AT19" s="18" t="s">
        <v>1506</v>
      </c>
      <c r="AU19" s="18" t="s">
        <v>1507</v>
      </c>
      <c r="AV19" s="18" t="s">
        <v>1508</v>
      </c>
      <c r="AW19" s="30" t="s">
        <v>1651</v>
      </c>
      <c r="AX19" s="18" t="s">
        <v>928</v>
      </c>
      <c r="AY19" s="18" t="s">
        <v>1649</v>
      </c>
    </row>
    <row r="20" customFormat="false" ht="14.25" hidden="false" customHeight="true" outlineLevel="0" collapsed="false">
      <c r="A20" s="18" t="s">
        <v>914</v>
      </c>
      <c r="B20" s="18" t="s">
        <v>914</v>
      </c>
      <c r="C20" s="18" t="s">
        <v>915</v>
      </c>
      <c r="D20" s="18" t="n">
        <v>2020</v>
      </c>
      <c r="E20" s="18" t="s">
        <v>916</v>
      </c>
      <c r="F20" s="18" t="s">
        <v>815</v>
      </c>
      <c r="G20" s="18" t="s">
        <v>919</v>
      </c>
      <c r="H20" s="18" t="n">
        <v>28.4</v>
      </c>
      <c r="I20" s="18" t="n">
        <v>77.1</v>
      </c>
      <c r="J20" s="18" t="s">
        <v>83</v>
      </c>
      <c r="K20" s="18" t="s">
        <v>1504</v>
      </c>
      <c r="L20" s="18" t="s">
        <v>802</v>
      </c>
      <c r="M20" s="18" t="s">
        <v>85</v>
      </c>
      <c r="N20" s="18" t="s">
        <v>86</v>
      </c>
      <c r="O20" s="18" t="s">
        <v>1472</v>
      </c>
      <c r="P20" s="18"/>
      <c r="Q20" s="18" t="n">
        <v>0.81</v>
      </c>
      <c r="R20" s="18"/>
      <c r="S20" s="18"/>
      <c r="T20" s="18"/>
      <c r="U20" s="18"/>
      <c r="V20" s="18" t="n">
        <v>0.88</v>
      </c>
      <c r="W20" s="18"/>
      <c r="X20" s="18"/>
      <c r="Y20" s="18"/>
      <c r="Z20" s="18"/>
      <c r="AA20" s="18"/>
      <c r="AB20" s="18" t="n">
        <v>2</v>
      </c>
      <c r="AC20" s="18" t="n">
        <v>3</v>
      </c>
      <c r="AD20" s="18" t="n">
        <f aca="false">IF(AND(N(AB20)&gt;0,N(AC20)&gt;0),SQRT(2*AB20/AC20),"")</f>
        <v>1.15470053837925</v>
      </c>
      <c r="AE20" s="18" t="n">
        <v>25.4</v>
      </c>
      <c r="AF20" s="18" t="n">
        <v>18</v>
      </c>
      <c r="AG20" s="18" t="n">
        <v>35.2</v>
      </c>
      <c r="AH20" s="18" t="n">
        <v>750</v>
      </c>
      <c r="AI20" s="18" t="n">
        <v>28.4</v>
      </c>
      <c r="AJ20" s="18" t="n">
        <v>12</v>
      </c>
      <c r="AK20" s="18"/>
      <c r="AL20" s="18"/>
      <c r="AM20" s="18" t="n">
        <v>8.45</v>
      </c>
      <c r="AN20" s="18" t="n">
        <v>5.1</v>
      </c>
      <c r="AO20" s="18" t="n">
        <v>1.5</v>
      </c>
      <c r="AP20" s="18" t="n">
        <v>52.1</v>
      </c>
      <c r="AQ20" s="18" t="n">
        <v>22.5</v>
      </c>
      <c r="AR20" s="18" t="s">
        <v>978</v>
      </c>
      <c r="AS20" s="18" t="s">
        <v>1515</v>
      </c>
      <c r="AT20" s="18" t="s">
        <v>1506</v>
      </c>
      <c r="AU20" s="18" t="s">
        <v>1507</v>
      </c>
      <c r="AV20" s="18" t="s">
        <v>1508</v>
      </c>
      <c r="AW20" s="30" t="s">
        <v>1652</v>
      </c>
      <c r="AX20" s="18" t="s">
        <v>928</v>
      </c>
      <c r="AY20" s="18" t="s">
        <v>1649</v>
      </c>
    </row>
    <row r="21" customFormat="false" ht="14.25" hidden="false" customHeight="true" outlineLevel="0" collapsed="false">
      <c r="A21" s="18" t="s">
        <v>914</v>
      </c>
      <c r="B21" s="18" t="s">
        <v>914</v>
      </c>
      <c r="C21" s="18" t="s">
        <v>915</v>
      </c>
      <c r="D21" s="18" t="n">
        <v>2020</v>
      </c>
      <c r="E21" s="18" t="s">
        <v>916</v>
      </c>
      <c r="F21" s="18" t="s">
        <v>815</v>
      </c>
      <c r="G21" s="18" t="s">
        <v>919</v>
      </c>
      <c r="H21" s="18" t="n">
        <v>28.4</v>
      </c>
      <c r="I21" s="18" t="n">
        <v>77.1</v>
      </c>
      <c r="J21" s="18" t="s">
        <v>83</v>
      </c>
      <c r="K21" s="18" t="s">
        <v>1504</v>
      </c>
      <c r="L21" s="18" t="s">
        <v>802</v>
      </c>
      <c r="M21" s="18" t="s">
        <v>85</v>
      </c>
      <c r="N21" s="18" t="s">
        <v>86</v>
      </c>
      <c r="O21" s="18" t="s">
        <v>1472</v>
      </c>
      <c r="P21" s="18"/>
      <c r="Q21" s="18" t="n">
        <v>0.76</v>
      </c>
      <c r="R21" s="18"/>
      <c r="S21" s="18"/>
      <c r="T21" s="18"/>
      <c r="U21" s="18"/>
      <c r="V21" s="18" t="n">
        <v>0.8</v>
      </c>
      <c r="W21" s="18"/>
      <c r="X21" s="18"/>
      <c r="Y21" s="18"/>
      <c r="Z21" s="18"/>
      <c r="AA21" s="18"/>
      <c r="AB21" s="18" t="n">
        <v>2</v>
      </c>
      <c r="AC21" s="18" t="n">
        <v>3</v>
      </c>
      <c r="AD21" s="18" t="n">
        <f aca="false">IF(AND(N(AB21)&gt;0,N(AC21)&gt;0),SQRT(2*AB21/AC21),"")</f>
        <v>1.15470053837925</v>
      </c>
      <c r="AE21" s="18" t="n">
        <v>25.4</v>
      </c>
      <c r="AF21" s="18" t="n">
        <v>18</v>
      </c>
      <c r="AG21" s="18" t="n">
        <v>35.2</v>
      </c>
      <c r="AH21" s="18" t="n">
        <v>750</v>
      </c>
      <c r="AI21" s="18" t="n">
        <v>28.4</v>
      </c>
      <c r="AJ21" s="18" t="n">
        <v>12</v>
      </c>
      <c r="AK21" s="18"/>
      <c r="AL21" s="18"/>
      <c r="AM21" s="18" t="n">
        <v>8.45</v>
      </c>
      <c r="AN21" s="18" t="n">
        <v>5.1</v>
      </c>
      <c r="AO21" s="18" t="n">
        <v>1.5</v>
      </c>
      <c r="AP21" s="18" t="n">
        <v>52.1</v>
      </c>
      <c r="AQ21" s="18" t="n">
        <v>22.5</v>
      </c>
      <c r="AR21" s="18" t="s">
        <v>978</v>
      </c>
      <c r="AS21" s="18" t="s">
        <v>1517</v>
      </c>
      <c r="AT21" s="18" t="s">
        <v>1506</v>
      </c>
      <c r="AU21" s="18" t="s">
        <v>1507</v>
      </c>
      <c r="AV21" s="18" t="s">
        <v>1508</v>
      </c>
      <c r="AW21" s="30" t="s">
        <v>1653</v>
      </c>
      <c r="AX21" s="18" t="s">
        <v>928</v>
      </c>
      <c r="AY21" s="18" t="s">
        <v>1649</v>
      </c>
    </row>
    <row r="22" customFormat="false" ht="14.25" hidden="false" customHeight="true" outlineLevel="0" collapsed="false">
      <c r="A22" s="18" t="s">
        <v>914</v>
      </c>
      <c r="B22" s="18" t="s">
        <v>914</v>
      </c>
      <c r="C22" s="18" t="s">
        <v>915</v>
      </c>
      <c r="D22" s="18" t="n">
        <v>2020</v>
      </c>
      <c r="E22" s="18" t="s">
        <v>916</v>
      </c>
      <c r="F22" s="18" t="s">
        <v>815</v>
      </c>
      <c r="G22" s="18" t="s">
        <v>919</v>
      </c>
      <c r="H22" s="18" t="n">
        <v>28.4</v>
      </c>
      <c r="I22" s="18" t="n">
        <v>77.1</v>
      </c>
      <c r="J22" s="18" t="s">
        <v>83</v>
      </c>
      <c r="K22" s="18" t="s">
        <v>1504</v>
      </c>
      <c r="L22" s="18" t="s">
        <v>802</v>
      </c>
      <c r="M22" s="18" t="s">
        <v>85</v>
      </c>
      <c r="N22" s="18" t="s">
        <v>86</v>
      </c>
      <c r="O22" s="18" t="s">
        <v>1472</v>
      </c>
      <c r="P22" s="18"/>
      <c r="Q22" s="18" t="n">
        <v>0.76</v>
      </c>
      <c r="R22" s="18"/>
      <c r="S22" s="18"/>
      <c r="T22" s="18"/>
      <c r="U22" s="18"/>
      <c r="V22" s="18" t="n">
        <v>0.83</v>
      </c>
      <c r="W22" s="18"/>
      <c r="X22" s="18"/>
      <c r="Y22" s="18"/>
      <c r="Z22" s="18"/>
      <c r="AA22" s="18"/>
      <c r="AB22" s="18" t="n">
        <v>2</v>
      </c>
      <c r="AC22" s="18" t="n">
        <v>3</v>
      </c>
      <c r="AD22" s="18" t="n">
        <f aca="false">IF(AND(N(AB22)&gt;0,N(AC22)&gt;0),SQRT(2*AB22/AC22),"")</f>
        <v>1.15470053837925</v>
      </c>
      <c r="AE22" s="18" t="n">
        <v>25.4</v>
      </c>
      <c r="AF22" s="18" t="n">
        <v>18</v>
      </c>
      <c r="AG22" s="18" t="n">
        <v>35.2</v>
      </c>
      <c r="AH22" s="18" t="n">
        <v>750</v>
      </c>
      <c r="AI22" s="18" t="n">
        <v>28.4</v>
      </c>
      <c r="AJ22" s="18" t="n">
        <v>12</v>
      </c>
      <c r="AK22" s="18"/>
      <c r="AL22" s="18"/>
      <c r="AM22" s="18" t="n">
        <v>8.45</v>
      </c>
      <c r="AN22" s="18" t="n">
        <v>5.1</v>
      </c>
      <c r="AO22" s="18" t="n">
        <v>1.5</v>
      </c>
      <c r="AP22" s="18" t="n">
        <v>52.1</v>
      </c>
      <c r="AQ22" s="18" t="n">
        <v>22.5</v>
      </c>
      <c r="AR22" s="18" t="s">
        <v>978</v>
      </c>
      <c r="AS22" s="18" t="s">
        <v>1519</v>
      </c>
      <c r="AT22" s="18" t="s">
        <v>1506</v>
      </c>
      <c r="AU22" s="18" t="s">
        <v>1507</v>
      </c>
      <c r="AV22" s="18" t="s">
        <v>1508</v>
      </c>
      <c r="AW22" s="30" t="s">
        <v>1654</v>
      </c>
      <c r="AX22" s="18" t="s">
        <v>928</v>
      </c>
      <c r="AY22" s="18" t="s">
        <v>1649</v>
      </c>
    </row>
    <row r="23" customFormat="false" ht="14.25" hidden="false" customHeight="true" outlineLevel="0" collapsed="false">
      <c r="A23" s="18" t="s">
        <v>914</v>
      </c>
      <c r="B23" s="18" t="s">
        <v>914</v>
      </c>
      <c r="C23" s="18" t="s">
        <v>915</v>
      </c>
      <c r="D23" s="18" t="n">
        <v>2020</v>
      </c>
      <c r="E23" s="18" t="s">
        <v>916</v>
      </c>
      <c r="F23" s="18" t="s">
        <v>815</v>
      </c>
      <c r="G23" s="18" t="s">
        <v>919</v>
      </c>
      <c r="H23" s="18" t="n">
        <v>28.4</v>
      </c>
      <c r="I23" s="18" t="n">
        <v>77.1</v>
      </c>
      <c r="J23" s="18" t="s">
        <v>83</v>
      </c>
      <c r="K23" s="18" t="s">
        <v>1504</v>
      </c>
      <c r="L23" s="18" t="s">
        <v>802</v>
      </c>
      <c r="M23" s="18" t="s">
        <v>85</v>
      </c>
      <c r="N23" s="18" t="s">
        <v>86</v>
      </c>
      <c r="O23" s="18" t="s">
        <v>1472</v>
      </c>
      <c r="P23" s="18"/>
      <c r="Q23" s="18" t="n">
        <v>0.78</v>
      </c>
      <c r="R23" s="18"/>
      <c r="S23" s="18"/>
      <c r="T23" s="18"/>
      <c r="U23" s="18"/>
      <c r="V23" s="18" t="n">
        <v>0.81</v>
      </c>
      <c r="W23" s="18"/>
      <c r="X23" s="18"/>
      <c r="Y23" s="18"/>
      <c r="Z23" s="18"/>
      <c r="AA23" s="18"/>
      <c r="AB23" s="18" t="n">
        <v>2</v>
      </c>
      <c r="AC23" s="18" t="n">
        <v>3</v>
      </c>
      <c r="AD23" s="18" t="n">
        <f aca="false">IF(AND(N(AB23)&gt;0,N(AC23)&gt;0),SQRT(2*AB23/AC23),"")</f>
        <v>1.15470053837925</v>
      </c>
      <c r="AE23" s="18" t="n">
        <v>25.4</v>
      </c>
      <c r="AF23" s="18" t="n">
        <v>18</v>
      </c>
      <c r="AG23" s="18" t="n">
        <v>35.2</v>
      </c>
      <c r="AH23" s="18" t="n">
        <v>750</v>
      </c>
      <c r="AI23" s="18" t="n">
        <v>28.4</v>
      </c>
      <c r="AJ23" s="18" t="n">
        <v>12</v>
      </c>
      <c r="AK23" s="18"/>
      <c r="AL23" s="18"/>
      <c r="AM23" s="18" t="n">
        <v>8.45</v>
      </c>
      <c r="AN23" s="18" t="n">
        <v>5.1</v>
      </c>
      <c r="AO23" s="18" t="n">
        <v>1.5</v>
      </c>
      <c r="AP23" s="18" t="n">
        <v>52.1</v>
      </c>
      <c r="AQ23" s="18" t="n">
        <v>22.5</v>
      </c>
      <c r="AR23" s="18" t="s">
        <v>978</v>
      </c>
      <c r="AS23" s="18" t="s">
        <v>1521</v>
      </c>
      <c r="AT23" s="18" t="s">
        <v>1506</v>
      </c>
      <c r="AU23" s="18" t="s">
        <v>1507</v>
      </c>
      <c r="AV23" s="18" t="s">
        <v>1508</v>
      </c>
      <c r="AW23" s="30" t="s">
        <v>1655</v>
      </c>
      <c r="AX23" s="18" t="s">
        <v>928</v>
      </c>
      <c r="AY23" s="18" t="s">
        <v>1649</v>
      </c>
    </row>
    <row r="24" customFormat="false" ht="14.25" hidden="false" customHeight="true" outlineLevel="0" collapsed="false">
      <c r="A24" s="18" t="s">
        <v>914</v>
      </c>
      <c r="B24" s="18" t="s">
        <v>914</v>
      </c>
      <c r="C24" s="18" t="s">
        <v>915</v>
      </c>
      <c r="D24" s="18" t="n">
        <v>2020</v>
      </c>
      <c r="E24" s="18" t="s">
        <v>916</v>
      </c>
      <c r="F24" s="18" t="s">
        <v>815</v>
      </c>
      <c r="G24" s="18" t="s">
        <v>919</v>
      </c>
      <c r="H24" s="18" t="n">
        <v>28.4</v>
      </c>
      <c r="I24" s="18" t="n">
        <v>77.1</v>
      </c>
      <c r="J24" s="18" t="s">
        <v>83</v>
      </c>
      <c r="K24" s="18" t="s">
        <v>1504</v>
      </c>
      <c r="L24" s="18" t="s">
        <v>802</v>
      </c>
      <c r="M24" s="18" t="s">
        <v>85</v>
      </c>
      <c r="N24" s="18" t="s">
        <v>86</v>
      </c>
      <c r="O24" s="18" t="s">
        <v>1472</v>
      </c>
      <c r="P24" s="18"/>
      <c r="Q24" s="18" t="n">
        <v>0.78</v>
      </c>
      <c r="R24" s="18"/>
      <c r="S24" s="18"/>
      <c r="T24" s="18"/>
      <c r="U24" s="18"/>
      <c r="V24" s="18" t="n">
        <v>0.85</v>
      </c>
      <c r="W24" s="18"/>
      <c r="X24" s="18"/>
      <c r="Y24" s="18"/>
      <c r="Z24" s="18"/>
      <c r="AA24" s="18"/>
      <c r="AB24" s="18" t="n">
        <v>2</v>
      </c>
      <c r="AC24" s="18" t="n">
        <v>3</v>
      </c>
      <c r="AD24" s="18" t="n">
        <f aca="false">IF(AND(N(AB24)&gt;0,N(AC24)&gt;0),SQRT(2*AB24/AC24),"")</f>
        <v>1.15470053837925</v>
      </c>
      <c r="AE24" s="18" t="n">
        <v>25.4</v>
      </c>
      <c r="AF24" s="18" t="n">
        <v>18</v>
      </c>
      <c r="AG24" s="18" t="n">
        <v>35.2</v>
      </c>
      <c r="AH24" s="18" t="n">
        <v>750</v>
      </c>
      <c r="AI24" s="18" t="n">
        <v>28.4</v>
      </c>
      <c r="AJ24" s="18" t="n">
        <v>12</v>
      </c>
      <c r="AK24" s="18"/>
      <c r="AL24" s="18"/>
      <c r="AM24" s="18" t="n">
        <v>8.45</v>
      </c>
      <c r="AN24" s="18" t="n">
        <v>5.1</v>
      </c>
      <c r="AO24" s="18" t="n">
        <v>1.5</v>
      </c>
      <c r="AP24" s="18" t="n">
        <v>52.1</v>
      </c>
      <c r="AQ24" s="18" t="n">
        <v>22.5</v>
      </c>
      <c r="AR24" s="18" t="s">
        <v>978</v>
      </c>
      <c r="AS24" s="18" t="s">
        <v>1523</v>
      </c>
      <c r="AT24" s="18" t="s">
        <v>1506</v>
      </c>
      <c r="AU24" s="18" t="s">
        <v>1507</v>
      </c>
      <c r="AV24" s="18" t="s">
        <v>1508</v>
      </c>
      <c r="AW24" s="30" t="s">
        <v>1656</v>
      </c>
      <c r="AX24" s="18" t="s">
        <v>928</v>
      </c>
      <c r="AY24" s="18" t="s">
        <v>1649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1657</v>
      </c>
      <c r="Q1" s="25" t="s">
        <v>1658</v>
      </c>
      <c r="R1" s="25" t="s">
        <v>1659</v>
      </c>
      <c r="S1" s="25" t="s">
        <v>1660</v>
      </c>
      <c r="T1" s="25" t="s">
        <v>1661</v>
      </c>
      <c r="U1" s="25" t="s">
        <v>1662</v>
      </c>
      <c r="V1" s="25" t="s">
        <v>1663</v>
      </c>
      <c r="W1" s="25" t="s">
        <v>1664</v>
      </c>
      <c r="X1" s="28" t="s">
        <v>1665</v>
      </c>
      <c r="Y1" s="28" t="s">
        <v>1666</v>
      </c>
      <c r="Z1" s="28" t="s">
        <v>1667</v>
      </c>
      <c r="AA1" s="28" t="s">
        <v>1668</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A2" s="5" t="s">
        <v>931</v>
      </c>
      <c r="B2" s="5" t="s">
        <v>931</v>
      </c>
      <c r="C2" s="5" t="s">
        <v>932</v>
      </c>
      <c r="D2" s="5" t="n">
        <v>2023</v>
      </c>
      <c r="E2" s="5" t="s">
        <v>933</v>
      </c>
      <c r="F2" s="5" t="s">
        <v>936</v>
      </c>
      <c r="G2" s="5" t="s">
        <v>937</v>
      </c>
      <c r="H2" s="5" t="n">
        <v>35.27</v>
      </c>
      <c r="I2" s="5" t="n">
        <v>119.38</v>
      </c>
      <c r="J2" s="5" t="s">
        <v>870</v>
      </c>
      <c r="K2" s="5" t="n">
        <v>2020</v>
      </c>
      <c r="L2" s="5" t="s">
        <v>821</v>
      </c>
      <c r="M2" s="5"/>
      <c r="N2" s="5" t="s">
        <v>86</v>
      </c>
      <c r="O2" s="5" t="s">
        <v>1491</v>
      </c>
      <c r="P2" s="5" t="n">
        <v>3.24</v>
      </c>
      <c r="Q2" s="5"/>
      <c r="R2" s="5"/>
      <c r="S2" s="5"/>
      <c r="T2" s="5"/>
      <c r="U2" s="5"/>
      <c r="V2" s="5"/>
      <c r="W2" s="5"/>
      <c r="X2" s="5" t="n">
        <v>2.21</v>
      </c>
      <c r="Y2" s="5"/>
      <c r="Z2" s="5"/>
      <c r="AA2" s="5"/>
      <c r="AB2" s="5" t="n">
        <v>1</v>
      </c>
      <c r="AC2" s="5" t="n">
        <v>3</v>
      </c>
      <c r="AD2" s="5" t="n">
        <f aca="false">IF(AND(N(AB2)&gt;0,N(AC2)&gt;0),SQRT(2*AB2/AC2),"")</f>
        <v>0.816496580927726</v>
      </c>
      <c r="AE2" s="5"/>
      <c r="AF2" s="5"/>
      <c r="AG2" s="5"/>
      <c r="AH2" s="5" t="n">
        <v>916</v>
      </c>
      <c r="AI2" s="5" t="n">
        <v>35.27</v>
      </c>
      <c r="AJ2" s="5" t="n">
        <v>3</v>
      </c>
      <c r="AK2" s="5" t="n">
        <v>12.6</v>
      </c>
      <c r="AL2" s="5"/>
      <c r="AM2" s="5" t="n">
        <v>6.8</v>
      </c>
      <c r="AN2" s="5" t="n">
        <v>5.75</v>
      </c>
      <c r="AO2" s="5" t="n">
        <v>1.423</v>
      </c>
      <c r="AP2" s="5"/>
      <c r="AQ2" s="5"/>
      <c r="AR2" s="5" t="s">
        <v>1669</v>
      </c>
      <c r="AS2" s="5" t="s">
        <v>1492</v>
      </c>
      <c r="AT2" s="5" t="s">
        <v>1633</v>
      </c>
      <c r="AU2" s="5" t="s">
        <v>1494</v>
      </c>
      <c r="AV2" s="5" t="s">
        <v>1634</v>
      </c>
      <c r="AW2" s="23" t="s">
        <v>1635</v>
      </c>
      <c r="AX2" s="5" t="s">
        <v>947</v>
      </c>
      <c r="AY2" s="5" t="s">
        <v>1670</v>
      </c>
      <c r="BA2" s="31" t="s">
        <v>981</v>
      </c>
    </row>
    <row r="3" customFormat="false" ht="14.25" hidden="false" customHeight="true" outlineLevel="0" collapsed="false">
      <c r="A3" s="5" t="s">
        <v>931</v>
      </c>
      <c r="B3" s="5" t="s">
        <v>931</v>
      </c>
      <c r="C3" s="5" t="s">
        <v>932</v>
      </c>
      <c r="D3" s="5" t="n">
        <v>2023</v>
      </c>
      <c r="E3" s="5" t="s">
        <v>933</v>
      </c>
      <c r="F3" s="5" t="s">
        <v>936</v>
      </c>
      <c r="G3" s="5" t="s">
        <v>937</v>
      </c>
      <c r="H3" s="5" t="n">
        <v>35.27</v>
      </c>
      <c r="I3" s="5" t="n">
        <v>119.38</v>
      </c>
      <c r="J3" s="5" t="s">
        <v>870</v>
      </c>
      <c r="K3" s="5" t="n">
        <v>2020</v>
      </c>
      <c r="L3" s="5" t="s">
        <v>821</v>
      </c>
      <c r="M3" s="5"/>
      <c r="N3" s="5" t="s">
        <v>1479</v>
      </c>
      <c r="O3" s="5" t="s">
        <v>1500</v>
      </c>
      <c r="P3" s="5" t="n">
        <v>2.59</v>
      </c>
      <c r="Q3" s="5"/>
      <c r="R3" s="5"/>
      <c r="S3" s="5"/>
      <c r="T3" s="5"/>
      <c r="U3" s="5"/>
      <c r="V3" s="5"/>
      <c r="W3" s="5"/>
      <c r="X3" s="5" t="n">
        <v>2.76</v>
      </c>
      <c r="Y3" s="5"/>
      <c r="Z3" s="5"/>
      <c r="AA3" s="5"/>
      <c r="AB3" s="5" t="n">
        <v>2</v>
      </c>
      <c r="AC3" s="5" t="n">
        <v>3</v>
      </c>
      <c r="AD3" s="5" t="n">
        <f aca="false">IF(AND(N(AB3)&gt;0,N(AC3)&gt;0),SQRT(2*AB3/AC3),"")</f>
        <v>1.15470053837925</v>
      </c>
      <c r="AE3" s="5"/>
      <c r="AF3" s="5"/>
      <c r="AG3" s="5"/>
      <c r="AH3" s="5" t="n">
        <v>916</v>
      </c>
      <c r="AI3" s="5" t="n">
        <v>35.27</v>
      </c>
      <c r="AJ3" s="5" t="n">
        <v>3</v>
      </c>
      <c r="AK3" s="5" t="n">
        <v>12.6</v>
      </c>
      <c r="AL3" s="5"/>
      <c r="AM3" s="5" t="n">
        <v>6.8</v>
      </c>
      <c r="AN3" s="5" t="n">
        <v>5.75</v>
      </c>
      <c r="AO3" s="5" t="n">
        <v>1.423</v>
      </c>
      <c r="AP3" s="5"/>
      <c r="AQ3" s="5"/>
      <c r="AR3" s="5" t="s">
        <v>1669</v>
      </c>
      <c r="AS3" s="5" t="s">
        <v>1492</v>
      </c>
      <c r="AT3" s="5" t="s">
        <v>1633</v>
      </c>
      <c r="AU3" s="5" t="s">
        <v>1494</v>
      </c>
      <c r="AV3" s="5" t="s">
        <v>1634</v>
      </c>
      <c r="AW3" s="23" t="s">
        <v>1637</v>
      </c>
      <c r="AX3" s="5" t="s">
        <v>947</v>
      </c>
      <c r="AY3" s="5" t="s">
        <v>1670</v>
      </c>
    </row>
    <row r="4" customFormat="false" ht="14.25" hidden="false" customHeight="true" outlineLevel="0" collapsed="false">
      <c r="A4" s="5" t="s">
        <v>931</v>
      </c>
      <c r="B4" s="5" t="s">
        <v>931</v>
      </c>
      <c r="C4" s="5" t="s">
        <v>932</v>
      </c>
      <c r="D4" s="5" t="n">
        <v>2023</v>
      </c>
      <c r="E4" s="5" t="s">
        <v>933</v>
      </c>
      <c r="F4" s="5" t="s">
        <v>936</v>
      </c>
      <c r="G4" s="5" t="s">
        <v>937</v>
      </c>
      <c r="H4" s="5" t="n">
        <v>35.27</v>
      </c>
      <c r="I4" s="5" t="n">
        <v>119.38</v>
      </c>
      <c r="J4" s="5" t="s">
        <v>870</v>
      </c>
      <c r="K4" s="5" t="n">
        <v>2020</v>
      </c>
      <c r="L4" s="5" t="s">
        <v>821</v>
      </c>
      <c r="M4" s="5"/>
      <c r="N4" s="5" t="s">
        <v>1479</v>
      </c>
      <c r="O4" s="5" t="s">
        <v>1502</v>
      </c>
      <c r="P4" s="5" t="n">
        <v>2.17</v>
      </c>
      <c r="Q4" s="5"/>
      <c r="R4" s="5"/>
      <c r="S4" s="5"/>
      <c r="T4" s="5"/>
      <c r="U4" s="5"/>
      <c r="V4" s="5"/>
      <c r="W4" s="5"/>
      <c r="X4" s="5" t="n">
        <v>2.11</v>
      </c>
      <c r="Y4" s="5"/>
      <c r="Z4" s="5"/>
      <c r="AA4" s="5"/>
      <c r="AB4" s="5" t="n">
        <v>2</v>
      </c>
      <c r="AC4" s="5" t="n">
        <v>3</v>
      </c>
      <c r="AD4" s="5" t="n">
        <f aca="false">IF(AND(N(AB4)&gt;0,N(AC4)&gt;0),SQRT(2*AB4/AC4),"")</f>
        <v>1.15470053837925</v>
      </c>
      <c r="AE4" s="5"/>
      <c r="AF4" s="5"/>
      <c r="AG4" s="5"/>
      <c r="AH4" s="5" t="n">
        <v>916</v>
      </c>
      <c r="AI4" s="5" t="n">
        <v>35.27</v>
      </c>
      <c r="AJ4" s="5" t="n">
        <v>3</v>
      </c>
      <c r="AK4" s="5" t="n">
        <v>12.6</v>
      </c>
      <c r="AL4" s="5"/>
      <c r="AM4" s="5" t="n">
        <v>6.8</v>
      </c>
      <c r="AN4" s="5" t="n">
        <v>5.75</v>
      </c>
      <c r="AO4" s="5" t="n">
        <v>1.423</v>
      </c>
      <c r="AP4" s="5"/>
      <c r="AQ4" s="5"/>
      <c r="AR4" s="5" t="s">
        <v>1669</v>
      </c>
      <c r="AS4" s="5" t="s">
        <v>1492</v>
      </c>
      <c r="AT4" s="5" t="s">
        <v>1633</v>
      </c>
      <c r="AU4" s="5" t="s">
        <v>1494</v>
      </c>
      <c r="AV4" s="5" t="s">
        <v>1634</v>
      </c>
      <c r="AW4" s="23" t="s">
        <v>1638</v>
      </c>
      <c r="AX4" s="5" t="s">
        <v>947</v>
      </c>
      <c r="AY4" s="5" t="s">
        <v>1670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1671</v>
      </c>
      <c r="Q1" s="25" t="s">
        <v>1672</v>
      </c>
      <c r="R1" s="25" t="s">
        <v>1673</v>
      </c>
      <c r="S1" s="25" t="s">
        <v>1674</v>
      </c>
      <c r="T1" s="25" t="s">
        <v>1675</v>
      </c>
      <c r="U1" s="25" t="s">
        <v>1676</v>
      </c>
      <c r="V1" s="25" t="s">
        <v>1677</v>
      </c>
      <c r="W1" s="25" t="s">
        <v>1678</v>
      </c>
      <c r="X1" s="28" t="s">
        <v>1679</v>
      </c>
      <c r="Y1" s="28" t="s">
        <v>1680</v>
      </c>
      <c r="Z1" s="28" t="s">
        <v>1681</v>
      </c>
      <c r="AA1" s="28" t="s">
        <v>1682</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A2" s="18" t="s">
        <v>887</v>
      </c>
      <c r="B2" s="18" t="s">
        <v>887</v>
      </c>
      <c r="C2" s="18" t="s">
        <v>888</v>
      </c>
      <c r="D2" s="18" t="n">
        <v>2019</v>
      </c>
      <c r="E2" s="18" t="s">
        <v>833</v>
      </c>
      <c r="F2" s="18" t="s">
        <v>891</v>
      </c>
      <c r="G2" s="18" t="s">
        <v>892</v>
      </c>
      <c r="H2" s="18" t="n">
        <v>29.7</v>
      </c>
      <c r="I2" s="18" t="n">
        <v>76.96</v>
      </c>
      <c r="J2" s="18" t="s">
        <v>83</v>
      </c>
      <c r="K2" s="18" t="n">
        <v>2013</v>
      </c>
      <c r="L2" s="18" t="s">
        <v>84</v>
      </c>
      <c r="M2" s="18" t="s">
        <v>85</v>
      </c>
      <c r="N2" s="18" t="s">
        <v>86</v>
      </c>
      <c r="O2" s="18" t="s">
        <v>1472</v>
      </c>
      <c r="P2" s="18" t="n">
        <v>1.28</v>
      </c>
      <c r="Q2" s="18" t="n">
        <v>0.76</v>
      </c>
      <c r="R2" s="18"/>
      <c r="S2" s="18"/>
      <c r="T2" s="18"/>
      <c r="U2" s="18"/>
      <c r="V2" s="18"/>
      <c r="W2" s="18"/>
      <c r="X2" s="18" t="n">
        <v>0.98</v>
      </c>
      <c r="Y2" s="18"/>
      <c r="Z2" s="18"/>
      <c r="AA2" s="18"/>
      <c r="AB2" s="18" t="n">
        <v>1</v>
      </c>
      <c r="AC2" s="18" t="n">
        <v>3</v>
      </c>
      <c r="AD2" s="18" t="n">
        <f aca="false">IF(AND(N(AB2)&gt;0,N(AC2)&gt;0),SQRT(2*AB2/AC2),"")</f>
        <v>0.816496580927726</v>
      </c>
      <c r="AE2" s="18"/>
      <c r="AF2" s="18" t="n">
        <v>2</v>
      </c>
      <c r="AG2" s="18" t="n">
        <v>42.5</v>
      </c>
      <c r="AH2" s="18" t="n">
        <v>700</v>
      </c>
      <c r="AI2" s="18" t="n">
        <v>29.7</v>
      </c>
      <c r="AJ2" s="18" t="n">
        <v>4</v>
      </c>
      <c r="AK2" s="18"/>
      <c r="AL2" s="18"/>
      <c r="AM2" s="18"/>
      <c r="AN2" s="18"/>
      <c r="AO2" s="18"/>
      <c r="AP2" s="18"/>
      <c r="AQ2" s="18"/>
      <c r="AR2" s="18" t="s">
        <v>984</v>
      </c>
      <c r="AS2" s="18" t="s">
        <v>1639</v>
      </c>
      <c r="AT2" s="18" t="s">
        <v>1640</v>
      </c>
      <c r="AU2" s="18" t="s">
        <v>1641</v>
      </c>
      <c r="AV2" s="18" t="s">
        <v>91</v>
      </c>
      <c r="AW2" s="30" t="s">
        <v>1642</v>
      </c>
      <c r="AX2" s="18" t="s">
        <v>901</v>
      </c>
      <c r="AY2" s="18" t="s">
        <v>1643</v>
      </c>
      <c r="BA2" s="31" t="s">
        <v>984</v>
      </c>
    </row>
    <row r="3" customFormat="false" ht="15" hidden="false" customHeight="true" outlineLevel="0" collapsed="false">
      <c r="A3" s="18" t="s">
        <v>887</v>
      </c>
      <c r="B3" s="18" t="s">
        <v>887</v>
      </c>
      <c r="C3" s="18" t="s">
        <v>888</v>
      </c>
      <c r="D3" s="18" t="n">
        <v>2019</v>
      </c>
      <c r="E3" s="18" t="s">
        <v>833</v>
      </c>
      <c r="F3" s="18" t="s">
        <v>891</v>
      </c>
      <c r="G3" s="18" t="s">
        <v>892</v>
      </c>
      <c r="H3" s="18" t="n">
        <v>29.7</v>
      </c>
      <c r="I3" s="18" t="n">
        <v>76.96</v>
      </c>
      <c r="J3" s="18" t="s">
        <v>83</v>
      </c>
      <c r="K3" s="18" t="n">
        <v>2013</v>
      </c>
      <c r="L3" s="18" t="s">
        <v>84</v>
      </c>
      <c r="M3" s="18" t="s">
        <v>85</v>
      </c>
      <c r="N3" s="18" t="s">
        <v>1479</v>
      </c>
      <c r="O3" s="18" t="s">
        <v>1480</v>
      </c>
      <c r="P3" s="18" t="n">
        <v>0.49</v>
      </c>
      <c r="Q3" s="18" t="n">
        <v>0.62</v>
      </c>
      <c r="R3" s="18"/>
      <c r="S3" s="18"/>
      <c r="T3" s="18"/>
      <c r="U3" s="18"/>
      <c r="V3" s="18"/>
      <c r="W3" s="18"/>
      <c r="X3" s="18" t="n">
        <v>0.56</v>
      </c>
      <c r="Y3" s="18"/>
      <c r="Z3" s="18"/>
      <c r="AA3" s="18"/>
      <c r="AB3" s="18" t="n">
        <v>1</v>
      </c>
      <c r="AC3" s="18" t="n">
        <v>3</v>
      </c>
      <c r="AD3" s="18" t="n">
        <f aca="false">IF(AND(N(AB3)&gt;0,N(AC3)&gt;0),SQRT(2*AB3/AC3),"")</f>
        <v>0.816496580927726</v>
      </c>
      <c r="AE3" s="18"/>
      <c r="AF3" s="18" t="n">
        <v>2</v>
      </c>
      <c r="AG3" s="18" t="n">
        <v>42.5</v>
      </c>
      <c r="AH3" s="18" t="n">
        <v>700</v>
      </c>
      <c r="AI3" s="18" t="n">
        <v>29.7</v>
      </c>
      <c r="AJ3" s="18" t="n">
        <v>4</v>
      </c>
      <c r="AK3" s="18"/>
      <c r="AL3" s="18"/>
      <c r="AM3" s="18"/>
      <c r="AN3" s="18"/>
      <c r="AO3" s="18"/>
      <c r="AP3" s="18"/>
      <c r="AQ3" s="18"/>
      <c r="AR3" s="18" t="s">
        <v>984</v>
      </c>
      <c r="AS3" s="18" t="s">
        <v>1639</v>
      </c>
      <c r="AT3" s="18" t="s">
        <v>1640</v>
      </c>
      <c r="AU3" s="18" t="s">
        <v>1641</v>
      </c>
      <c r="AV3" s="18" t="s">
        <v>91</v>
      </c>
      <c r="AW3" s="30" t="s">
        <v>1644</v>
      </c>
      <c r="AX3" s="18" t="s">
        <v>901</v>
      </c>
      <c r="AY3" s="18" t="s">
        <v>1643</v>
      </c>
    </row>
    <row r="4" customFormat="false" ht="15" hidden="false" customHeight="true" outlineLevel="0" collapsed="false">
      <c r="A4" s="18" t="s">
        <v>887</v>
      </c>
      <c r="B4" s="18" t="s">
        <v>887</v>
      </c>
      <c r="C4" s="18" t="s">
        <v>888</v>
      </c>
      <c r="D4" s="18" t="n">
        <v>2019</v>
      </c>
      <c r="E4" s="18" t="s">
        <v>833</v>
      </c>
      <c r="F4" s="18" t="s">
        <v>891</v>
      </c>
      <c r="G4" s="18" t="s">
        <v>892</v>
      </c>
      <c r="H4" s="18" t="n">
        <v>29.7</v>
      </c>
      <c r="I4" s="18" t="n">
        <v>76.96</v>
      </c>
      <c r="J4" s="18" t="s">
        <v>83</v>
      </c>
      <c r="K4" s="18" t="n">
        <v>2015</v>
      </c>
      <c r="L4" s="18" t="s">
        <v>84</v>
      </c>
      <c r="M4" s="18" t="s">
        <v>85</v>
      </c>
      <c r="N4" s="18" t="s">
        <v>86</v>
      </c>
      <c r="O4" s="18" t="s">
        <v>1472</v>
      </c>
      <c r="P4" s="18" t="n">
        <v>1.29</v>
      </c>
      <c r="Q4" s="18" t="n">
        <v>0.79</v>
      </c>
      <c r="R4" s="18"/>
      <c r="S4" s="18"/>
      <c r="T4" s="18"/>
      <c r="U4" s="18"/>
      <c r="V4" s="18"/>
      <c r="W4" s="18"/>
      <c r="X4" s="18" t="n">
        <v>1.15</v>
      </c>
      <c r="Y4" s="18"/>
      <c r="Z4" s="18"/>
      <c r="AA4" s="18"/>
      <c r="AB4" s="18" t="n">
        <v>1</v>
      </c>
      <c r="AC4" s="18" t="n">
        <v>3</v>
      </c>
      <c r="AD4" s="18" t="n">
        <f aca="false">IF(AND(N(AB4)&gt;0,N(AC4)&gt;0),SQRT(2*AB4/AC4),"")</f>
        <v>0.816496580927726</v>
      </c>
      <c r="AE4" s="18"/>
      <c r="AF4" s="18" t="n">
        <v>2</v>
      </c>
      <c r="AG4" s="18" t="n">
        <v>42.5</v>
      </c>
      <c r="AH4" s="18" t="n">
        <v>700</v>
      </c>
      <c r="AI4" s="18" t="n">
        <v>29.7</v>
      </c>
      <c r="AJ4" s="18" t="n">
        <v>6</v>
      </c>
      <c r="AK4" s="18"/>
      <c r="AL4" s="18"/>
      <c r="AM4" s="18"/>
      <c r="AN4" s="18"/>
      <c r="AO4" s="18"/>
      <c r="AP4" s="18"/>
      <c r="AQ4" s="18"/>
      <c r="AR4" s="18" t="s">
        <v>984</v>
      </c>
      <c r="AS4" s="18" t="s">
        <v>1639</v>
      </c>
      <c r="AT4" s="18" t="s">
        <v>1645</v>
      </c>
      <c r="AU4" s="18" t="s">
        <v>1641</v>
      </c>
      <c r="AV4" s="18" t="s">
        <v>91</v>
      </c>
      <c r="AW4" s="30" t="s">
        <v>1646</v>
      </c>
      <c r="AX4" s="18" t="s">
        <v>901</v>
      </c>
      <c r="AY4" s="18" t="s">
        <v>1643</v>
      </c>
    </row>
    <row r="5" customFormat="false" ht="15" hidden="false" customHeight="true" outlineLevel="0" collapsed="false">
      <c r="A5" s="18" t="s">
        <v>887</v>
      </c>
      <c r="B5" s="18" t="s">
        <v>887</v>
      </c>
      <c r="C5" s="18" t="s">
        <v>888</v>
      </c>
      <c r="D5" s="18" t="n">
        <v>2019</v>
      </c>
      <c r="E5" s="18" t="s">
        <v>833</v>
      </c>
      <c r="F5" s="18" t="s">
        <v>891</v>
      </c>
      <c r="G5" s="18" t="s">
        <v>892</v>
      </c>
      <c r="H5" s="18" t="n">
        <v>29.7</v>
      </c>
      <c r="I5" s="18" t="n">
        <v>76.96</v>
      </c>
      <c r="J5" s="18" t="s">
        <v>83</v>
      </c>
      <c r="K5" s="18" t="n">
        <v>2015</v>
      </c>
      <c r="L5" s="18" t="s">
        <v>84</v>
      </c>
      <c r="M5" s="18" t="s">
        <v>85</v>
      </c>
      <c r="N5" s="18" t="s">
        <v>1479</v>
      </c>
      <c r="O5" s="18" t="s">
        <v>1480</v>
      </c>
      <c r="P5" s="18" t="n">
        <v>0.63</v>
      </c>
      <c r="Q5" s="18" t="n">
        <v>0.66</v>
      </c>
      <c r="R5" s="18"/>
      <c r="S5" s="18"/>
      <c r="T5" s="18"/>
      <c r="U5" s="18"/>
      <c r="V5" s="18"/>
      <c r="W5" s="18"/>
      <c r="X5" s="18" t="n">
        <v>0.66</v>
      </c>
      <c r="Y5" s="18"/>
      <c r="Z5" s="18"/>
      <c r="AA5" s="18"/>
      <c r="AB5" s="18" t="n">
        <v>1</v>
      </c>
      <c r="AC5" s="18" t="n">
        <v>3</v>
      </c>
      <c r="AD5" s="18" t="n">
        <f aca="false">IF(AND(N(AB5)&gt;0,N(AC5)&gt;0),SQRT(2*AB5/AC5),"")</f>
        <v>0.816496580927726</v>
      </c>
      <c r="AE5" s="18"/>
      <c r="AF5" s="18" t="n">
        <v>2</v>
      </c>
      <c r="AG5" s="18" t="n">
        <v>42.5</v>
      </c>
      <c r="AH5" s="18" t="n">
        <v>700</v>
      </c>
      <c r="AI5" s="18" t="n">
        <v>29.7</v>
      </c>
      <c r="AJ5" s="18" t="n">
        <v>6</v>
      </c>
      <c r="AK5" s="18"/>
      <c r="AL5" s="18"/>
      <c r="AM5" s="18"/>
      <c r="AN5" s="18"/>
      <c r="AO5" s="18"/>
      <c r="AP5" s="18"/>
      <c r="AQ5" s="18"/>
      <c r="AR5" s="18" t="s">
        <v>984</v>
      </c>
      <c r="AS5" s="18" t="s">
        <v>1639</v>
      </c>
      <c r="AT5" s="18" t="s">
        <v>1645</v>
      </c>
      <c r="AU5" s="18" t="s">
        <v>1641</v>
      </c>
      <c r="AV5" s="18" t="s">
        <v>91</v>
      </c>
      <c r="AW5" s="30" t="s">
        <v>1647</v>
      </c>
      <c r="AX5" s="18" t="s">
        <v>901</v>
      </c>
      <c r="AY5" s="18" t="s">
        <v>1643</v>
      </c>
    </row>
    <row r="6" customFormat="false" ht="15" hidden="false" customHeight="true" outlineLevel="0" collapsed="false">
      <c r="A6" s="18" t="s">
        <v>914</v>
      </c>
      <c r="B6" s="18" t="s">
        <v>914</v>
      </c>
      <c r="C6" s="18" t="s">
        <v>915</v>
      </c>
      <c r="D6" s="18" t="n">
        <v>2020</v>
      </c>
      <c r="E6" s="18" t="s">
        <v>916</v>
      </c>
      <c r="F6" s="18" t="s">
        <v>815</v>
      </c>
      <c r="G6" s="18" t="s">
        <v>919</v>
      </c>
      <c r="H6" s="18" t="n">
        <v>28.4</v>
      </c>
      <c r="I6" s="18" t="n">
        <v>77.1</v>
      </c>
      <c r="J6" s="18" t="s">
        <v>83</v>
      </c>
      <c r="K6" s="18" t="s">
        <v>1504</v>
      </c>
      <c r="L6" s="18" t="s">
        <v>802</v>
      </c>
      <c r="M6" s="18" t="s">
        <v>85</v>
      </c>
      <c r="N6" s="18" t="s">
        <v>86</v>
      </c>
      <c r="O6" s="18" t="s">
        <v>1472</v>
      </c>
      <c r="P6" s="18"/>
      <c r="Q6" s="18" t="n">
        <v>1.64</v>
      </c>
      <c r="R6" s="18"/>
      <c r="S6" s="18"/>
      <c r="T6" s="18"/>
      <c r="U6" s="18"/>
      <c r="V6" s="18" t="n">
        <v>1.87</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984</v>
      </c>
      <c r="AS6" s="18" t="s">
        <v>1505</v>
      </c>
      <c r="AT6" s="18" t="s">
        <v>1506</v>
      </c>
      <c r="AU6" s="18" t="s">
        <v>1507</v>
      </c>
      <c r="AV6" s="18" t="s">
        <v>1508</v>
      </c>
      <c r="AW6" s="30" t="s">
        <v>1683</v>
      </c>
      <c r="AX6" s="18" t="s">
        <v>928</v>
      </c>
      <c r="AY6" s="18" t="s">
        <v>1649</v>
      </c>
    </row>
    <row r="7" customFormat="false" ht="15" hidden="false" customHeight="true" outlineLevel="0" collapsed="false">
      <c r="A7" s="18" t="s">
        <v>914</v>
      </c>
      <c r="B7" s="18" t="s">
        <v>914</v>
      </c>
      <c r="C7" s="18" t="s">
        <v>915</v>
      </c>
      <c r="D7" s="18" t="n">
        <v>2020</v>
      </c>
      <c r="E7" s="18" t="s">
        <v>916</v>
      </c>
      <c r="F7" s="18" t="s">
        <v>815</v>
      </c>
      <c r="G7" s="18" t="s">
        <v>919</v>
      </c>
      <c r="H7" s="18" t="n">
        <v>28.4</v>
      </c>
      <c r="I7" s="18" t="n">
        <v>77.1</v>
      </c>
      <c r="J7" s="18" t="s">
        <v>83</v>
      </c>
      <c r="K7" s="18" t="s">
        <v>1504</v>
      </c>
      <c r="L7" s="18" t="s">
        <v>802</v>
      </c>
      <c r="M7" s="18" t="s">
        <v>85</v>
      </c>
      <c r="N7" s="18" t="s">
        <v>86</v>
      </c>
      <c r="O7" s="18" t="s">
        <v>1472</v>
      </c>
      <c r="P7" s="18"/>
      <c r="Q7" s="18" t="n">
        <v>1.64</v>
      </c>
      <c r="R7" s="18"/>
      <c r="S7" s="18"/>
      <c r="T7" s="18"/>
      <c r="U7" s="18"/>
      <c r="V7" s="18" t="n">
        <v>2.07</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984</v>
      </c>
      <c r="AS7" s="18" t="s">
        <v>1511</v>
      </c>
      <c r="AT7" s="18" t="s">
        <v>1506</v>
      </c>
      <c r="AU7" s="18" t="s">
        <v>1507</v>
      </c>
      <c r="AV7" s="18" t="s">
        <v>1508</v>
      </c>
      <c r="AW7" s="30" t="s">
        <v>1684</v>
      </c>
      <c r="AX7" s="18" t="s">
        <v>928</v>
      </c>
      <c r="AY7" s="18" t="s">
        <v>1649</v>
      </c>
    </row>
    <row r="8" customFormat="false" ht="14.25" hidden="false" customHeight="true" outlineLevel="0" collapsed="false">
      <c r="A8" s="18" t="s">
        <v>914</v>
      </c>
      <c r="B8" s="18" t="s">
        <v>914</v>
      </c>
      <c r="C8" s="18" t="s">
        <v>915</v>
      </c>
      <c r="D8" s="18" t="n">
        <v>2020</v>
      </c>
      <c r="E8" s="18" t="s">
        <v>916</v>
      </c>
      <c r="F8" s="18" t="s">
        <v>815</v>
      </c>
      <c r="G8" s="18" t="s">
        <v>919</v>
      </c>
      <c r="H8" s="18" t="n">
        <v>28.4</v>
      </c>
      <c r="I8" s="18" t="n">
        <v>77.1</v>
      </c>
      <c r="J8" s="18" t="s">
        <v>83</v>
      </c>
      <c r="K8" s="18" t="s">
        <v>1504</v>
      </c>
      <c r="L8" s="18" t="s">
        <v>802</v>
      </c>
      <c r="M8" s="18" t="s">
        <v>85</v>
      </c>
      <c r="N8" s="18" t="s">
        <v>86</v>
      </c>
      <c r="O8" s="18" t="s">
        <v>1472</v>
      </c>
      <c r="P8" s="18"/>
      <c r="Q8" s="18" t="n">
        <v>1.67</v>
      </c>
      <c r="R8" s="18"/>
      <c r="S8" s="18"/>
      <c r="T8" s="18"/>
      <c r="U8" s="18"/>
      <c r="V8" s="18" t="n">
        <v>1.91</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984</v>
      </c>
      <c r="AS8" s="18" t="s">
        <v>1513</v>
      </c>
      <c r="AT8" s="18" t="s">
        <v>1506</v>
      </c>
      <c r="AU8" s="18" t="s">
        <v>1507</v>
      </c>
      <c r="AV8" s="18" t="s">
        <v>1508</v>
      </c>
      <c r="AW8" s="30" t="s">
        <v>1685</v>
      </c>
      <c r="AX8" s="18" t="s">
        <v>928</v>
      </c>
      <c r="AY8" s="18" t="s">
        <v>1649</v>
      </c>
    </row>
    <row r="9" customFormat="false" ht="14.25" hidden="false" customHeight="true" outlineLevel="0" collapsed="false">
      <c r="A9" s="18" t="s">
        <v>914</v>
      </c>
      <c r="B9" s="18" t="s">
        <v>914</v>
      </c>
      <c r="C9" s="18" t="s">
        <v>915</v>
      </c>
      <c r="D9" s="18" t="n">
        <v>2020</v>
      </c>
      <c r="E9" s="18" t="s">
        <v>916</v>
      </c>
      <c r="F9" s="18" t="s">
        <v>815</v>
      </c>
      <c r="G9" s="18" t="s">
        <v>919</v>
      </c>
      <c r="H9" s="18" t="n">
        <v>28.4</v>
      </c>
      <c r="I9" s="18" t="n">
        <v>77.1</v>
      </c>
      <c r="J9" s="18" t="s">
        <v>83</v>
      </c>
      <c r="K9" s="18" t="s">
        <v>1504</v>
      </c>
      <c r="L9" s="18" t="s">
        <v>802</v>
      </c>
      <c r="M9" s="18" t="s">
        <v>85</v>
      </c>
      <c r="N9" s="18" t="s">
        <v>86</v>
      </c>
      <c r="O9" s="18" t="s">
        <v>1472</v>
      </c>
      <c r="P9" s="18"/>
      <c r="Q9" s="18" t="n">
        <v>1.67</v>
      </c>
      <c r="R9" s="18"/>
      <c r="S9" s="18"/>
      <c r="T9" s="18"/>
      <c r="U9" s="18"/>
      <c r="V9" s="18" t="n">
        <v>2.18</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984</v>
      </c>
      <c r="AS9" s="18" t="s">
        <v>1515</v>
      </c>
      <c r="AT9" s="18" t="s">
        <v>1506</v>
      </c>
      <c r="AU9" s="18" t="s">
        <v>1507</v>
      </c>
      <c r="AV9" s="18" t="s">
        <v>1508</v>
      </c>
      <c r="AW9" s="30" t="s">
        <v>1686</v>
      </c>
      <c r="AX9" s="18" t="s">
        <v>928</v>
      </c>
      <c r="AY9" s="18" t="s">
        <v>1649</v>
      </c>
    </row>
    <row r="10" customFormat="false" ht="14.25" hidden="false" customHeight="true" outlineLevel="0" collapsed="false">
      <c r="A10" s="18" t="s">
        <v>914</v>
      </c>
      <c r="B10" s="18" t="s">
        <v>914</v>
      </c>
      <c r="C10" s="18" t="s">
        <v>915</v>
      </c>
      <c r="D10" s="18" t="n">
        <v>2020</v>
      </c>
      <c r="E10" s="18" t="s">
        <v>916</v>
      </c>
      <c r="F10" s="18" t="s">
        <v>815</v>
      </c>
      <c r="G10" s="18" t="s">
        <v>919</v>
      </c>
      <c r="H10" s="18" t="n">
        <v>28.4</v>
      </c>
      <c r="I10" s="18" t="n">
        <v>77.1</v>
      </c>
      <c r="J10" s="18" t="s">
        <v>83</v>
      </c>
      <c r="K10" s="18" t="s">
        <v>1504</v>
      </c>
      <c r="L10" s="18" t="s">
        <v>802</v>
      </c>
      <c r="M10" s="18" t="s">
        <v>85</v>
      </c>
      <c r="N10" s="18" t="s">
        <v>86</v>
      </c>
      <c r="O10" s="18" t="s">
        <v>1472</v>
      </c>
      <c r="P10" s="18"/>
      <c r="Q10" s="18" t="n">
        <v>1.59</v>
      </c>
      <c r="R10" s="18"/>
      <c r="S10" s="18"/>
      <c r="T10" s="18"/>
      <c r="U10" s="18"/>
      <c r="V10" s="18" t="n">
        <v>1.82</v>
      </c>
      <c r="W10" s="18"/>
      <c r="X10" s="18"/>
      <c r="Y10" s="18"/>
      <c r="Z10" s="18"/>
      <c r="AA10" s="18"/>
      <c r="AB10" s="18" t="n">
        <v>2</v>
      </c>
      <c r="AC10" s="18" t="n">
        <v>3</v>
      </c>
      <c r="AD10" s="18" t="n">
        <f aca="false">IF(AND(N(AB10)&gt;0,N(AC10)&gt;0),SQRT(2*AB10/AC10),"")</f>
        <v>1.15470053837925</v>
      </c>
      <c r="AE10" s="18" t="n">
        <v>25.4</v>
      </c>
      <c r="AF10" s="18" t="n">
        <v>18</v>
      </c>
      <c r="AG10" s="18" t="n">
        <v>35.2</v>
      </c>
      <c r="AH10" s="18" t="n">
        <v>750</v>
      </c>
      <c r="AI10" s="18" t="n">
        <v>28.4</v>
      </c>
      <c r="AJ10" s="18" t="n">
        <v>12</v>
      </c>
      <c r="AK10" s="18"/>
      <c r="AL10" s="18"/>
      <c r="AM10" s="18" t="n">
        <v>8.45</v>
      </c>
      <c r="AN10" s="18" t="n">
        <v>5.1</v>
      </c>
      <c r="AO10" s="18" t="n">
        <v>1.5</v>
      </c>
      <c r="AP10" s="18" t="n">
        <v>52.1</v>
      </c>
      <c r="AQ10" s="18" t="n">
        <v>22.5</v>
      </c>
      <c r="AR10" s="18" t="s">
        <v>984</v>
      </c>
      <c r="AS10" s="18" t="s">
        <v>1517</v>
      </c>
      <c r="AT10" s="18" t="s">
        <v>1506</v>
      </c>
      <c r="AU10" s="18" t="s">
        <v>1507</v>
      </c>
      <c r="AV10" s="18" t="s">
        <v>1508</v>
      </c>
      <c r="AW10" s="30" t="s">
        <v>1687</v>
      </c>
      <c r="AX10" s="18" t="s">
        <v>928</v>
      </c>
      <c r="AY10" s="18" t="s">
        <v>1649</v>
      </c>
    </row>
    <row r="11" customFormat="false" ht="14.25" hidden="false" customHeight="true" outlineLevel="0" collapsed="false">
      <c r="A11" s="18" t="s">
        <v>914</v>
      </c>
      <c r="B11" s="18" t="s">
        <v>914</v>
      </c>
      <c r="C11" s="18" t="s">
        <v>915</v>
      </c>
      <c r="D11" s="18" t="n">
        <v>2020</v>
      </c>
      <c r="E11" s="18" t="s">
        <v>916</v>
      </c>
      <c r="F11" s="18" t="s">
        <v>815</v>
      </c>
      <c r="G11" s="18" t="s">
        <v>919</v>
      </c>
      <c r="H11" s="18" t="n">
        <v>28.4</v>
      </c>
      <c r="I11" s="18" t="n">
        <v>77.1</v>
      </c>
      <c r="J11" s="18" t="s">
        <v>83</v>
      </c>
      <c r="K11" s="18" t="s">
        <v>1504</v>
      </c>
      <c r="L11" s="18" t="s">
        <v>802</v>
      </c>
      <c r="M11" s="18" t="s">
        <v>85</v>
      </c>
      <c r="N11" s="18" t="s">
        <v>86</v>
      </c>
      <c r="O11" s="18" t="s">
        <v>1472</v>
      </c>
      <c r="P11" s="18"/>
      <c r="Q11" s="18" t="n">
        <v>1.59</v>
      </c>
      <c r="R11" s="18"/>
      <c r="S11" s="18"/>
      <c r="T11" s="18"/>
      <c r="U11" s="18"/>
      <c r="V11" s="18" t="n">
        <v>2.02</v>
      </c>
      <c r="W11" s="18"/>
      <c r="X11" s="18"/>
      <c r="Y11" s="18"/>
      <c r="Z11" s="18"/>
      <c r="AA11" s="18"/>
      <c r="AB11" s="18" t="n">
        <v>2</v>
      </c>
      <c r="AC11" s="18" t="n">
        <v>3</v>
      </c>
      <c r="AD11" s="18" t="n">
        <f aca="false">IF(AND(N(AB11)&gt;0,N(AC11)&gt;0),SQRT(2*AB11/AC11),"")</f>
        <v>1.15470053837925</v>
      </c>
      <c r="AE11" s="18" t="n">
        <v>25.4</v>
      </c>
      <c r="AF11" s="18" t="n">
        <v>18</v>
      </c>
      <c r="AG11" s="18" t="n">
        <v>35.2</v>
      </c>
      <c r="AH11" s="18" t="n">
        <v>750</v>
      </c>
      <c r="AI11" s="18" t="n">
        <v>28.4</v>
      </c>
      <c r="AJ11" s="18" t="n">
        <v>12</v>
      </c>
      <c r="AK11" s="18"/>
      <c r="AL11" s="18"/>
      <c r="AM11" s="18" t="n">
        <v>8.45</v>
      </c>
      <c r="AN11" s="18" t="n">
        <v>5.1</v>
      </c>
      <c r="AO11" s="18" t="n">
        <v>1.5</v>
      </c>
      <c r="AP11" s="18" t="n">
        <v>52.1</v>
      </c>
      <c r="AQ11" s="18" t="n">
        <v>22.5</v>
      </c>
      <c r="AR11" s="18" t="s">
        <v>984</v>
      </c>
      <c r="AS11" s="18" t="s">
        <v>1519</v>
      </c>
      <c r="AT11" s="18" t="s">
        <v>1506</v>
      </c>
      <c r="AU11" s="18" t="s">
        <v>1507</v>
      </c>
      <c r="AV11" s="18" t="s">
        <v>1508</v>
      </c>
      <c r="AW11" s="30" t="s">
        <v>1688</v>
      </c>
      <c r="AX11" s="18" t="s">
        <v>928</v>
      </c>
      <c r="AY11" s="18" t="s">
        <v>1649</v>
      </c>
    </row>
    <row r="12" customFormat="false" ht="14.25" hidden="false" customHeight="true" outlineLevel="0" collapsed="false">
      <c r="A12" s="18" t="s">
        <v>914</v>
      </c>
      <c r="B12" s="18" t="s">
        <v>914</v>
      </c>
      <c r="C12" s="18" t="s">
        <v>915</v>
      </c>
      <c r="D12" s="18" t="n">
        <v>2020</v>
      </c>
      <c r="E12" s="18" t="s">
        <v>916</v>
      </c>
      <c r="F12" s="18" t="s">
        <v>815</v>
      </c>
      <c r="G12" s="18" t="s">
        <v>919</v>
      </c>
      <c r="H12" s="18" t="n">
        <v>28.4</v>
      </c>
      <c r="I12" s="18" t="n">
        <v>77.1</v>
      </c>
      <c r="J12" s="18" t="s">
        <v>83</v>
      </c>
      <c r="K12" s="18" t="s">
        <v>1504</v>
      </c>
      <c r="L12" s="18" t="s">
        <v>802</v>
      </c>
      <c r="M12" s="18" t="s">
        <v>85</v>
      </c>
      <c r="N12" s="18" t="s">
        <v>86</v>
      </c>
      <c r="O12" s="18" t="s">
        <v>1472</v>
      </c>
      <c r="P12" s="18"/>
      <c r="Q12" s="18" t="n">
        <v>1.62</v>
      </c>
      <c r="R12" s="18"/>
      <c r="S12" s="18"/>
      <c r="T12" s="18"/>
      <c r="U12" s="18"/>
      <c r="V12" s="18" t="n">
        <v>1.86</v>
      </c>
      <c r="W12" s="18"/>
      <c r="X12" s="18"/>
      <c r="Y12" s="18"/>
      <c r="Z12" s="18"/>
      <c r="AA12" s="18"/>
      <c r="AB12" s="18" t="n">
        <v>2</v>
      </c>
      <c r="AC12" s="18" t="n">
        <v>3</v>
      </c>
      <c r="AD12" s="18" t="n">
        <f aca="false">IF(AND(N(AB12)&gt;0,N(AC12)&gt;0),SQRT(2*AB12/AC12),"")</f>
        <v>1.15470053837925</v>
      </c>
      <c r="AE12" s="18" t="n">
        <v>25.4</v>
      </c>
      <c r="AF12" s="18" t="n">
        <v>18</v>
      </c>
      <c r="AG12" s="18" t="n">
        <v>35.2</v>
      </c>
      <c r="AH12" s="18" t="n">
        <v>750</v>
      </c>
      <c r="AI12" s="18" t="n">
        <v>28.4</v>
      </c>
      <c r="AJ12" s="18" t="n">
        <v>12</v>
      </c>
      <c r="AK12" s="18"/>
      <c r="AL12" s="18"/>
      <c r="AM12" s="18" t="n">
        <v>8.45</v>
      </c>
      <c r="AN12" s="18" t="n">
        <v>5.1</v>
      </c>
      <c r="AO12" s="18" t="n">
        <v>1.5</v>
      </c>
      <c r="AP12" s="18" t="n">
        <v>52.1</v>
      </c>
      <c r="AQ12" s="18" t="n">
        <v>22.5</v>
      </c>
      <c r="AR12" s="18" t="s">
        <v>984</v>
      </c>
      <c r="AS12" s="18" t="s">
        <v>1521</v>
      </c>
      <c r="AT12" s="18" t="s">
        <v>1506</v>
      </c>
      <c r="AU12" s="18" t="s">
        <v>1507</v>
      </c>
      <c r="AV12" s="18" t="s">
        <v>1508</v>
      </c>
      <c r="AW12" s="30" t="s">
        <v>1689</v>
      </c>
      <c r="AX12" s="18" t="s">
        <v>928</v>
      </c>
      <c r="AY12" s="18" t="s">
        <v>1649</v>
      </c>
    </row>
    <row r="13" customFormat="false" ht="14.25" hidden="false" customHeight="true" outlineLevel="0" collapsed="false">
      <c r="A13" s="18" t="s">
        <v>914</v>
      </c>
      <c r="B13" s="18" t="s">
        <v>914</v>
      </c>
      <c r="C13" s="18" t="s">
        <v>915</v>
      </c>
      <c r="D13" s="18" t="n">
        <v>2020</v>
      </c>
      <c r="E13" s="18" t="s">
        <v>916</v>
      </c>
      <c r="F13" s="18" t="s">
        <v>815</v>
      </c>
      <c r="G13" s="18" t="s">
        <v>919</v>
      </c>
      <c r="H13" s="18" t="n">
        <v>28.4</v>
      </c>
      <c r="I13" s="18" t="n">
        <v>77.1</v>
      </c>
      <c r="J13" s="18" t="s">
        <v>83</v>
      </c>
      <c r="K13" s="18" t="s">
        <v>1504</v>
      </c>
      <c r="L13" s="18" t="s">
        <v>802</v>
      </c>
      <c r="M13" s="18" t="s">
        <v>85</v>
      </c>
      <c r="N13" s="18" t="s">
        <v>86</v>
      </c>
      <c r="O13" s="18" t="s">
        <v>1472</v>
      </c>
      <c r="P13" s="18"/>
      <c r="Q13" s="18" t="n">
        <v>1.62</v>
      </c>
      <c r="R13" s="18"/>
      <c r="S13" s="18"/>
      <c r="T13" s="18"/>
      <c r="U13" s="18"/>
      <c r="V13" s="18" t="n">
        <v>2.13</v>
      </c>
      <c r="W13" s="18"/>
      <c r="X13" s="18"/>
      <c r="Y13" s="18"/>
      <c r="Z13" s="18"/>
      <c r="AA13" s="18"/>
      <c r="AB13" s="18" t="n">
        <v>2</v>
      </c>
      <c r="AC13" s="18" t="n">
        <v>3</v>
      </c>
      <c r="AD13" s="18" t="n">
        <f aca="false">IF(AND(N(AB13)&gt;0,N(AC13)&gt;0),SQRT(2*AB13/AC13),"")</f>
        <v>1.15470053837925</v>
      </c>
      <c r="AE13" s="18" t="n">
        <v>25.4</v>
      </c>
      <c r="AF13" s="18" t="n">
        <v>18</v>
      </c>
      <c r="AG13" s="18" t="n">
        <v>35.2</v>
      </c>
      <c r="AH13" s="18" t="n">
        <v>750</v>
      </c>
      <c r="AI13" s="18" t="n">
        <v>28.4</v>
      </c>
      <c r="AJ13" s="18" t="n">
        <v>12</v>
      </c>
      <c r="AK13" s="18"/>
      <c r="AL13" s="18"/>
      <c r="AM13" s="18" t="n">
        <v>8.45</v>
      </c>
      <c r="AN13" s="18" t="n">
        <v>5.1</v>
      </c>
      <c r="AO13" s="18" t="n">
        <v>1.5</v>
      </c>
      <c r="AP13" s="18" t="n">
        <v>52.1</v>
      </c>
      <c r="AQ13" s="18" t="n">
        <v>22.5</v>
      </c>
      <c r="AR13" s="18" t="s">
        <v>984</v>
      </c>
      <c r="AS13" s="18" t="s">
        <v>1523</v>
      </c>
      <c r="AT13" s="18" t="s">
        <v>1506</v>
      </c>
      <c r="AU13" s="18" t="s">
        <v>1507</v>
      </c>
      <c r="AV13" s="18" t="s">
        <v>1508</v>
      </c>
      <c r="AW13" s="30" t="s">
        <v>1690</v>
      </c>
      <c r="AX13" s="18" t="s">
        <v>928</v>
      </c>
      <c r="AY13" s="18" t="s">
        <v>1649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1691</v>
      </c>
      <c r="Q1" s="25" t="s">
        <v>1692</v>
      </c>
      <c r="R1" s="25" t="s">
        <v>1693</v>
      </c>
      <c r="S1" s="25" t="s">
        <v>1694</v>
      </c>
      <c r="T1" s="25" t="s">
        <v>1695</v>
      </c>
      <c r="U1" s="25" t="s">
        <v>1696</v>
      </c>
      <c r="V1" s="25" t="s">
        <v>1697</v>
      </c>
      <c r="W1" s="25" t="s">
        <v>1698</v>
      </c>
      <c r="X1" s="28" t="s">
        <v>1699</v>
      </c>
      <c r="Y1" s="28" t="s">
        <v>1700</v>
      </c>
      <c r="Z1" s="28" t="s">
        <v>1701</v>
      </c>
      <c r="AA1" s="28" t="s">
        <v>1702</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A2" s="18" t="n">
        <v>168</v>
      </c>
      <c r="B2" s="18" t="n">
        <v>168</v>
      </c>
      <c r="C2" s="18" t="s">
        <v>862</v>
      </c>
      <c r="D2" s="18" t="n">
        <v>2020</v>
      </c>
      <c r="E2" s="18" t="s">
        <v>863</v>
      </c>
      <c r="F2" s="18" t="s">
        <v>866</v>
      </c>
      <c r="G2" s="18" t="s">
        <v>867</v>
      </c>
      <c r="H2" s="18" t="n">
        <v>30.933</v>
      </c>
      <c r="I2" s="18" t="n">
        <v>75.867</v>
      </c>
      <c r="J2" s="18" t="s">
        <v>870</v>
      </c>
      <c r="K2" s="18" t="n">
        <v>2016</v>
      </c>
      <c r="L2" s="18" t="s">
        <v>84</v>
      </c>
      <c r="M2" s="18" t="s">
        <v>85</v>
      </c>
      <c r="N2" s="18" t="s">
        <v>86</v>
      </c>
      <c r="O2" s="18" t="s">
        <v>1472</v>
      </c>
      <c r="P2" s="18" t="n">
        <f aca="false">ROUND((MACRO!P2+MICRO!P2)/100,3)</f>
        <v>0.674</v>
      </c>
      <c r="Q2" s="18" t="n">
        <f aca="false">ROUND((MACRO!Q2+MICRO!Q2)/100,3)</f>
        <v>0.585</v>
      </c>
      <c r="R2" s="18" t="n">
        <f aca="false">ROUND((MACRO!R2+MICRO!R2)/100,3)</f>
        <v>0.655</v>
      </c>
      <c r="S2" s="18"/>
      <c r="T2" s="18"/>
      <c r="U2" s="18"/>
      <c r="V2" s="18" t="n">
        <f aca="false">ROUND((MACRO!V2+MICRO!V2)/100,3)</f>
        <v>0.702</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1703</v>
      </c>
      <c r="AS2" s="18" t="s">
        <v>1473</v>
      </c>
      <c r="AT2" s="18" t="s">
        <v>1474</v>
      </c>
      <c r="AU2" s="18" t="s">
        <v>1475</v>
      </c>
      <c r="AV2" s="18" t="s">
        <v>1704</v>
      </c>
      <c r="AW2" s="30" t="s">
        <v>1705</v>
      </c>
      <c r="AX2" s="18" t="s">
        <v>877</v>
      </c>
      <c r="AY2" s="18" t="s">
        <v>1706</v>
      </c>
      <c r="BA2" s="31" t="s">
        <v>987</v>
      </c>
    </row>
    <row r="3" customFormat="false" ht="15" hidden="false" customHeight="true" outlineLevel="0" collapsed="false">
      <c r="A3" s="18" t="n">
        <v>168</v>
      </c>
      <c r="B3" s="18" t="n">
        <v>168</v>
      </c>
      <c r="C3" s="18" t="s">
        <v>862</v>
      </c>
      <c r="D3" s="18" t="n">
        <v>2020</v>
      </c>
      <c r="E3" s="18" t="s">
        <v>863</v>
      </c>
      <c r="F3" s="18" t="s">
        <v>866</v>
      </c>
      <c r="G3" s="18" t="s">
        <v>867</v>
      </c>
      <c r="H3" s="18" t="n">
        <v>30.933</v>
      </c>
      <c r="I3" s="18" t="n">
        <v>75.867</v>
      </c>
      <c r="J3" s="18" t="s">
        <v>870</v>
      </c>
      <c r="K3" s="18" t="n">
        <v>2016</v>
      </c>
      <c r="L3" s="18" t="s">
        <v>84</v>
      </c>
      <c r="M3" s="18" t="s">
        <v>85</v>
      </c>
      <c r="N3" s="18" t="s">
        <v>1479</v>
      </c>
      <c r="O3" s="18" t="s">
        <v>1480</v>
      </c>
      <c r="P3" s="18" t="n">
        <f aca="false">ROUND((MACRO!P3+MICRO!P3)/100,3)</f>
        <v>0.598</v>
      </c>
      <c r="Q3" s="18" t="n">
        <f aca="false">ROUND((MACRO!Q3+MICRO!Q3)/100,3)</f>
        <v>0.565</v>
      </c>
      <c r="R3" s="18" t="n">
        <f aca="false">ROUND((MACRO!R3+MICRO!R3)/100,3)</f>
        <v>0.609</v>
      </c>
      <c r="S3" s="18"/>
      <c r="T3" s="18"/>
      <c r="U3" s="18"/>
      <c r="V3" s="18" t="n">
        <f aca="false">ROUND((MACRO!V3+MICRO!V3)/100,3)</f>
        <v>0.611</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1703</v>
      </c>
      <c r="AS3" s="18" t="s">
        <v>1473</v>
      </c>
      <c r="AT3" s="18" t="s">
        <v>1474</v>
      </c>
      <c r="AU3" s="18" t="s">
        <v>1475</v>
      </c>
      <c r="AV3" s="18" t="s">
        <v>1704</v>
      </c>
      <c r="AW3" s="30" t="s">
        <v>1705</v>
      </c>
      <c r="AX3" s="18" t="s">
        <v>877</v>
      </c>
      <c r="AY3" s="18" t="s">
        <v>1706</v>
      </c>
    </row>
    <row r="4" customFormat="false" ht="15" hidden="false" customHeight="true" outlineLevel="0" collapsed="false">
      <c r="A4" s="5" t="n">
        <v>166</v>
      </c>
      <c r="B4" s="5" t="n">
        <v>166</v>
      </c>
      <c r="C4" s="5" t="s">
        <v>832</v>
      </c>
      <c r="D4" s="5" t="n">
        <v>2014</v>
      </c>
      <c r="E4" s="5" t="s">
        <v>833</v>
      </c>
      <c r="F4" s="5" t="s">
        <v>836</v>
      </c>
      <c r="G4" s="5" t="s">
        <v>837</v>
      </c>
      <c r="H4" s="5" t="n">
        <v>29.067</v>
      </c>
      <c r="I4" s="5" t="n">
        <v>77.767</v>
      </c>
      <c r="J4" s="5" t="s">
        <v>83</v>
      </c>
      <c r="K4" s="5" t="n">
        <v>2011</v>
      </c>
      <c r="L4" s="5" t="s">
        <v>802</v>
      </c>
      <c r="M4" s="5" t="s">
        <v>85</v>
      </c>
      <c r="N4" s="5" t="s">
        <v>86</v>
      </c>
      <c r="O4" s="5" t="s">
        <v>1618</v>
      </c>
      <c r="P4" s="5"/>
      <c r="Q4" s="5" t="n">
        <f aca="false">ROUND((MACRO!Q4+MICRO!Q4)/100,4)</f>
        <v>0.756</v>
      </c>
      <c r="R4" s="5"/>
      <c r="S4" s="5"/>
      <c r="T4" s="5"/>
      <c r="U4" s="5"/>
      <c r="V4" s="5" t="n">
        <f aca="false">ROUND((MACRO!V4+MICRO!V4)/100,4)</f>
        <v>0.9787</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1707</v>
      </c>
      <c r="AS4" s="5" t="s">
        <v>1620</v>
      </c>
      <c r="AT4" s="5" t="s">
        <v>1621</v>
      </c>
      <c r="AU4" s="5" t="s">
        <v>1622</v>
      </c>
      <c r="AV4" s="5" t="s">
        <v>1708</v>
      </c>
      <c r="AW4" s="23" t="s">
        <v>1709</v>
      </c>
      <c r="AX4" s="5" t="s">
        <v>848</v>
      </c>
      <c r="AY4" s="5" t="s">
        <v>1710</v>
      </c>
    </row>
    <row r="5" customFormat="false" ht="15" hidden="false" customHeight="true" outlineLevel="0" collapsed="false">
      <c r="A5" s="5" t="n">
        <v>166</v>
      </c>
      <c r="B5" s="5" t="n">
        <v>166</v>
      </c>
      <c r="C5" s="5" t="s">
        <v>832</v>
      </c>
      <c r="D5" s="5" t="n">
        <v>2014</v>
      </c>
      <c r="E5" s="5" t="s">
        <v>833</v>
      </c>
      <c r="F5" s="5" t="s">
        <v>836</v>
      </c>
      <c r="G5" s="5" t="s">
        <v>837</v>
      </c>
      <c r="H5" s="5" t="n">
        <v>29.067</v>
      </c>
      <c r="I5" s="5" t="n">
        <v>77.767</v>
      </c>
      <c r="J5" s="5" t="s">
        <v>83</v>
      </c>
      <c r="K5" s="5" t="n">
        <v>2011</v>
      </c>
      <c r="L5" s="5" t="s">
        <v>802</v>
      </c>
      <c r="M5" s="5" t="s">
        <v>85</v>
      </c>
      <c r="N5" s="5" t="s">
        <v>86</v>
      </c>
      <c r="O5" s="5" t="s">
        <v>1630</v>
      </c>
      <c r="P5" s="5"/>
      <c r="Q5" s="5" t="n">
        <f aca="false">ROUND((MACRO!Q5+MICRO!Q5)/100,4)</f>
        <v>0.8023</v>
      </c>
      <c r="R5" s="5"/>
      <c r="S5" s="5"/>
      <c r="T5" s="5"/>
      <c r="U5" s="5"/>
      <c r="V5" s="5" t="n">
        <f aca="false">ROUND((MACRO!V5+MICRO!V5)/100,4)</f>
        <v>0.9499</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1707</v>
      </c>
      <c r="AS5" s="5" t="s">
        <v>1620</v>
      </c>
      <c r="AT5" s="5" t="s">
        <v>1621</v>
      </c>
      <c r="AU5" s="5" t="s">
        <v>1622</v>
      </c>
      <c r="AV5" s="5" t="s">
        <v>1708</v>
      </c>
      <c r="AW5" s="23" t="s">
        <v>1709</v>
      </c>
      <c r="AX5" s="5" t="s">
        <v>848</v>
      </c>
      <c r="AY5" s="5" t="s">
        <v>1710</v>
      </c>
    </row>
    <row r="6" customFormat="false" ht="15" hidden="false" customHeight="true" outlineLevel="0" collapsed="false">
      <c r="A6" s="5" t="n">
        <v>166</v>
      </c>
      <c r="B6" s="5" t="n">
        <v>166</v>
      </c>
      <c r="C6" s="5" t="s">
        <v>832</v>
      </c>
      <c r="D6" s="5" t="n">
        <v>2014</v>
      </c>
      <c r="E6" s="5" t="s">
        <v>833</v>
      </c>
      <c r="F6" s="5" t="s">
        <v>836</v>
      </c>
      <c r="G6" s="5" t="s">
        <v>837</v>
      </c>
      <c r="H6" s="5" t="n">
        <v>29.067</v>
      </c>
      <c r="I6" s="5" t="n">
        <v>77.767</v>
      </c>
      <c r="J6" s="5" t="s">
        <v>83</v>
      </c>
      <c r="K6" s="5" t="n">
        <v>2011</v>
      </c>
      <c r="L6" s="5" t="s">
        <v>802</v>
      </c>
      <c r="M6" s="5" t="s">
        <v>85</v>
      </c>
      <c r="N6" s="5" t="s">
        <v>1479</v>
      </c>
      <c r="O6" s="5" t="s">
        <v>1480</v>
      </c>
      <c r="P6" s="5"/>
      <c r="Q6" s="5" t="n">
        <f aca="false">ROUND((MACRO!Q6+MICRO!Q6)/100,4)</f>
        <v>0.9878</v>
      </c>
      <c r="R6" s="5"/>
      <c r="S6" s="5"/>
      <c r="T6" s="5"/>
      <c r="U6" s="5"/>
      <c r="V6" s="5" t="n">
        <f aca="false">ROUND((MACRO!V6+MICRO!V6)/100,4)</f>
        <v>0.934</v>
      </c>
      <c r="W6" s="5"/>
      <c r="X6" s="5"/>
      <c r="Y6" s="5"/>
      <c r="Z6" s="5"/>
      <c r="AA6" s="5"/>
      <c r="AB6" s="5" t="n">
        <v>1</v>
      </c>
      <c r="AC6" s="5" t="n">
        <v>3</v>
      </c>
      <c r="AD6" s="5" t="n">
        <f aca="false">IF(AND(N(AB6)&gt;0,N(AC6)&gt;0),SQRT(2*AB6/AC6),"")</f>
        <v>0.816496580927726</v>
      </c>
      <c r="AE6" s="5" t="n">
        <v>27</v>
      </c>
      <c r="AF6" s="5" t="n">
        <v>5</v>
      </c>
      <c r="AG6" s="5" t="n">
        <v>45.5</v>
      </c>
      <c r="AH6" s="5" t="n">
        <v>863</v>
      </c>
      <c r="AI6" s="5" t="n">
        <v>29.067</v>
      </c>
      <c r="AJ6" s="5" t="n">
        <v>18</v>
      </c>
      <c r="AK6" s="5"/>
      <c r="AL6" s="5"/>
      <c r="AM6" s="5" t="n">
        <v>7.98</v>
      </c>
      <c r="AN6" s="5" t="n">
        <v>4.1</v>
      </c>
      <c r="AO6" s="5" t="n">
        <v>1.55</v>
      </c>
      <c r="AP6" s="5" t="n">
        <v>55</v>
      </c>
      <c r="AQ6" s="5" t="n">
        <v>18</v>
      </c>
      <c r="AR6" s="5" t="s">
        <v>1707</v>
      </c>
      <c r="AS6" s="5" t="s">
        <v>1620</v>
      </c>
      <c r="AT6" s="5" t="s">
        <v>1621</v>
      </c>
      <c r="AU6" s="5" t="s">
        <v>1622</v>
      </c>
      <c r="AV6" s="5" t="s">
        <v>1708</v>
      </c>
      <c r="AW6" s="23" t="s">
        <v>1711</v>
      </c>
      <c r="AX6" s="5" t="s">
        <v>848</v>
      </c>
      <c r="AY6" s="5" t="s">
        <v>1710</v>
      </c>
    </row>
    <row r="7" customFormat="false" ht="15" hidden="false" customHeight="true" outlineLevel="0" collapsed="false">
      <c r="A7" s="18" t="s">
        <v>887</v>
      </c>
      <c r="B7" s="18" t="s">
        <v>887</v>
      </c>
      <c r="C7" s="18" t="s">
        <v>888</v>
      </c>
      <c r="D7" s="18" t="n">
        <v>2019</v>
      </c>
      <c r="E7" s="18" t="s">
        <v>833</v>
      </c>
      <c r="F7" s="18" t="s">
        <v>891</v>
      </c>
      <c r="G7" s="18" t="s">
        <v>892</v>
      </c>
      <c r="H7" s="18" t="n">
        <v>29.7</v>
      </c>
      <c r="I7" s="18" t="n">
        <v>76.96</v>
      </c>
      <c r="J7" s="18" t="s">
        <v>83</v>
      </c>
      <c r="K7" s="18" t="n">
        <v>2013</v>
      </c>
      <c r="L7" s="18" t="s">
        <v>84</v>
      </c>
      <c r="M7" s="18" t="s">
        <v>85</v>
      </c>
      <c r="N7" s="18" t="s">
        <v>86</v>
      </c>
      <c r="O7" s="18" t="s">
        <v>1472</v>
      </c>
      <c r="P7" s="18" t="n">
        <f aca="false">ROUND(43.77/100,4)</f>
        <v>0.4377</v>
      </c>
      <c r="Q7" s="18" t="n">
        <f aca="false">ROUND(30.84/100,4)</f>
        <v>0.3084</v>
      </c>
      <c r="R7" s="18"/>
      <c r="S7" s="18"/>
      <c r="T7" s="18"/>
      <c r="U7" s="18"/>
      <c r="V7" s="18"/>
      <c r="W7" s="18"/>
      <c r="X7" s="18" t="n">
        <f aca="false">ROUND(41.44/100,4)</f>
        <v>0.4144</v>
      </c>
      <c r="Y7" s="18"/>
      <c r="Z7" s="18"/>
      <c r="AA7" s="18"/>
      <c r="AB7" s="18" t="n">
        <v>1</v>
      </c>
      <c r="AC7" s="18" t="n">
        <v>3</v>
      </c>
      <c r="AD7" s="18" t="n">
        <f aca="false">IF(AND(N(AB7)&gt;0,N(AC7)&gt;0),SQRT(2*AB7/AC7),"")</f>
        <v>0.816496580927726</v>
      </c>
      <c r="AE7" s="18"/>
      <c r="AF7" s="18" t="n">
        <v>2</v>
      </c>
      <c r="AG7" s="18" t="n">
        <v>42.5</v>
      </c>
      <c r="AH7" s="18" t="n">
        <v>700</v>
      </c>
      <c r="AI7" s="18" t="n">
        <v>29.7</v>
      </c>
      <c r="AJ7" s="18" t="n">
        <v>4</v>
      </c>
      <c r="AK7" s="18"/>
      <c r="AL7" s="18"/>
      <c r="AM7" s="18"/>
      <c r="AN7" s="18"/>
      <c r="AO7" s="18"/>
      <c r="AP7" s="18"/>
      <c r="AQ7" s="18"/>
      <c r="AR7" s="18" t="s">
        <v>1712</v>
      </c>
      <c r="AS7" s="18" t="s">
        <v>1639</v>
      </c>
      <c r="AT7" s="18" t="s">
        <v>1640</v>
      </c>
      <c r="AU7" s="18" t="s">
        <v>1641</v>
      </c>
      <c r="AV7" s="18" t="s">
        <v>1713</v>
      </c>
      <c r="AW7" s="30" t="s">
        <v>1642</v>
      </c>
      <c r="AX7" s="18" t="s">
        <v>901</v>
      </c>
      <c r="AY7" s="18" t="s">
        <v>1643</v>
      </c>
    </row>
    <row r="8" customFormat="false" ht="15" hidden="false" customHeight="true" outlineLevel="0" collapsed="false">
      <c r="A8" s="18" t="s">
        <v>887</v>
      </c>
      <c r="B8" s="18" t="s">
        <v>887</v>
      </c>
      <c r="C8" s="18" t="s">
        <v>888</v>
      </c>
      <c r="D8" s="18" t="n">
        <v>2019</v>
      </c>
      <c r="E8" s="18" t="s">
        <v>833</v>
      </c>
      <c r="F8" s="18" t="s">
        <v>891</v>
      </c>
      <c r="G8" s="18" t="s">
        <v>892</v>
      </c>
      <c r="H8" s="18" t="n">
        <v>29.7</v>
      </c>
      <c r="I8" s="18" t="n">
        <v>76.96</v>
      </c>
      <c r="J8" s="18" t="s">
        <v>83</v>
      </c>
      <c r="K8" s="18" t="n">
        <v>2013</v>
      </c>
      <c r="L8" s="18" t="s">
        <v>84</v>
      </c>
      <c r="M8" s="18" t="s">
        <v>85</v>
      </c>
      <c r="N8" s="18" t="s">
        <v>1479</v>
      </c>
      <c r="O8" s="18" t="s">
        <v>1480</v>
      </c>
      <c r="P8" s="18" t="n">
        <f aca="false">ROUND(26.39/100,4)</f>
        <v>0.2639</v>
      </c>
      <c r="Q8" s="18" t="n">
        <f aca="false">ROUND(28.8/100,4)</f>
        <v>0.288</v>
      </c>
      <c r="R8" s="18"/>
      <c r="S8" s="18"/>
      <c r="T8" s="18"/>
      <c r="U8" s="18"/>
      <c r="V8" s="18"/>
      <c r="W8" s="18"/>
      <c r="X8" s="18" t="n">
        <f aca="false">ROUND(30.5/100,4)</f>
        <v>0.305</v>
      </c>
      <c r="Y8" s="18"/>
      <c r="Z8" s="18"/>
      <c r="AA8" s="18"/>
      <c r="AB8" s="18" t="n">
        <v>1</v>
      </c>
      <c r="AC8" s="18" t="n">
        <v>3</v>
      </c>
      <c r="AD8" s="18" t="n">
        <f aca="false">IF(AND(N(AB8)&gt;0,N(AC8)&gt;0),SQRT(2*AB8/AC8),"")</f>
        <v>0.816496580927726</v>
      </c>
      <c r="AE8" s="18"/>
      <c r="AF8" s="18" t="n">
        <v>2</v>
      </c>
      <c r="AG8" s="18" t="n">
        <v>42.5</v>
      </c>
      <c r="AH8" s="18" t="n">
        <v>700</v>
      </c>
      <c r="AI8" s="18" t="n">
        <v>29.7</v>
      </c>
      <c r="AJ8" s="18" t="n">
        <v>4</v>
      </c>
      <c r="AK8" s="18"/>
      <c r="AL8" s="18"/>
      <c r="AM8" s="18"/>
      <c r="AN8" s="18"/>
      <c r="AO8" s="18"/>
      <c r="AP8" s="18"/>
      <c r="AQ8" s="18"/>
      <c r="AR8" s="18" t="s">
        <v>1712</v>
      </c>
      <c r="AS8" s="18" t="s">
        <v>1639</v>
      </c>
      <c r="AT8" s="18" t="s">
        <v>1640</v>
      </c>
      <c r="AU8" s="18" t="s">
        <v>1641</v>
      </c>
      <c r="AV8" s="18" t="s">
        <v>1713</v>
      </c>
      <c r="AW8" s="30" t="s">
        <v>1644</v>
      </c>
      <c r="AX8" s="18" t="s">
        <v>901</v>
      </c>
      <c r="AY8" s="18" t="s">
        <v>1643</v>
      </c>
    </row>
    <row r="9" customFormat="false" ht="15" hidden="false" customHeight="true" outlineLevel="0" collapsed="false">
      <c r="A9" s="18" t="s">
        <v>887</v>
      </c>
      <c r="B9" s="18" t="s">
        <v>887</v>
      </c>
      <c r="C9" s="18" t="s">
        <v>888</v>
      </c>
      <c r="D9" s="18" t="n">
        <v>2019</v>
      </c>
      <c r="E9" s="18" t="s">
        <v>833</v>
      </c>
      <c r="F9" s="18" t="s">
        <v>891</v>
      </c>
      <c r="G9" s="18" t="s">
        <v>892</v>
      </c>
      <c r="H9" s="18" t="n">
        <v>29.7</v>
      </c>
      <c r="I9" s="18" t="n">
        <v>76.96</v>
      </c>
      <c r="J9" s="18" t="s">
        <v>83</v>
      </c>
      <c r="K9" s="18" t="n">
        <v>2015</v>
      </c>
      <c r="L9" s="18" t="s">
        <v>84</v>
      </c>
      <c r="M9" s="18" t="s">
        <v>85</v>
      </c>
      <c r="N9" s="18" t="s">
        <v>86</v>
      </c>
      <c r="O9" s="18" t="s">
        <v>1472</v>
      </c>
      <c r="P9" s="18" t="n">
        <f aca="false">ROUND(51.32/100,4)</f>
        <v>0.5132</v>
      </c>
      <c r="Q9" s="18" t="n">
        <f aca="false">ROUND(33.29/100,4)</f>
        <v>0.3329</v>
      </c>
      <c r="R9" s="18"/>
      <c r="S9" s="18"/>
      <c r="T9" s="18"/>
      <c r="U9" s="18"/>
      <c r="V9" s="18"/>
      <c r="W9" s="18"/>
      <c r="X9" s="18" t="n">
        <f aca="false">ROUND(49.2/100,4)</f>
        <v>0.492</v>
      </c>
      <c r="Y9" s="18"/>
      <c r="Z9" s="18"/>
      <c r="AA9" s="18"/>
      <c r="AB9" s="18" t="n">
        <v>1</v>
      </c>
      <c r="AC9" s="18" t="n">
        <v>3</v>
      </c>
      <c r="AD9" s="18" t="n">
        <f aca="false">IF(AND(N(AB9)&gt;0,N(AC9)&gt;0),SQRT(2*AB9/AC9),"")</f>
        <v>0.816496580927726</v>
      </c>
      <c r="AE9" s="18"/>
      <c r="AF9" s="18" t="n">
        <v>2</v>
      </c>
      <c r="AG9" s="18" t="n">
        <v>42.5</v>
      </c>
      <c r="AH9" s="18" t="n">
        <v>700</v>
      </c>
      <c r="AI9" s="18" t="n">
        <v>29.7</v>
      </c>
      <c r="AJ9" s="18" t="n">
        <v>6</v>
      </c>
      <c r="AK9" s="18"/>
      <c r="AL9" s="18"/>
      <c r="AM9" s="18"/>
      <c r="AN9" s="18"/>
      <c r="AO9" s="18"/>
      <c r="AP9" s="18"/>
      <c r="AQ9" s="18"/>
      <c r="AR9" s="18" t="s">
        <v>1712</v>
      </c>
      <c r="AS9" s="18" t="s">
        <v>1639</v>
      </c>
      <c r="AT9" s="18" t="s">
        <v>1645</v>
      </c>
      <c r="AU9" s="18" t="s">
        <v>1641</v>
      </c>
      <c r="AV9" s="18" t="s">
        <v>1713</v>
      </c>
      <c r="AW9" s="30" t="s">
        <v>1646</v>
      </c>
      <c r="AX9" s="18" t="s">
        <v>901</v>
      </c>
      <c r="AY9" s="18" t="s">
        <v>1643</v>
      </c>
    </row>
    <row r="10" customFormat="false" ht="15" hidden="false" customHeight="true" outlineLevel="0" collapsed="false">
      <c r="A10" s="18" t="s">
        <v>887</v>
      </c>
      <c r="B10" s="18" t="s">
        <v>887</v>
      </c>
      <c r="C10" s="18" t="s">
        <v>888</v>
      </c>
      <c r="D10" s="18" t="n">
        <v>2019</v>
      </c>
      <c r="E10" s="18" t="s">
        <v>833</v>
      </c>
      <c r="F10" s="18" t="s">
        <v>891</v>
      </c>
      <c r="G10" s="18" t="s">
        <v>892</v>
      </c>
      <c r="H10" s="18" t="n">
        <v>29.7</v>
      </c>
      <c r="I10" s="18" t="n">
        <v>76.96</v>
      </c>
      <c r="J10" s="18" t="s">
        <v>83</v>
      </c>
      <c r="K10" s="18" t="n">
        <v>2015</v>
      </c>
      <c r="L10" s="18" t="s">
        <v>84</v>
      </c>
      <c r="M10" s="18" t="s">
        <v>85</v>
      </c>
      <c r="N10" s="18" t="s">
        <v>1479</v>
      </c>
      <c r="O10" s="18" t="s">
        <v>1480</v>
      </c>
      <c r="P10" s="18" t="n">
        <f aca="false">ROUND(31.91/100,4)</f>
        <v>0.3191</v>
      </c>
      <c r="Q10" s="18" t="n">
        <f aca="false">ROUND(29.07/100,4)</f>
        <v>0.2907</v>
      </c>
      <c r="R10" s="18"/>
      <c r="S10" s="18"/>
      <c r="T10" s="18"/>
      <c r="U10" s="18"/>
      <c r="V10" s="18"/>
      <c r="W10" s="18"/>
      <c r="X10" s="18" t="n">
        <f aca="false">ROUND(39.41/100,4)</f>
        <v>0.3941</v>
      </c>
      <c r="Y10" s="18"/>
      <c r="Z10" s="18"/>
      <c r="AA10" s="18"/>
      <c r="AB10" s="18" t="n">
        <v>1</v>
      </c>
      <c r="AC10" s="18" t="n">
        <v>3</v>
      </c>
      <c r="AD10" s="18" t="n">
        <f aca="false">IF(AND(N(AB10)&gt;0,N(AC10)&gt;0),SQRT(2*AB10/AC10),"")</f>
        <v>0.816496580927726</v>
      </c>
      <c r="AE10" s="18"/>
      <c r="AF10" s="18" t="n">
        <v>2</v>
      </c>
      <c r="AG10" s="18" t="n">
        <v>42.5</v>
      </c>
      <c r="AH10" s="18" t="n">
        <v>700</v>
      </c>
      <c r="AI10" s="18" t="n">
        <v>29.7</v>
      </c>
      <c r="AJ10" s="18" t="n">
        <v>6</v>
      </c>
      <c r="AK10" s="18"/>
      <c r="AL10" s="18"/>
      <c r="AM10" s="18"/>
      <c r="AN10" s="18"/>
      <c r="AO10" s="18"/>
      <c r="AP10" s="18"/>
      <c r="AQ10" s="18"/>
      <c r="AR10" s="18" t="s">
        <v>1712</v>
      </c>
      <c r="AS10" s="18" t="s">
        <v>1639</v>
      </c>
      <c r="AT10" s="18" t="s">
        <v>1645</v>
      </c>
      <c r="AU10" s="18" t="s">
        <v>1641</v>
      </c>
      <c r="AV10" s="18" t="s">
        <v>1713</v>
      </c>
      <c r="AW10" s="30" t="s">
        <v>1647</v>
      </c>
      <c r="AX10" s="18" t="s">
        <v>901</v>
      </c>
      <c r="AY10" s="18" t="s">
        <v>1643</v>
      </c>
    </row>
    <row r="11" customFormat="false" ht="15" hidden="false" customHeight="true" outlineLevel="0" collapsed="false"/>
    <row r="12" customFormat="false" ht="15" hidden="false" customHeight="true" outlineLevel="0" collapsed="false"/>
    <row r="1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1714</v>
      </c>
      <c r="Q1" s="25" t="s">
        <v>1715</v>
      </c>
      <c r="R1" s="25" t="s">
        <v>1716</v>
      </c>
      <c r="S1" s="25" t="s">
        <v>1717</v>
      </c>
      <c r="T1" s="25" t="s">
        <v>1718</v>
      </c>
      <c r="U1" s="25" t="s">
        <v>1719</v>
      </c>
      <c r="V1" s="25" t="s">
        <v>1720</v>
      </c>
      <c r="W1" s="25" t="s">
        <v>1721</v>
      </c>
      <c r="X1" s="28" t="s">
        <v>1722</v>
      </c>
      <c r="Y1" s="28" t="s">
        <v>1723</v>
      </c>
      <c r="Z1" s="28" t="s">
        <v>1724</v>
      </c>
      <c r="AA1" s="28" t="s">
        <v>1725</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A2" s="18" t="n">
        <v>168</v>
      </c>
      <c r="B2" s="18" t="n">
        <v>168</v>
      </c>
      <c r="C2" s="18" t="s">
        <v>862</v>
      </c>
      <c r="D2" s="18" t="n">
        <v>2020</v>
      </c>
      <c r="E2" s="18" t="s">
        <v>863</v>
      </c>
      <c r="F2" s="18" t="s">
        <v>866</v>
      </c>
      <c r="G2" s="18" t="s">
        <v>867</v>
      </c>
      <c r="H2" s="18" t="n">
        <v>30.933</v>
      </c>
      <c r="I2" s="18" t="n">
        <v>75.867</v>
      </c>
      <c r="J2" s="18" t="s">
        <v>870</v>
      </c>
      <c r="K2" s="18" t="n">
        <v>2016</v>
      </c>
      <c r="L2" s="18" t="s">
        <v>84</v>
      </c>
      <c r="M2" s="18" t="s">
        <v>85</v>
      </c>
      <c r="N2" s="18" t="s">
        <v>86</v>
      </c>
      <c r="O2" s="18" t="s">
        <v>1472</v>
      </c>
      <c r="P2" s="18" t="n">
        <v>55.5</v>
      </c>
      <c r="Q2" s="18" t="n">
        <v>43.7</v>
      </c>
      <c r="R2" s="18" t="n">
        <v>52.4</v>
      </c>
      <c r="S2" s="18"/>
      <c r="T2" s="18"/>
      <c r="U2" s="18"/>
      <c r="V2" s="18" t="n">
        <v>56.1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1726</v>
      </c>
      <c r="AS2" s="18" t="s">
        <v>1473</v>
      </c>
      <c r="AT2" s="18" t="s">
        <v>1474</v>
      </c>
      <c r="AU2" s="18" t="s">
        <v>1475</v>
      </c>
      <c r="AV2" s="18" t="s">
        <v>91</v>
      </c>
      <c r="AW2" s="30" t="s">
        <v>1727</v>
      </c>
      <c r="AX2" s="18" t="s">
        <v>877</v>
      </c>
      <c r="AY2" s="18" t="s">
        <v>1706</v>
      </c>
      <c r="BA2" s="31" t="s">
        <v>990</v>
      </c>
    </row>
    <row r="3" customFormat="false" ht="15" hidden="false" customHeight="true" outlineLevel="0" collapsed="false">
      <c r="A3" s="18" t="n">
        <v>168</v>
      </c>
      <c r="B3" s="18" t="n">
        <v>168</v>
      </c>
      <c r="C3" s="18" t="s">
        <v>862</v>
      </c>
      <c r="D3" s="18" t="n">
        <v>2020</v>
      </c>
      <c r="E3" s="18" t="s">
        <v>863</v>
      </c>
      <c r="F3" s="18" t="s">
        <v>866</v>
      </c>
      <c r="G3" s="18" t="s">
        <v>867</v>
      </c>
      <c r="H3" s="18" t="n">
        <v>30.933</v>
      </c>
      <c r="I3" s="18" t="n">
        <v>75.867</v>
      </c>
      <c r="J3" s="18" t="s">
        <v>870</v>
      </c>
      <c r="K3" s="18" t="n">
        <v>2016</v>
      </c>
      <c r="L3" s="18" t="s">
        <v>84</v>
      </c>
      <c r="M3" s="18" t="s">
        <v>85</v>
      </c>
      <c r="N3" s="18" t="s">
        <v>1479</v>
      </c>
      <c r="O3" s="18" t="s">
        <v>1480</v>
      </c>
      <c r="P3" s="18" t="n">
        <v>47.8</v>
      </c>
      <c r="Q3" s="18" t="n">
        <v>41.5</v>
      </c>
      <c r="R3" s="18" t="n">
        <v>48.8</v>
      </c>
      <c r="S3" s="18"/>
      <c r="T3" s="18"/>
      <c r="U3" s="18"/>
      <c r="V3" s="18" t="n">
        <v>47.5</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1726</v>
      </c>
      <c r="AS3" s="18" t="s">
        <v>1473</v>
      </c>
      <c r="AT3" s="18" t="s">
        <v>1474</v>
      </c>
      <c r="AU3" s="18" t="s">
        <v>1475</v>
      </c>
      <c r="AV3" s="18" t="s">
        <v>91</v>
      </c>
      <c r="AW3" s="30" t="s">
        <v>1727</v>
      </c>
      <c r="AX3" s="18" t="s">
        <v>877</v>
      </c>
      <c r="AY3" s="18" t="s">
        <v>1706</v>
      </c>
    </row>
    <row r="4" customFormat="false" ht="15" hidden="false" customHeight="true" outlineLevel="0" collapsed="false">
      <c r="A4" s="5" t="n">
        <v>166</v>
      </c>
      <c r="B4" s="5" t="n">
        <v>166</v>
      </c>
      <c r="C4" s="5" t="s">
        <v>832</v>
      </c>
      <c r="D4" s="5" t="n">
        <v>2014</v>
      </c>
      <c r="E4" s="5" t="s">
        <v>833</v>
      </c>
      <c r="F4" s="5" t="s">
        <v>836</v>
      </c>
      <c r="G4" s="5" t="s">
        <v>837</v>
      </c>
      <c r="H4" s="5" t="n">
        <v>29.067</v>
      </c>
      <c r="I4" s="5" t="n">
        <v>77.767</v>
      </c>
      <c r="J4" s="5" t="s">
        <v>83</v>
      </c>
      <c r="K4" s="5" t="n">
        <v>2011</v>
      </c>
      <c r="L4" s="5" t="s">
        <v>802</v>
      </c>
      <c r="M4" s="5" t="s">
        <v>85</v>
      </c>
      <c r="N4" s="5" t="s">
        <v>86</v>
      </c>
      <c r="O4" s="5" t="s">
        <v>1618</v>
      </c>
      <c r="P4" s="5"/>
      <c r="Q4" s="5" t="n">
        <f aca="false">ROUND(15.33+55.58,2)</f>
        <v>70.91</v>
      </c>
      <c r="R4" s="5"/>
      <c r="S4" s="5"/>
      <c r="T4" s="5"/>
      <c r="U4" s="5"/>
      <c r="V4" s="5" t="n">
        <f aca="false">ROUND(34.15+57.72,2)</f>
        <v>91.87</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1728</v>
      </c>
      <c r="AS4" s="5" t="s">
        <v>1620</v>
      </c>
      <c r="AT4" s="5" t="s">
        <v>1621</v>
      </c>
      <c r="AU4" s="5" t="s">
        <v>1622</v>
      </c>
      <c r="AV4" s="5" t="s">
        <v>1729</v>
      </c>
      <c r="AW4" s="23" t="s">
        <v>1730</v>
      </c>
      <c r="AX4" s="5" t="s">
        <v>848</v>
      </c>
      <c r="AY4" s="5" t="s">
        <v>1710</v>
      </c>
    </row>
    <row r="5" customFormat="false" ht="15" hidden="false" customHeight="true" outlineLevel="0" collapsed="false">
      <c r="A5" s="5" t="n">
        <v>166</v>
      </c>
      <c r="B5" s="5" t="n">
        <v>166</v>
      </c>
      <c r="C5" s="5" t="s">
        <v>832</v>
      </c>
      <c r="D5" s="5" t="n">
        <v>2014</v>
      </c>
      <c r="E5" s="5" t="s">
        <v>833</v>
      </c>
      <c r="F5" s="5" t="s">
        <v>836</v>
      </c>
      <c r="G5" s="5" t="s">
        <v>837</v>
      </c>
      <c r="H5" s="5" t="n">
        <v>29.067</v>
      </c>
      <c r="I5" s="5" t="n">
        <v>77.767</v>
      </c>
      <c r="J5" s="5" t="s">
        <v>83</v>
      </c>
      <c r="K5" s="5" t="n">
        <v>2011</v>
      </c>
      <c r="L5" s="5" t="s">
        <v>802</v>
      </c>
      <c r="M5" s="5" t="s">
        <v>85</v>
      </c>
      <c r="N5" s="5" t="s">
        <v>86</v>
      </c>
      <c r="O5" s="5" t="s">
        <v>1630</v>
      </c>
      <c r="P5" s="5"/>
      <c r="Q5" s="5" t="n">
        <f aca="false">ROUND(8.2+66.6,2)</f>
        <v>74.8</v>
      </c>
      <c r="R5" s="5"/>
      <c r="S5" s="5"/>
      <c r="T5" s="5"/>
      <c r="U5" s="5"/>
      <c r="V5" s="5" t="n">
        <f aca="false">ROUND(18.5+64.84,2)</f>
        <v>83.34</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1728</v>
      </c>
      <c r="AS5" s="5" t="s">
        <v>1620</v>
      </c>
      <c r="AT5" s="5" t="s">
        <v>1621</v>
      </c>
      <c r="AU5" s="5" t="s">
        <v>1622</v>
      </c>
      <c r="AV5" s="5" t="s">
        <v>1729</v>
      </c>
      <c r="AW5" s="23" t="s">
        <v>1731</v>
      </c>
      <c r="AX5" s="5" t="s">
        <v>848</v>
      </c>
      <c r="AY5" s="5" t="s">
        <v>1710</v>
      </c>
    </row>
    <row r="6" customFormat="false" ht="15" hidden="false" customHeight="true" outlineLevel="0" collapsed="false">
      <c r="A6" s="5" t="n">
        <v>166</v>
      </c>
      <c r="B6" s="5" t="n">
        <v>166</v>
      </c>
      <c r="C6" s="5" t="s">
        <v>832</v>
      </c>
      <c r="D6" s="5" t="n">
        <v>2014</v>
      </c>
      <c r="E6" s="5" t="s">
        <v>833</v>
      </c>
      <c r="F6" s="5" t="s">
        <v>836</v>
      </c>
      <c r="G6" s="5" t="s">
        <v>837</v>
      </c>
      <c r="H6" s="5" t="n">
        <v>29.067</v>
      </c>
      <c r="I6" s="5" t="n">
        <v>77.767</v>
      </c>
      <c r="J6" s="5" t="s">
        <v>83</v>
      </c>
      <c r="K6" s="5" t="n">
        <v>2011</v>
      </c>
      <c r="L6" s="5" t="s">
        <v>802</v>
      </c>
      <c r="M6" s="5" t="s">
        <v>85</v>
      </c>
      <c r="N6" s="5" t="s">
        <v>1479</v>
      </c>
      <c r="O6" s="5" t="s">
        <v>1480</v>
      </c>
      <c r="P6" s="5"/>
      <c r="Q6" s="5" t="n">
        <f aca="false">ROUND(5.3+54.01,2)</f>
        <v>59.31</v>
      </c>
      <c r="R6" s="5"/>
      <c r="S6" s="5"/>
      <c r="T6" s="5"/>
      <c r="U6" s="5"/>
      <c r="V6" s="5" t="n">
        <f aca="false">ROUND(17.4+65.43,2)</f>
        <v>82.83</v>
      </c>
      <c r="W6" s="5"/>
      <c r="X6" s="5"/>
      <c r="Y6" s="5"/>
      <c r="Z6" s="5"/>
      <c r="AA6" s="5"/>
      <c r="AB6" s="5" t="n">
        <v>1</v>
      </c>
      <c r="AC6" s="5" t="n">
        <v>3</v>
      </c>
      <c r="AD6" s="5" t="n">
        <f aca="false">IF(AND(N(AB6)&gt;0,N(AC6)&gt;0),SQRT(2*AB6/AC6),"")</f>
        <v>0.816496580927726</v>
      </c>
      <c r="AE6" s="5" t="n">
        <v>27</v>
      </c>
      <c r="AF6" s="5" t="n">
        <v>5</v>
      </c>
      <c r="AG6" s="5" t="n">
        <v>45.5</v>
      </c>
      <c r="AH6" s="5" t="n">
        <v>863</v>
      </c>
      <c r="AI6" s="5" t="n">
        <v>29.067</v>
      </c>
      <c r="AJ6" s="5" t="n">
        <v>18</v>
      </c>
      <c r="AK6" s="5"/>
      <c r="AL6" s="5"/>
      <c r="AM6" s="5" t="n">
        <v>7.98</v>
      </c>
      <c r="AN6" s="5" t="n">
        <v>4.1</v>
      </c>
      <c r="AO6" s="5" t="n">
        <v>1.55</v>
      </c>
      <c r="AP6" s="5" t="n">
        <v>55</v>
      </c>
      <c r="AQ6" s="5" t="n">
        <v>18</v>
      </c>
      <c r="AR6" s="5" t="s">
        <v>1728</v>
      </c>
      <c r="AS6" s="5" t="s">
        <v>1620</v>
      </c>
      <c r="AT6" s="5" t="s">
        <v>1621</v>
      </c>
      <c r="AU6" s="5" t="s">
        <v>1622</v>
      </c>
      <c r="AV6" s="5" t="s">
        <v>1729</v>
      </c>
      <c r="AW6" s="23" t="s">
        <v>1732</v>
      </c>
      <c r="AX6" s="5" t="s">
        <v>848</v>
      </c>
      <c r="AY6" s="5" t="s">
        <v>1710</v>
      </c>
    </row>
    <row r="7" customFormat="false" ht="15" hidden="false" customHeight="true" outlineLevel="0" collapsed="false">
      <c r="A7" s="5" t="s">
        <v>931</v>
      </c>
      <c r="B7" s="5" t="s">
        <v>931</v>
      </c>
      <c r="C7" s="5" t="s">
        <v>932</v>
      </c>
      <c r="D7" s="5" t="n">
        <v>2023</v>
      </c>
      <c r="E7" s="5" t="s">
        <v>933</v>
      </c>
      <c r="F7" s="5" t="s">
        <v>936</v>
      </c>
      <c r="G7" s="5" t="s">
        <v>937</v>
      </c>
      <c r="H7" s="5" t="n">
        <v>35.27</v>
      </c>
      <c r="I7" s="5" t="n">
        <v>119.38</v>
      </c>
      <c r="J7" s="5" t="s">
        <v>870</v>
      </c>
      <c r="K7" s="5" t="n">
        <v>2020</v>
      </c>
      <c r="L7" s="5" t="s">
        <v>821</v>
      </c>
      <c r="M7" s="5"/>
      <c r="N7" s="5" t="s">
        <v>86</v>
      </c>
      <c r="O7" s="5" t="s">
        <v>1491</v>
      </c>
      <c r="P7" s="5" t="n">
        <v>31.44</v>
      </c>
      <c r="Q7" s="5"/>
      <c r="R7" s="5"/>
      <c r="S7" s="5"/>
      <c r="T7" s="5"/>
      <c r="U7" s="5"/>
      <c r="V7" s="5"/>
      <c r="W7" s="5"/>
      <c r="X7" s="5" t="n">
        <v>22.38</v>
      </c>
      <c r="Y7" s="5"/>
      <c r="Z7" s="5"/>
      <c r="AA7" s="5"/>
      <c r="AB7" s="5" t="n">
        <v>1</v>
      </c>
      <c r="AC7" s="5" t="n">
        <v>3</v>
      </c>
      <c r="AD7" s="5" t="n">
        <f aca="false">IF(AND(N(AB7)&gt;0,N(AC7)&gt;0),SQRT(2*AB7/AC7),"")</f>
        <v>0.816496580927726</v>
      </c>
      <c r="AE7" s="5"/>
      <c r="AF7" s="5"/>
      <c r="AG7" s="5"/>
      <c r="AH7" s="5" t="n">
        <v>916</v>
      </c>
      <c r="AI7" s="5" t="n">
        <v>35.27</v>
      </c>
      <c r="AJ7" s="5" t="n">
        <v>3</v>
      </c>
      <c r="AK7" s="5" t="n">
        <v>12.6</v>
      </c>
      <c r="AL7" s="5"/>
      <c r="AM7" s="5" t="n">
        <v>6.8</v>
      </c>
      <c r="AN7" s="5" t="n">
        <v>5.75</v>
      </c>
      <c r="AO7" s="5" t="n">
        <v>1.423</v>
      </c>
      <c r="AP7" s="5"/>
      <c r="AQ7" s="5"/>
      <c r="AR7" s="5" t="s">
        <v>1733</v>
      </c>
      <c r="AS7" s="5" t="s">
        <v>1492</v>
      </c>
      <c r="AT7" s="5" t="s">
        <v>1633</v>
      </c>
      <c r="AU7" s="5" t="s">
        <v>1494</v>
      </c>
      <c r="AV7" s="5" t="s">
        <v>1634</v>
      </c>
      <c r="AW7" s="23" t="s">
        <v>1734</v>
      </c>
      <c r="AX7" s="5" t="s">
        <v>947</v>
      </c>
      <c r="AY7" s="5" t="s">
        <v>1735</v>
      </c>
    </row>
    <row r="8" customFormat="false" ht="15" hidden="false" customHeight="true" outlineLevel="0" collapsed="false">
      <c r="A8" s="5" t="s">
        <v>931</v>
      </c>
      <c r="B8" s="5" t="s">
        <v>931</v>
      </c>
      <c r="C8" s="5" t="s">
        <v>932</v>
      </c>
      <c r="D8" s="5" t="n">
        <v>2023</v>
      </c>
      <c r="E8" s="5" t="s">
        <v>933</v>
      </c>
      <c r="F8" s="5" t="s">
        <v>936</v>
      </c>
      <c r="G8" s="5" t="s">
        <v>937</v>
      </c>
      <c r="H8" s="5" t="n">
        <v>35.27</v>
      </c>
      <c r="I8" s="5" t="n">
        <v>119.38</v>
      </c>
      <c r="J8" s="5" t="s">
        <v>870</v>
      </c>
      <c r="K8" s="5" t="n">
        <v>2020</v>
      </c>
      <c r="L8" s="5" t="s">
        <v>821</v>
      </c>
      <c r="M8" s="5"/>
      <c r="N8" s="5" t="s">
        <v>1479</v>
      </c>
      <c r="O8" s="5" t="s">
        <v>1500</v>
      </c>
      <c r="P8" s="5" t="n">
        <v>26.26</v>
      </c>
      <c r="Q8" s="5"/>
      <c r="R8" s="5"/>
      <c r="S8" s="5"/>
      <c r="T8" s="5"/>
      <c r="U8" s="5"/>
      <c r="V8" s="5"/>
      <c r="W8" s="5"/>
      <c r="X8" s="5" t="n">
        <v>27.88</v>
      </c>
      <c r="Y8" s="5"/>
      <c r="Z8" s="5"/>
      <c r="AA8" s="5"/>
      <c r="AB8" s="5" t="n">
        <v>2</v>
      </c>
      <c r="AC8" s="5" t="n">
        <v>3</v>
      </c>
      <c r="AD8" s="5" t="n">
        <f aca="false">IF(AND(N(AB8)&gt;0,N(AC8)&gt;0),SQRT(2*AB8/AC8),"")</f>
        <v>1.15470053837925</v>
      </c>
      <c r="AE8" s="5"/>
      <c r="AF8" s="5"/>
      <c r="AG8" s="5"/>
      <c r="AH8" s="5" t="n">
        <v>916</v>
      </c>
      <c r="AI8" s="5" t="n">
        <v>35.27</v>
      </c>
      <c r="AJ8" s="5" t="n">
        <v>3</v>
      </c>
      <c r="AK8" s="5" t="n">
        <v>12.6</v>
      </c>
      <c r="AL8" s="5"/>
      <c r="AM8" s="5" t="n">
        <v>6.8</v>
      </c>
      <c r="AN8" s="5" t="n">
        <v>5.75</v>
      </c>
      <c r="AO8" s="5" t="n">
        <v>1.423</v>
      </c>
      <c r="AP8" s="5"/>
      <c r="AQ8" s="5"/>
      <c r="AR8" s="5" t="s">
        <v>1733</v>
      </c>
      <c r="AS8" s="5" t="s">
        <v>1492</v>
      </c>
      <c r="AT8" s="5" t="s">
        <v>1633</v>
      </c>
      <c r="AU8" s="5" t="s">
        <v>1494</v>
      </c>
      <c r="AV8" s="5" t="s">
        <v>1634</v>
      </c>
      <c r="AW8" s="23" t="s">
        <v>1736</v>
      </c>
      <c r="AX8" s="5" t="s">
        <v>947</v>
      </c>
      <c r="AY8" s="5" t="s">
        <v>1735</v>
      </c>
    </row>
    <row r="9" customFormat="false" ht="15" hidden="false" customHeight="true" outlineLevel="0" collapsed="false">
      <c r="A9" s="5" t="s">
        <v>931</v>
      </c>
      <c r="B9" s="5" t="s">
        <v>931</v>
      </c>
      <c r="C9" s="5" t="s">
        <v>932</v>
      </c>
      <c r="D9" s="5" t="n">
        <v>2023</v>
      </c>
      <c r="E9" s="5" t="s">
        <v>933</v>
      </c>
      <c r="F9" s="5" t="s">
        <v>936</v>
      </c>
      <c r="G9" s="5" t="s">
        <v>937</v>
      </c>
      <c r="H9" s="5" t="n">
        <v>35.27</v>
      </c>
      <c r="I9" s="5" t="n">
        <v>119.38</v>
      </c>
      <c r="J9" s="5" t="s">
        <v>870</v>
      </c>
      <c r="K9" s="5" t="n">
        <v>2020</v>
      </c>
      <c r="L9" s="5" t="s">
        <v>821</v>
      </c>
      <c r="M9" s="5"/>
      <c r="N9" s="5" t="s">
        <v>1479</v>
      </c>
      <c r="O9" s="5" t="s">
        <v>1502</v>
      </c>
      <c r="P9" s="5" t="n">
        <v>22.23</v>
      </c>
      <c r="Q9" s="5"/>
      <c r="R9" s="5"/>
      <c r="S9" s="5"/>
      <c r="T9" s="5"/>
      <c r="U9" s="5"/>
      <c r="V9" s="5"/>
      <c r="W9" s="5"/>
      <c r="X9" s="5" t="n">
        <v>18.82</v>
      </c>
      <c r="Y9" s="5"/>
      <c r="Z9" s="5"/>
      <c r="AA9" s="5"/>
      <c r="AB9" s="5" t="n">
        <v>2</v>
      </c>
      <c r="AC9" s="5" t="n">
        <v>3</v>
      </c>
      <c r="AD9" s="5" t="n">
        <f aca="false">IF(AND(N(AB9)&gt;0,N(AC9)&gt;0),SQRT(2*AB9/AC9),"")</f>
        <v>1.15470053837925</v>
      </c>
      <c r="AE9" s="5"/>
      <c r="AF9" s="5"/>
      <c r="AG9" s="5"/>
      <c r="AH9" s="5" t="n">
        <v>916</v>
      </c>
      <c r="AI9" s="5" t="n">
        <v>35.27</v>
      </c>
      <c r="AJ9" s="5" t="n">
        <v>3</v>
      </c>
      <c r="AK9" s="5" t="n">
        <v>12.6</v>
      </c>
      <c r="AL9" s="5"/>
      <c r="AM9" s="5" t="n">
        <v>6.8</v>
      </c>
      <c r="AN9" s="5" t="n">
        <v>5.75</v>
      </c>
      <c r="AO9" s="5" t="n">
        <v>1.423</v>
      </c>
      <c r="AP9" s="5"/>
      <c r="AQ9" s="5"/>
      <c r="AR9" s="5" t="s">
        <v>1733</v>
      </c>
      <c r="AS9" s="5" t="s">
        <v>1492</v>
      </c>
      <c r="AT9" s="5" t="s">
        <v>1633</v>
      </c>
      <c r="AU9" s="5" t="s">
        <v>1494</v>
      </c>
      <c r="AV9" s="5" t="s">
        <v>1634</v>
      </c>
      <c r="AW9" s="23" t="s">
        <v>1737</v>
      </c>
      <c r="AX9" s="5" t="s">
        <v>947</v>
      </c>
      <c r="AY9" s="5" t="s">
        <v>1735</v>
      </c>
    </row>
    <row r="10" customFormat="false" ht="14.25" hidden="false" customHeight="true" outlineLevel="0" collapsed="false">
      <c r="A10" s="18" t="s">
        <v>887</v>
      </c>
      <c r="B10" s="18" t="s">
        <v>887</v>
      </c>
      <c r="C10" s="18" t="s">
        <v>888</v>
      </c>
      <c r="D10" s="18" t="n">
        <v>2019</v>
      </c>
      <c r="E10" s="18" t="s">
        <v>833</v>
      </c>
      <c r="F10" s="18" t="s">
        <v>891</v>
      </c>
      <c r="G10" s="18" t="s">
        <v>892</v>
      </c>
      <c r="H10" s="18" t="n">
        <v>29.7</v>
      </c>
      <c r="I10" s="18" t="n">
        <v>76.96</v>
      </c>
      <c r="J10" s="18" t="s">
        <v>83</v>
      </c>
      <c r="K10" s="18" t="n">
        <v>2013</v>
      </c>
      <c r="L10" s="18" t="s">
        <v>84</v>
      </c>
      <c r="M10" s="18" t="s">
        <v>85</v>
      </c>
      <c r="N10" s="18" t="s">
        <v>86</v>
      </c>
      <c r="O10" s="18" t="s">
        <v>1472</v>
      </c>
      <c r="P10" s="18" t="n">
        <v>40.33</v>
      </c>
      <c r="Q10" s="18" t="n">
        <v>21.93</v>
      </c>
      <c r="R10" s="18"/>
      <c r="S10" s="18"/>
      <c r="T10" s="18"/>
      <c r="U10" s="18"/>
      <c r="V10" s="18"/>
      <c r="W10" s="18"/>
      <c r="X10" s="18" t="n">
        <v>32.34</v>
      </c>
      <c r="Y10" s="18"/>
      <c r="Z10" s="18"/>
      <c r="AA10" s="18"/>
      <c r="AB10" s="18" t="n">
        <v>1</v>
      </c>
      <c r="AC10" s="18" t="n">
        <v>3</v>
      </c>
      <c r="AD10" s="18" t="n">
        <f aca="false">IF(AND(N(AB10)&gt;0,N(AC10)&gt;0),SQRT(2*AB10/AC10),"")</f>
        <v>0.816496580927726</v>
      </c>
      <c r="AE10" s="18"/>
      <c r="AF10" s="18" t="n">
        <v>2</v>
      </c>
      <c r="AG10" s="18" t="n">
        <v>42.5</v>
      </c>
      <c r="AH10" s="18" t="n">
        <v>700</v>
      </c>
      <c r="AI10" s="18" t="n">
        <v>29.7</v>
      </c>
      <c r="AJ10" s="18" t="n">
        <v>4</v>
      </c>
      <c r="AK10" s="18"/>
      <c r="AL10" s="18"/>
      <c r="AM10" s="18"/>
      <c r="AN10" s="18"/>
      <c r="AO10" s="18"/>
      <c r="AP10" s="18"/>
      <c r="AQ10" s="18"/>
      <c r="AR10" s="18" t="s">
        <v>1738</v>
      </c>
      <c r="AS10" s="18" t="s">
        <v>1639</v>
      </c>
      <c r="AT10" s="18" t="s">
        <v>1640</v>
      </c>
      <c r="AU10" s="18" t="s">
        <v>1641</v>
      </c>
      <c r="AV10" s="18" t="s">
        <v>91</v>
      </c>
      <c r="AW10" s="30" t="s">
        <v>1642</v>
      </c>
      <c r="AX10" s="18" t="s">
        <v>901</v>
      </c>
      <c r="AY10" s="18" t="s">
        <v>1643</v>
      </c>
    </row>
    <row r="11" customFormat="false" ht="14.25" hidden="false" customHeight="true" outlineLevel="0" collapsed="false">
      <c r="A11" s="18" t="s">
        <v>887</v>
      </c>
      <c r="B11" s="18" t="s">
        <v>887</v>
      </c>
      <c r="C11" s="18" t="s">
        <v>888</v>
      </c>
      <c r="D11" s="18" t="n">
        <v>2019</v>
      </c>
      <c r="E11" s="18" t="s">
        <v>833</v>
      </c>
      <c r="F11" s="18" t="s">
        <v>891</v>
      </c>
      <c r="G11" s="18" t="s">
        <v>892</v>
      </c>
      <c r="H11" s="18" t="n">
        <v>29.7</v>
      </c>
      <c r="I11" s="18" t="n">
        <v>76.96</v>
      </c>
      <c r="J11" s="18" t="s">
        <v>83</v>
      </c>
      <c r="K11" s="18" t="n">
        <v>2013</v>
      </c>
      <c r="L11" s="18" t="s">
        <v>84</v>
      </c>
      <c r="M11" s="18" t="s">
        <v>85</v>
      </c>
      <c r="N11" s="18" t="s">
        <v>1479</v>
      </c>
      <c r="O11" s="18" t="s">
        <v>1480</v>
      </c>
      <c r="P11" s="18" t="n">
        <v>13.9</v>
      </c>
      <c r="Q11" s="18" t="n">
        <v>17.95</v>
      </c>
      <c r="R11" s="18"/>
      <c r="S11" s="18"/>
      <c r="T11" s="18"/>
      <c r="U11" s="18"/>
      <c r="V11" s="18"/>
      <c r="W11" s="18"/>
      <c r="X11" s="18" t="n">
        <v>17.54</v>
      </c>
      <c r="Y11" s="18"/>
      <c r="Z11" s="18"/>
      <c r="AA11" s="18"/>
      <c r="AB11" s="18" t="n">
        <v>1</v>
      </c>
      <c r="AC11" s="18" t="n">
        <v>3</v>
      </c>
      <c r="AD11" s="18" t="n">
        <f aca="false">IF(AND(N(AB11)&gt;0,N(AC11)&gt;0),SQRT(2*AB11/AC11),"")</f>
        <v>0.816496580927726</v>
      </c>
      <c r="AE11" s="18"/>
      <c r="AF11" s="18" t="n">
        <v>2</v>
      </c>
      <c r="AG11" s="18" t="n">
        <v>42.5</v>
      </c>
      <c r="AH11" s="18" t="n">
        <v>700</v>
      </c>
      <c r="AI11" s="18" t="n">
        <v>29.7</v>
      </c>
      <c r="AJ11" s="18" t="n">
        <v>4</v>
      </c>
      <c r="AK11" s="18"/>
      <c r="AL11" s="18"/>
      <c r="AM11" s="18"/>
      <c r="AN11" s="18"/>
      <c r="AO11" s="18"/>
      <c r="AP11" s="18"/>
      <c r="AQ11" s="18"/>
      <c r="AR11" s="18" t="s">
        <v>1738</v>
      </c>
      <c r="AS11" s="18" t="s">
        <v>1639</v>
      </c>
      <c r="AT11" s="18" t="s">
        <v>1640</v>
      </c>
      <c r="AU11" s="18" t="s">
        <v>1641</v>
      </c>
      <c r="AV11" s="18" t="s">
        <v>91</v>
      </c>
      <c r="AW11" s="30" t="s">
        <v>1644</v>
      </c>
      <c r="AX11" s="18" t="s">
        <v>901</v>
      </c>
      <c r="AY11" s="18" t="s">
        <v>1643</v>
      </c>
    </row>
    <row r="12" customFormat="false" ht="14.25" hidden="false" customHeight="true" outlineLevel="0" collapsed="false">
      <c r="A12" s="18" t="s">
        <v>887</v>
      </c>
      <c r="B12" s="18" t="s">
        <v>887</v>
      </c>
      <c r="C12" s="18" t="s">
        <v>888</v>
      </c>
      <c r="D12" s="18" t="n">
        <v>2019</v>
      </c>
      <c r="E12" s="18" t="s">
        <v>833</v>
      </c>
      <c r="F12" s="18" t="s">
        <v>891</v>
      </c>
      <c r="G12" s="18" t="s">
        <v>892</v>
      </c>
      <c r="H12" s="18" t="n">
        <v>29.7</v>
      </c>
      <c r="I12" s="18" t="n">
        <v>76.96</v>
      </c>
      <c r="J12" s="18" t="s">
        <v>83</v>
      </c>
      <c r="K12" s="18" t="n">
        <v>2015</v>
      </c>
      <c r="L12" s="18" t="s">
        <v>84</v>
      </c>
      <c r="M12" s="18" t="s">
        <v>85</v>
      </c>
      <c r="N12" s="18" t="s">
        <v>86</v>
      </c>
      <c r="O12" s="18" t="s">
        <v>1472</v>
      </c>
      <c r="P12" s="18" t="n">
        <v>44.4</v>
      </c>
      <c r="Q12" s="18" t="n">
        <v>23.46</v>
      </c>
      <c r="R12" s="18"/>
      <c r="S12" s="18"/>
      <c r="T12" s="18"/>
      <c r="U12" s="18"/>
      <c r="V12" s="18"/>
      <c r="W12" s="18"/>
      <c r="X12" s="18" t="n">
        <v>42.57</v>
      </c>
      <c r="Y12" s="18"/>
      <c r="Z12" s="18"/>
      <c r="AA12" s="18"/>
      <c r="AB12" s="18" t="n">
        <v>1</v>
      </c>
      <c r="AC12" s="18" t="n">
        <v>3</v>
      </c>
      <c r="AD12" s="18" t="n">
        <f aca="false">IF(AND(N(AB12)&gt;0,N(AC12)&gt;0),SQRT(2*AB12/AC12),"")</f>
        <v>0.816496580927726</v>
      </c>
      <c r="AE12" s="18"/>
      <c r="AF12" s="18" t="n">
        <v>2</v>
      </c>
      <c r="AG12" s="18" t="n">
        <v>42.5</v>
      </c>
      <c r="AH12" s="18" t="n">
        <v>700</v>
      </c>
      <c r="AI12" s="18" t="n">
        <v>29.7</v>
      </c>
      <c r="AJ12" s="18" t="n">
        <v>6</v>
      </c>
      <c r="AK12" s="18"/>
      <c r="AL12" s="18"/>
      <c r="AM12" s="18"/>
      <c r="AN12" s="18"/>
      <c r="AO12" s="18"/>
      <c r="AP12" s="18"/>
      <c r="AQ12" s="18"/>
      <c r="AR12" s="18" t="s">
        <v>1738</v>
      </c>
      <c r="AS12" s="18" t="s">
        <v>1639</v>
      </c>
      <c r="AT12" s="18" t="s">
        <v>1645</v>
      </c>
      <c r="AU12" s="18" t="s">
        <v>1641</v>
      </c>
      <c r="AV12" s="18" t="s">
        <v>91</v>
      </c>
      <c r="AW12" s="30" t="s">
        <v>1646</v>
      </c>
      <c r="AX12" s="18" t="s">
        <v>901</v>
      </c>
      <c r="AY12" s="18" t="s">
        <v>1643</v>
      </c>
    </row>
    <row r="13" customFormat="false" ht="14.25" hidden="false" customHeight="true" outlineLevel="0" collapsed="false">
      <c r="A13" s="18" t="s">
        <v>887</v>
      </c>
      <c r="B13" s="18" t="s">
        <v>887</v>
      </c>
      <c r="C13" s="18" t="s">
        <v>888</v>
      </c>
      <c r="D13" s="18" t="n">
        <v>2019</v>
      </c>
      <c r="E13" s="18" t="s">
        <v>833</v>
      </c>
      <c r="F13" s="18" t="s">
        <v>891</v>
      </c>
      <c r="G13" s="18" t="s">
        <v>892</v>
      </c>
      <c r="H13" s="18" t="n">
        <v>29.7</v>
      </c>
      <c r="I13" s="18" t="n">
        <v>76.96</v>
      </c>
      <c r="J13" s="18" t="s">
        <v>83</v>
      </c>
      <c r="K13" s="18" t="n">
        <v>2015</v>
      </c>
      <c r="L13" s="18" t="s">
        <v>84</v>
      </c>
      <c r="M13" s="18" t="s">
        <v>85</v>
      </c>
      <c r="N13" s="18" t="s">
        <v>1479</v>
      </c>
      <c r="O13" s="18" t="s">
        <v>1480</v>
      </c>
      <c r="P13" s="18" t="n">
        <v>24.8</v>
      </c>
      <c r="Q13" s="18" t="n">
        <v>20.28</v>
      </c>
      <c r="R13" s="18"/>
      <c r="S13" s="18"/>
      <c r="T13" s="18"/>
      <c r="U13" s="18"/>
      <c r="V13" s="18"/>
      <c r="W13" s="18"/>
      <c r="X13" s="18" t="n">
        <v>30.99</v>
      </c>
      <c r="Y13" s="18"/>
      <c r="Z13" s="18"/>
      <c r="AA13" s="18"/>
      <c r="AB13" s="18" t="n">
        <v>1</v>
      </c>
      <c r="AC13" s="18" t="n">
        <v>3</v>
      </c>
      <c r="AD13" s="18" t="n">
        <f aca="false">IF(AND(N(AB13)&gt;0,N(AC13)&gt;0),SQRT(2*AB13/AC13),"")</f>
        <v>0.816496580927726</v>
      </c>
      <c r="AE13" s="18"/>
      <c r="AF13" s="18" t="n">
        <v>2</v>
      </c>
      <c r="AG13" s="18" t="n">
        <v>42.5</v>
      </c>
      <c r="AH13" s="18" t="n">
        <v>700</v>
      </c>
      <c r="AI13" s="18" t="n">
        <v>29.7</v>
      </c>
      <c r="AJ13" s="18" t="n">
        <v>6</v>
      </c>
      <c r="AK13" s="18"/>
      <c r="AL13" s="18"/>
      <c r="AM13" s="18"/>
      <c r="AN13" s="18"/>
      <c r="AO13" s="18"/>
      <c r="AP13" s="18"/>
      <c r="AQ13" s="18"/>
      <c r="AR13" s="18" t="s">
        <v>1738</v>
      </c>
      <c r="AS13" s="18" t="s">
        <v>1639</v>
      </c>
      <c r="AT13" s="18" t="s">
        <v>1645</v>
      </c>
      <c r="AU13" s="18" t="s">
        <v>1641</v>
      </c>
      <c r="AV13" s="18" t="s">
        <v>91</v>
      </c>
      <c r="AW13" s="30" t="s">
        <v>1647</v>
      </c>
      <c r="AX13" s="18" t="s">
        <v>901</v>
      </c>
      <c r="AY13" s="18" t="s">
        <v>1643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1739</v>
      </c>
      <c r="Q1" s="25" t="s">
        <v>1740</v>
      </c>
      <c r="R1" s="25" t="s">
        <v>1741</v>
      </c>
      <c r="S1" s="25" t="s">
        <v>1742</v>
      </c>
      <c r="T1" s="25" t="s">
        <v>1743</v>
      </c>
      <c r="U1" s="25" t="s">
        <v>1744</v>
      </c>
      <c r="V1" s="25" t="s">
        <v>1745</v>
      </c>
      <c r="W1" s="25" t="s">
        <v>1746</v>
      </c>
      <c r="X1" s="28" t="s">
        <v>1747</v>
      </c>
      <c r="Y1" s="28" t="s">
        <v>1748</v>
      </c>
      <c r="Z1" s="28" t="s">
        <v>1749</v>
      </c>
      <c r="AA1" s="28" t="s">
        <v>1750</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A2" s="18" t="n">
        <v>168</v>
      </c>
      <c r="B2" s="18" t="n">
        <v>168</v>
      </c>
      <c r="C2" s="18" t="s">
        <v>862</v>
      </c>
      <c r="D2" s="18" t="n">
        <v>2020</v>
      </c>
      <c r="E2" s="18" t="s">
        <v>863</v>
      </c>
      <c r="F2" s="18" t="s">
        <v>866</v>
      </c>
      <c r="G2" s="18" t="s">
        <v>867</v>
      </c>
      <c r="H2" s="18" t="n">
        <v>30.933</v>
      </c>
      <c r="I2" s="18" t="n">
        <v>75.867</v>
      </c>
      <c r="J2" s="18" t="s">
        <v>870</v>
      </c>
      <c r="K2" s="18" t="n">
        <v>2016</v>
      </c>
      <c r="L2" s="18" t="s">
        <v>84</v>
      </c>
      <c r="M2" s="18" t="s">
        <v>85</v>
      </c>
      <c r="N2" s="18" t="s">
        <v>86</v>
      </c>
      <c r="O2" s="18" t="s">
        <v>1472</v>
      </c>
      <c r="P2" s="18" t="n">
        <v>11.9</v>
      </c>
      <c r="Q2" s="18" t="n">
        <v>14.8</v>
      </c>
      <c r="R2" s="18" t="n">
        <v>13.1</v>
      </c>
      <c r="S2" s="18"/>
      <c r="T2" s="18"/>
      <c r="U2" s="18"/>
      <c r="V2" s="18" t="n">
        <v>14.1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1751</v>
      </c>
      <c r="AS2" s="18" t="s">
        <v>1473</v>
      </c>
      <c r="AT2" s="18" t="s">
        <v>1474</v>
      </c>
      <c r="AU2" s="18" t="s">
        <v>1475</v>
      </c>
      <c r="AV2" s="18" t="s">
        <v>91</v>
      </c>
      <c r="AW2" s="30" t="s">
        <v>1752</v>
      </c>
      <c r="AX2" s="18" t="s">
        <v>877</v>
      </c>
      <c r="AY2" s="18" t="s">
        <v>1706</v>
      </c>
      <c r="BA2" s="31" t="s">
        <v>993</v>
      </c>
    </row>
    <row r="3" customFormat="false" ht="15" hidden="false" customHeight="true" outlineLevel="0" collapsed="false">
      <c r="A3" s="18" t="n">
        <v>168</v>
      </c>
      <c r="B3" s="18" t="n">
        <v>168</v>
      </c>
      <c r="C3" s="18" t="s">
        <v>862</v>
      </c>
      <c r="D3" s="18" t="n">
        <v>2020</v>
      </c>
      <c r="E3" s="18" t="s">
        <v>863</v>
      </c>
      <c r="F3" s="18" t="s">
        <v>866</v>
      </c>
      <c r="G3" s="18" t="s">
        <v>867</v>
      </c>
      <c r="H3" s="18" t="n">
        <v>30.933</v>
      </c>
      <c r="I3" s="18" t="n">
        <v>75.867</v>
      </c>
      <c r="J3" s="18" t="s">
        <v>870</v>
      </c>
      <c r="K3" s="18" t="n">
        <v>2016</v>
      </c>
      <c r="L3" s="18" t="s">
        <v>84</v>
      </c>
      <c r="M3" s="18" t="s">
        <v>85</v>
      </c>
      <c r="N3" s="18" t="s">
        <v>1479</v>
      </c>
      <c r="O3" s="18" t="s">
        <v>1480</v>
      </c>
      <c r="P3" s="18" t="n">
        <v>12</v>
      </c>
      <c r="Q3" s="18" t="n">
        <v>15</v>
      </c>
      <c r="R3" s="18" t="n">
        <v>12.1</v>
      </c>
      <c r="S3" s="18"/>
      <c r="T3" s="18"/>
      <c r="U3" s="18"/>
      <c r="V3" s="18" t="n">
        <v>13.6</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1751</v>
      </c>
      <c r="AS3" s="18" t="s">
        <v>1473</v>
      </c>
      <c r="AT3" s="18" t="s">
        <v>1474</v>
      </c>
      <c r="AU3" s="18" t="s">
        <v>1475</v>
      </c>
      <c r="AV3" s="18" t="s">
        <v>91</v>
      </c>
      <c r="AW3" s="30" t="s">
        <v>1752</v>
      </c>
      <c r="AX3" s="18" t="s">
        <v>877</v>
      </c>
      <c r="AY3" s="18" t="s">
        <v>1706</v>
      </c>
    </row>
    <row r="4" customFormat="false" ht="15" hidden="false" customHeight="true" outlineLevel="0" collapsed="false">
      <c r="A4" s="5" t="n">
        <v>166</v>
      </c>
      <c r="B4" s="5" t="n">
        <v>166</v>
      </c>
      <c r="C4" s="5" t="s">
        <v>832</v>
      </c>
      <c r="D4" s="5" t="n">
        <v>2014</v>
      </c>
      <c r="E4" s="5" t="s">
        <v>833</v>
      </c>
      <c r="F4" s="5" t="s">
        <v>836</v>
      </c>
      <c r="G4" s="5" t="s">
        <v>837</v>
      </c>
      <c r="H4" s="5" t="n">
        <v>29.067</v>
      </c>
      <c r="I4" s="5" t="n">
        <v>77.767</v>
      </c>
      <c r="J4" s="5" t="s">
        <v>83</v>
      </c>
      <c r="K4" s="5" t="n">
        <v>2011</v>
      </c>
      <c r="L4" s="5" t="s">
        <v>802</v>
      </c>
      <c r="M4" s="5" t="s">
        <v>85</v>
      </c>
      <c r="N4" s="5" t="s">
        <v>86</v>
      </c>
      <c r="O4" s="5" t="s">
        <v>1618</v>
      </c>
      <c r="P4" s="5"/>
      <c r="Q4" s="5" t="n">
        <v>4.69</v>
      </c>
      <c r="R4" s="5"/>
      <c r="S4" s="5"/>
      <c r="T4" s="5"/>
      <c r="U4" s="5"/>
      <c r="V4" s="5" t="n">
        <v>6</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1753</v>
      </c>
      <c r="AS4" s="5" t="s">
        <v>1620</v>
      </c>
      <c r="AT4" s="5" t="s">
        <v>1621</v>
      </c>
      <c r="AU4" s="5" t="s">
        <v>1622</v>
      </c>
      <c r="AV4" s="5" t="s">
        <v>1508</v>
      </c>
      <c r="AW4" s="23" t="s">
        <v>1754</v>
      </c>
      <c r="AX4" s="5" t="s">
        <v>848</v>
      </c>
      <c r="AY4" s="5" t="s">
        <v>1710</v>
      </c>
    </row>
    <row r="5" customFormat="false" ht="15" hidden="false" customHeight="true" outlineLevel="0" collapsed="false">
      <c r="A5" s="5" t="n">
        <v>166</v>
      </c>
      <c r="B5" s="5" t="n">
        <v>166</v>
      </c>
      <c r="C5" s="5" t="s">
        <v>832</v>
      </c>
      <c r="D5" s="5" t="n">
        <v>2014</v>
      </c>
      <c r="E5" s="5" t="s">
        <v>833</v>
      </c>
      <c r="F5" s="5" t="s">
        <v>836</v>
      </c>
      <c r="G5" s="5" t="s">
        <v>837</v>
      </c>
      <c r="H5" s="5" t="n">
        <v>29.067</v>
      </c>
      <c r="I5" s="5" t="n">
        <v>77.767</v>
      </c>
      <c r="J5" s="5" t="s">
        <v>83</v>
      </c>
      <c r="K5" s="5" t="n">
        <v>2011</v>
      </c>
      <c r="L5" s="5" t="s">
        <v>802</v>
      </c>
      <c r="M5" s="5" t="s">
        <v>85</v>
      </c>
      <c r="N5" s="5" t="s">
        <v>86</v>
      </c>
      <c r="O5" s="5" t="s">
        <v>1630</v>
      </c>
      <c r="P5" s="5"/>
      <c r="Q5" s="5" t="n">
        <v>5.43</v>
      </c>
      <c r="R5" s="5"/>
      <c r="S5" s="5"/>
      <c r="T5" s="5"/>
      <c r="U5" s="5"/>
      <c r="V5" s="5" t="n">
        <v>11.65</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1753</v>
      </c>
      <c r="AS5" s="5" t="s">
        <v>1620</v>
      </c>
      <c r="AT5" s="5" t="s">
        <v>1621</v>
      </c>
      <c r="AU5" s="5" t="s">
        <v>1622</v>
      </c>
      <c r="AV5" s="5" t="s">
        <v>1508</v>
      </c>
      <c r="AW5" s="23" t="s">
        <v>1754</v>
      </c>
      <c r="AX5" s="5" t="s">
        <v>848</v>
      </c>
      <c r="AY5" s="5" t="s">
        <v>1710</v>
      </c>
    </row>
    <row r="6" customFormat="false" ht="15" hidden="false" customHeight="true" outlineLevel="0" collapsed="false">
      <c r="A6" s="5" t="n">
        <v>166</v>
      </c>
      <c r="B6" s="5" t="n">
        <v>166</v>
      </c>
      <c r="C6" s="5" t="s">
        <v>832</v>
      </c>
      <c r="D6" s="5" t="n">
        <v>2014</v>
      </c>
      <c r="E6" s="5" t="s">
        <v>833</v>
      </c>
      <c r="F6" s="5" t="s">
        <v>836</v>
      </c>
      <c r="G6" s="5" t="s">
        <v>837</v>
      </c>
      <c r="H6" s="5" t="n">
        <v>29.067</v>
      </c>
      <c r="I6" s="5" t="n">
        <v>77.767</v>
      </c>
      <c r="J6" s="5" t="s">
        <v>83</v>
      </c>
      <c r="K6" s="5" t="n">
        <v>2011</v>
      </c>
      <c r="L6" s="5" t="s">
        <v>802</v>
      </c>
      <c r="M6" s="5" t="s">
        <v>85</v>
      </c>
      <c r="N6" s="5" t="s">
        <v>1479</v>
      </c>
      <c r="O6" s="5" t="s">
        <v>1480</v>
      </c>
      <c r="P6" s="5"/>
      <c r="Q6" s="5" t="n">
        <v>39.47</v>
      </c>
      <c r="R6" s="5"/>
      <c r="S6" s="5"/>
      <c r="T6" s="5"/>
      <c r="U6" s="5"/>
      <c r="V6" s="5" t="n">
        <v>10.57</v>
      </c>
      <c r="W6" s="5"/>
      <c r="X6" s="5"/>
      <c r="Y6" s="5"/>
      <c r="Z6" s="5"/>
      <c r="AA6" s="5"/>
      <c r="AB6" s="5" t="n">
        <v>1</v>
      </c>
      <c r="AC6" s="5" t="n">
        <v>3</v>
      </c>
      <c r="AD6" s="5" t="n">
        <f aca="false">IF(AND(N(AB6)&gt;0,N(AC6)&gt;0),SQRT(2*AB6/AC6),"")</f>
        <v>0.816496580927726</v>
      </c>
      <c r="AE6" s="5" t="n">
        <v>27</v>
      </c>
      <c r="AF6" s="5" t="n">
        <v>5</v>
      </c>
      <c r="AG6" s="5" t="n">
        <v>45.5</v>
      </c>
      <c r="AH6" s="5" t="n">
        <v>863</v>
      </c>
      <c r="AI6" s="5" t="n">
        <v>29.067</v>
      </c>
      <c r="AJ6" s="5" t="n">
        <v>18</v>
      </c>
      <c r="AK6" s="5"/>
      <c r="AL6" s="5"/>
      <c r="AM6" s="5" t="n">
        <v>7.98</v>
      </c>
      <c r="AN6" s="5" t="n">
        <v>4.1</v>
      </c>
      <c r="AO6" s="5" t="n">
        <v>1.55</v>
      </c>
      <c r="AP6" s="5" t="n">
        <v>55</v>
      </c>
      <c r="AQ6" s="5" t="n">
        <v>18</v>
      </c>
      <c r="AR6" s="5" t="s">
        <v>1753</v>
      </c>
      <c r="AS6" s="5" t="s">
        <v>1620</v>
      </c>
      <c r="AT6" s="5" t="s">
        <v>1621</v>
      </c>
      <c r="AU6" s="5" t="s">
        <v>1622</v>
      </c>
      <c r="AV6" s="5" t="s">
        <v>1508</v>
      </c>
      <c r="AW6" s="23" t="s">
        <v>1755</v>
      </c>
      <c r="AX6" s="5" t="s">
        <v>848</v>
      </c>
      <c r="AY6" s="5" t="s">
        <v>1710</v>
      </c>
    </row>
    <row r="7" customFormat="false" ht="15" hidden="false" customHeight="true" outlineLevel="0" collapsed="false">
      <c r="A7" s="18" t="s">
        <v>887</v>
      </c>
      <c r="B7" s="18" t="s">
        <v>887</v>
      </c>
      <c r="C7" s="18" t="s">
        <v>888</v>
      </c>
      <c r="D7" s="18" t="n">
        <v>2019</v>
      </c>
      <c r="E7" s="18" t="s">
        <v>833</v>
      </c>
      <c r="F7" s="18" t="s">
        <v>891</v>
      </c>
      <c r="G7" s="18" t="s">
        <v>892</v>
      </c>
      <c r="H7" s="18" t="n">
        <v>29.7</v>
      </c>
      <c r="I7" s="18" t="n">
        <v>76.96</v>
      </c>
      <c r="J7" s="18" t="s">
        <v>83</v>
      </c>
      <c r="K7" s="18" t="n">
        <v>2013</v>
      </c>
      <c r="L7" s="18" t="s">
        <v>84</v>
      </c>
      <c r="M7" s="18" t="s">
        <v>85</v>
      </c>
      <c r="N7" s="18" t="s">
        <v>86</v>
      </c>
      <c r="O7" s="18" t="s">
        <v>1472</v>
      </c>
      <c r="P7" s="18" t="n">
        <v>3.44</v>
      </c>
      <c r="Q7" s="18" t="n">
        <v>8.91</v>
      </c>
      <c r="R7" s="18"/>
      <c r="S7" s="18"/>
      <c r="T7" s="18"/>
      <c r="U7" s="18"/>
      <c r="V7" s="18"/>
      <c r="W7" s="18"/>
      <c r="X7" s="18" t="n">
        <v>9.1</v>
      </c>
      <c r="Y7" s="18"/>
      <c r="Z7" s="18"/>
      <c r="AA7" s="18"/>
      <c r="AB7" s="18" t="n">
        <v>1</v>
      </c>
      <c r="AC7" s="18" t="n">
        <v>3</v>
      </c>
      <c r="AD7" s="18" t="n">
        <f aca="false">IF(AND(N(AB7)&gt;0,N(AC7)&gt;0),SQRT(2*AB7/AC7),"")</f>
        <v>0.816496580927726</v>
      </c>
      <c r="AE7" s="18"/>
      <c r="AF7" s="18" t="n">
        <v>2</v>
      </c>
      <c r="AG7" s="18" t="n">
        <v>42.5</v>
      </c>
      <c r="AH7" s="18" t="n">
        <v>700</v>
      </c>
      <c r="AI7" s="18" t="n">
        <v>29.7</v>
      </c>
      <c r="AJ7" s="18" t="n">
        <v>4</v>
      </c>
      <c r="AK7" s="18"/>
      <c r="AL7" s="18"/>
      <c r="AM7" s="18"/>
      <c r="AN7" s="18"/>
      <c r="AO7" s="18"/>
      <c r="AP7" s="18"/>
      <c r="AQ7" s="18"/>
      <c r="AR7" s="18" t="s">
        <v>1756</v>
      </c>
      <c r="AS7" s="18" t="s">
        <v>1639</v>
      </c>
      <c r="AT7" s="18" t="s">
        <v>1640</v>
      </c>
      <c r="AU7" s="18" t="s">
        <v>1641</v>
      </c>
      <c r="AV7" s="18" t="s">
        <v>91</v>
      </c>
      <c r="AW7" s="30" t="s">
        <v>1642</v>
      </c>
      <c r="AX7" s="18" t="s">
        <v>901</v>
      </c>
      <c r="AY7" s="18" t="s">
        <v>1643</v>
      </c>
    </row>
    <row r="8" customFormat="false" ht="15" hidden="false" customHeight="true" outlineLevel="0" collapsed="false">
      <c r="A8" s="18" t="s">
        <v>887</v>
      </c>
      <c r="B8" s="18" t="s">
        <v>887</v>
      </c>
      <c r="C8" s="18" t="s">
        <v>888</v>
      </c>
      <c r="D8" s="18" t="n">
        <v>2019</v>
      </c>
      <c r="E8" s="18" t="s">
        <v>833</v>
      </c>
      <c r="F8" s="18" t="s">
        <v>891</v>
      </c>
      <c r="G8" s="18" t="s">
        <v>892</v>
      </c>
      <c r="H8" s="18" t="n">
        <v>29.7</v>
      </c>
      <c r="I8" s="18" t="n">
        <v>76.96</v>
      </c>
      <c r="J8" s="18" t="s">
        <v>83</v>
      </c>
      <c r="K8" s="18" t="n">
        <v>2013</v>
      </c>
      <c r="L8" s="18" t="s">
        <v>84</v>
      </c>
      <c r="M8" s="18" t="s">
        <v>85</v>
      </c>
      <c r="N8" s="18" t="s">
        <v>1479</v>
      </c>
      <c r="O8" s="18" t="s">
        <v>1480</v>
      </c>
      <c r="P8" s="18" t="n">
        <v>12.49</v>
      </c>
      <c r="Q8" s="18" t="n">
        <v>10.85</v>
      </c>
      <c r="R8" s="18"/>
      <c r="S8" s="18"/>
      <c r="T8" s="18"/>
      <c r="U8" s="18"/>
      <c r="V8" s="18"/>
      <c r="W8" s="18"/>
      <c r="X8" s="18" t="n">
        <v>12.95</v>
      </c>
      <c r="Y8" s="18"/>
      <c r="Z8" s="18"/>
      <c r="AA8" s="18"/>
      <c r="AB8" s="18" t="n">
        <v>1</v>
      </c>
      <c r="AC8" s="18" t="n">
        <v>3</v>
      </c>
      <c r="AD8" s="18" t="n">
        <f aca="false">IF(AND(N(AB8)&gt;0,N(AC8)&gt;0),SQRT(2*AB8/AC8),"")</f>
        <v>0.816496580927726</v>
      </c>
      <c r="AE8" s="18"/>
      <c r="AF8" s="18" t="n">
        <v>2</v>
      </c>
      <c r="AG8" s="18" t="n">
        <v>42.5</v>
      </c>
      <c r="AH8" s="18" t="n">
        <v>700</v>
      </c>
      <c r="AI8" s="18" t="n">
        <v>29.7</v>
      </c>
      <c r="AJ8" s="18" t="n">
        <v>4</v>
      </c>
      <c r="AK8" s="18"/>
      <c r="AL8" s="18"/>
      <c r="AM8" s="18"/>
      <c r="AN8" s="18"/>
      <c r="AO8" s="18"/>
      <c r="AP8" s="18"/>
      <c r="AQ8" s="18"/>
      <c r="AR8" s="18" t="s">
        <v>1756</v>
      </c>
      <c r="AS8" s="18" t="s">
        <v>1639</v>
      </c>
      <c r="AT8" s="18" t="s">
        <v>1640</v>
      </c>
      <c r="AU8" s="18" t="s">
        <v>1641</v>
      </c>
      <c r="AV8" s="18" t="s">
        <v>91</v>
      </c>
      <c r="AW8" s="30" t="s">
        <v>1644</v>
      </c>
      <c r="AX8" s="18" t="s">
        <v>901</v>
      </c>
      <c r="AY8" s="18" t="s">
        <v>1643</v>
      </c>
    </row>
    <row r="9" customFormat="false" ht="15" hidden="false" customHeight="true" outlineLevel="0" collapsed="false">
      <c r="A9" s="18" t="s">
        <v>887</v>
      </c>
      <c r="B9" s="18" t="s">
        <v>887</v>
      </c>
      <c r="C9" s="18" t="s">
        <v>888</v>
      </c>
      <c r="D9" s="18" t="n">
        <v>2019</v>
      </c>
      <c r="E9" s="18" t="s">
        <v>833</v>
      </c>
      <c r="F9" s="18" t="s">
        <v>891</v>
      </c>
      <c r="G9" s="18" t="s">
        <v>892</v>
      </c>
      <c r="H9" s="18" t="n">
        <v>29.7</v>
      </c>
      <c r="I9" s="18" t="n">
        <v>76.96</v>
      </c>
      <c r="J9" s="18" t="s">
        <v>83</v>
      </c>
      <c r="K9" s="18" t="n">
        <v>2015</v>
      </c>
      <c r="L9" s="18" t="s">
        <v>84</v>
      </c>
      <c r="M9" s="18" t="s">
        <v>85</v>
      </c>
      <c r="N9" s="18" t="s">
        <v>86</v>
      </c>
      <c r="O9" s="18" t="s">
        <v>1472</v>
      </c>
      <c r="P9" s="18" t="n">
        <v>6.91</v>
      </c>
      <c r="Q9" s="18" t="n">
        <v>9.82</v>
      </c>
      <c r="R9" s="18"/>
      <c r="S9" s="18"/>
      <c r="T9" s="18"/>
      <c r="U9" s="18"/>
      <c r="V9" s="18"/>
      <c r="W9" s="18"/>
      <c r="X9" s="18" t="n">
        <v>6.63</v>
      </c>
      <c r="Y9" s="18"/>
      <c r="Z9" s="18"/>
      <c r="AA9" s="18"/>
      <c r="AB9" s="18" t="n">
        <v>1</v>
      </c>
      <c r="AC9" s="18" t="n">
        <v>3</v>
      </c>
      <c r="AD9" s="18" t="n">
        <f aca="false">IF(AND(N(AB9)&gt;0,N(AC9)&gt;0),SQRT(2*AB9/AC9),"")</f>
        <v>0.816496580927726</v>
      </c>
      <c r="AE9" s="18"/>
      <c r="AF9" s="18" t="n">
        <v>2</v>
      </c>
      <c r="AG9" s="18" t="n">
        <v>42.5</v>
      </c>
      <c r="AH9" s="18" t="n">
        <v>700</v>
      </c>
      <c r="AI9" s="18" t="n">
        <v>29.7</v>
      </c>
      <c r="AJ9" s="18" t="n">
        <v>6</v>
      </c>
      <c r="AK9" s="18"/>
      <c r="AL9" s="18"/>
      <c r="AM9" s="18"/>
      <c r="AN9" s="18"/>
      <c r="AO9" s="18"/>
      <c r="AP9" s="18"/>
      <c r="AQ9" s="18"/>
      <c r="AR9" s="18" t="s">
        <v>1756</v>
      </c>
      <c r="AS9" s="18" t="s">
        <v>1639</v>
      </c>
      <c r="AT9" s="18" t="s">
        <v>1645</v>
      </c>
      <c r="AU9" s="18" t="s">
        <v>1641</v>
      </c>
      <c r="AV9" s="18" t="s">
        <v>91</v>
      </c>
      <c r="AW9" s="30" t="s">
        <v>1646</v>
      </c>
      <c r="AX9" s="18" t="s">
        <v>901</v>
      </c>
      <c r="AY9" s="18" t="s">
        <v>1643</v>
      </c>
    </row>
    <row r="10" customFormat="false" ht="14.25" hidden="false" customHeight="true" outlineLevel="0" collapsed="false">
      <c r="A10" s="18" t="s">
        <v>887</v>
      </c>
      <c r="B10" s="18" t="s">
        <v>887</v>
      </c>
      <c r="C10" s="18" t="s">
        <v>888</v>
      </c>
      <c r="D10" s="18" t="n">
        <v>2019</v>
      </c>
      <c r="E10" s="18" t="s">
        <v>833</v>
      </c>
      <c r="F10" s="18" t="s">
        <v>891</v>
      </c>
      <c r="G10" s="18" t="s">
        <v>892</v>
      </c>
      <c r="H10" s="18" t="n">
        <v>29.7</v>
      </c>
      <c r="I10" s="18" t="n">
        <v>76.96</v>
      </c>
      <c r="J10" s="18" t="s">
        <v>83</v>
      </c>
      <c r="K10" s="18" t="n">
        <v>2015</v>
      </c>
      <c r="L10" s="18" t="s">
        <v>84</v>
      </c>
      <c r="M10" s="18" t="s">
        <v>85</v>
      </c>
      <c r="N10" s="18" t="s">
        <v>1479</v>
      </c>
      <c r="O10" s="18" t="s">
        <v>1480</v>
      </c>
      <c r="P10" s="18" t="n">
        <v>7.11</v>
      </c>
      <c r="Q10" s="18" t="n">
        <v>8.79</v>
      </c>
      <c r="R10" s="18"/>
      <c r="S10" s="18"/>
      <c r="T10" s="18"/>
      <c r="U10" s="18"/>
      <c r="V10" s="18"/>
      <c r="W10" s="18"/>
      <c r="X10" s="18" t="n">
        <v>8.43</v>
      </c>
      <c r="Y10" s="18"/>
      <c r="Z10" s="18"/>
      <c r="AA10" s="18"/>
      <c r="AB10" s="18" t="n">
        <v>1</v>
      </c>
      <c r="AC10" s="18" t="n">
        <v>3</v>
      </c>
      <c r="AD10" s="18" t="n">
        <f aca="false">IF(AND(N(AB10)&gt;0,N(AC10)&gt;0),SQRT(2*AB10/AC10),"")</f>
        <v>0.816496580927726</v>
      </c>
      <c r="AE10" s="18"/>
      <c r="AF10" s="18" t="n">
        <v>2</v>
      </c>
      <c r="AG10" s="18" t="n">
        <v>42.5</v>
      </c>
      <c r="AH10" s="18" t="n">
        <v>700</v>
      </c>
      <c r="AI10" s="18" t="n">
        <v>29.7</v>
      </c>
      <c r="AJ10" s="18" t="n">
        <v>6</v>
      </c>
      <c r="AK10" s="18"/>
      <c r="AL10" s="18"/>
      <c r="AM10" s="18"/>
      <c r="AN10" s="18"/>
      <c r="AO10" s="18"/>
      <c r="AP10" s="18"/>
      <c r="AQ10" s="18"/>
      <c r="AR10" s="18" t="s">
        <v>1756</v>
      </c>
      <c r="AS10" s="18" t="s">
        <v>1639</v>
      </c>
      <c r="AT10" s="18" t="s">
        <v>1645</v>
      </c>
      <c r="AU10" s="18" t="s">
        <v>1641</v>
      </c>
      <c r="AV10" s="18" t="s">
        <v>91</v>
      </c>
      <c r="AW10" s="30" t="s">
        <v>1647</v>
      </c>
      <c r="AX10" s="18" t="s">
        <v>901</v>
      </c>
      <c r="AY10" s="18" t="s">
        <v>1643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1757</v>
      </c>
      <c r="Q1" s="25" t="s">
        <v>1758</v>
      </c>
      <c r="R1" s="25" t="s">
        <v>1759</v>
      </c>
      <c r="S1" s="25" t="s">
        <v>1760</v>
      </c>
      <c r="T1" s="25" t="s">
        <v>1761</v>
      </c>
      <c r="U1" s="25" t="s">
        <v>1762</v>
      </c>
      <c r="V1" s="25" t="s">
        <v>1763</v>
      </c>
      <c r="W1" s="25" t="s">
        <v>1764</v>
      </c>
      <c r="X1" s="28" t="s">
        <v>1765</v>
      </c>
      <c r="Y1" s="28" t="s">
        <v>1766</v>
      </c>
      <c r="Z1" s="28" t="s">
        <v>1767</v>
      </c>
      <c r="AA1" s="28" t="s">
        <v>1768</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A2" s="5" t="n">
        <v>166</v>
      </c>
      <c r="B2" s="5" t="n">
        <v>166</v>
      </c>
      <c r="C2" s="5" t="s">
        <v>832</v>
      </c>
      <c r="D2" s="5" t="n">
        <v>2014</v>
      </c>
      <c r="E2" s="5" t="s">
        <v>833</v>
      </c>
      <c r="F2" s="5" t="s">
        <v>836</v>
      </c>
      <c r="G2" s="5" t="s">
        <v>837</v>
      </c>
      <c r="H2" s="5" t="n">
        <v>29.067</v>
      </c>
      <c r="I2" s="5" t="n">
        <v>77.767</v>
      </c>
      <c r="J2" s="5" t="s">
        <v>83</v>
      </c>
      <c r="K2" s="5" t="n">
        <v>2011</v>
      </c>
      <c r="L2" s="5" t="s">
        <v>802</v>
      </c>
      <c r="M2" s="5" t="s">
        <v>85</v>
      </c>
      <c r="N2" s="5" t="s">
        <v>86</v>
      </c>
      <c r="O2" s="5" t="s">
        <v>1618</v>
      </c>
      <c r="P2" s="5"/>
      <c r="Q2" s="5" t="n">
        <f aca="false">ROUND((15.33*10.56+55.58*8.02)/(15.33+55.58),2)</f>
        <v>8.57</v>
      </c>
      <c r="R2" s="5"/>
      <c r="S2" s="5"/>
      <c r="T2" s="5"/>
      <c r="U2" s="5"/>
      <c r="V2" s="5" t="n">
        <f aca="false">ROUND((34.15*14.58+57.72*12.99)/(34.15+57.72),2)</f>
        <v>13.58</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1769</v>
      </c>
      <c r="AS2" s="5" t="s">
        <v>1620</v>
      </c>
      <c r="AT2" s="5" t="s">
        <v>1621</v>
      </c>
      <c r="AU2" s="5" t="s">
        <v>1622</v>
      </c>
      <c r="AV2" s="5" t="s">
        <v>1770</v>
      </c>
      <c r="AW2" s="23" t="s">
        <v>1771</v>
      </c>
      <c r="AX2" s="5" t="s">
        <v>848</v>
      </c>
      <c r="AY2" s="5" t="s">
        <v>1772</v>
      </c>
      <c r="BA2" s="31" t="s">
        <v>995</v>
      </c>
    </row>
    <row r="3" customFormat="false" ht="15" hidden="false" customHeight="true" outlineLevel="0" collapsed="false">
      <c r="A3" s="5" t="n">
        <v>166</v>
      </c>
      <c r="B3" s="5" t="n">
        <v>166</v>
      </c>
      <c r="C3" s="5" t="s">
        <v>832</v>
      </c>
      <c r="D3" s="5" t="n">
        <v>2014</v>
      </c>
      <c r="E3" s="5" t="s">
        <v>833</v>
      </c>
      <c r="F3" s="5" t="s">
        <v>836</v>
      </c>
      <c r="G3" s="5" t="s">
        <v>837</v>
      </c>
      <c r="H3" s="5" t="n">
        <v>29.067</v>
      </c>
      <c r="I3" s="5" t="n">
        <v>77.767</v>
      </c>
      <c r="J3" s="5" t="s">
        <v>83</v>
      </c>
      <c r="K3" s="5" t="n">
        <v>2011</v>
      </c>
      <c r="L3" s="5" t="s">
        <v>802</v>
      </c>
      <c r="M3" s="5" t="s">
        <v>85</v>
      </c>
      <c r="N3" s="5" t="s">
        <v>86</v>
      </c>
      <c r="O3" s="5" t="s">
        <v>1630</v>
      </c>
      <c r="P3" s="5"/>
      <c r="Q3" s="5" t="n">
        <f aca="false">ROUND((8.2*9.02+66.6*7.95)/(8.2+66.6),2)</f>
        <v>8.07</v>
      </c>
      <c r="R3" s="5"/>
      <c r="S3" s="5"/>
      <c r="T3" s="5"/>
      <c r="U3" s="5"/>
      <c r="V3" s="5" t="n">
        <f aca="false">ROUND((18.5*13.65+64.84*9.04)/(18.5+64.84),2)</f>
        <v>10.06</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1769</v>
      </c>
      <c r="AS3" s="5" t="s">
        <v>1620</v>
      </c>
      <c r="AT3" s="5" t="s">
        <v>1621</v>
      </c>
      <c r="AU3" s="5" t="s">
        <v>1622</v>
      </c>
      <c r="AV3" s="5" t="s">
        <v>1770</v>
      </c>
      <c r="AW3" s="23" t="s">
        <v>1773</v>
      </c>
      <c r="AX3" s="5" t="s">
        <v>848</v>
      </c>
      <c r="AY3" s="5" t="s">
        <v>1772</v>
      </c>
    </row>
    <row r="4" customFormat="false" ht="15" hidden="false" customHeight="true" outlineLevel="0" collapsed="false">
      <c r="A4" s="5" t="n">
        <v>166</v>
      </c>
      <c r="B4" s="5" t="n">
        <v>166</v>
      </c>
      <c r="C4" s="5" t="s">
        <v>832</v>
      </c>
      <c r="D4" s="5" t="n">
        <v>2014</v>
      </c>
      <c r="E4" s="5" t="s">
        <v>833</v>
      </c>
      <c r="F4" s="5" t="s">
        <v>836</v>
      </c>
      <c r="G4" s="5" t="s">
        <v>837</v>
      </c>
      <c r="H4" s="5" t="n">
        <v>29.067</v>
      </c>
      <c r="I4" s="5" t="n">
        <v>77.767</v>
      </c>
      <c r="J4" s="5" t="s">
        <v>83</v>
      </c>
      <c r="K4" s="5" t="n">
        <v>2011</v>
      </c>
      <c r="L4" s="5" t="s">
        <v>802</v>
      </c>
      <c r="M4" s="5" t="s">
        <v>85</v>
      </c>
      <c r="N4" s="5" t="s">
        <v>1479</v>
      </c>
      <c r="O4" s="5" t="s">
        <v>1480</v>
      </c>
      <c r="P4" s="5"/>
      <c r="Q4" s="5" t="n">
        <f aca="false">ROUND((5.3*5.24+54.01*3.63)/(5.3+54.01),2)</f>
        <v>3.77</v>
      </c>
      <c r="R4" s="5"/>
      <c r="S4" s="5"/>
      <c r="T4" s="5"/>
      <c r="U4" s="5"/>
      <c r="V4" s="5" t="n">
        <f aca="false">ROUND((17.4*13.24+65.43*8.66)/(17.4+65.43),2)</f>
        <v>9.62</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1769</v>
      </c>
      <c r="AS4" s="5" t="s">
        <v>1620</v>
      </c>
      <c r="AT4" s="5" t="s">
        <v>1621</v>
      </c>
      <c r="AU4" s="5" t="s">
        <v>1622</v>
      </c>
      <c r="AV4" s="5" t="s">
        <v>1770</v>
      </c>
      <c r="AW4" s="23" t="s">
        <v>1774</v>
      </c>
      <c r="AX4" s="5" t="s">
        <v>848</v>
      </c>
      <c r="AY4" s="5" t="s">
        <v>1772</v>
      </c>
    </row>
    <row r="5" customFormat="false" ht="15" hidden="false" customHeight="true" outlineLevel="0" collapsed="false">
      <c r="A5" s="18" t="s">
        <v>887</v>
      </c>
      <c r="B5" s="18" t="s">
        <v>887</v>
      </c>
      <c r="C5" s="18" t="s">
        <v>888</v>
      </c>
      <c r="D5" s="18" t="n">
        <v>2019</v>
      </c>
      <c r="E5" s="18" t="s">
        <v>833</v>
      </c>
      <c r="F5" s="18" t="s">
        <v>891</v>
      </c>
      <c r="G5" s="18" t="s">
        <v>892</v>
      </c>
      <c r="H5" s="18" t="n">
        <v>29.7</v>
      </c>
      <c r="I5" s="18" t="n">
        <v>76.96</v>
      </c>
      <c r="J5" s="18" t="s">
        <v>83</v>
      </c>
      <c r="K5" s="18" t="n">
        <v>2013</v>
      </c>
      <c r="L5" s="18" t="s">
        <v>84</v>
      </c>
      <c r="M5" s="18" t="s">
        <v>85</v>
      </c>
      <c r="N5" s="18" t="s">
        <v>86</v>
      </c>
      <c r="O5" s="18" t="s">
        <v>1472</v>
      </c>
      <c r="P5" s="18" t="n">
        <f aca="false">ROUND(AVERAGE(4.53,6.07,8.65,6.47),2)</f>
        <v>6.43</v>
      </c>
      <c r="Q5" s="18" t="n">
        <f aca="false">ROUND(AVERAGE(3.93,4.27,5.57,4.94),2)</f>
        <v>4.68</v>
      </c>
      <c r="R5" s="18"/>
      <c r="S5" s="18"/>
      <c r="T5" s="18"/>
      <c r="U5" s="18"/>
      <c r="V5" s="18"/>
      <c r="W5" s="18"/>
      <c r="X5" s="18" t="n">
        <f aca="false">ROUND(AVERAGE(5.73,6.4,7.07,5.83),2)</f>
        <v>6.26</v>
      </c>
      <c r="Y5" s="18"/>
      <c r="Z5" s="18"/>
      <c r="AA5" s="18"/>
      <c r="AB5" s="18" t="n">
        <v>1</v>
      </c>
      <c r="AC5" s="18" t="n">
        <v>3</v>
      </c>
      <c r="AD5" s="18" t="n">
        <f aca="false">IF(AND(N(AB5)&gt;0,N(AC5)&gt;0),SQRT(2*AB5/AC5),"")</f>
        <v>0.816496580927726</v>
      </c>
      <c r="AE5" s="18"/>
      <c r="AF5" s="18" t="n">
        <v>2</v>
      </c>
      <c r="AG5" s="18" t="n">
        <v>42.5</v>
      </c>
      <c r="AH5" s="18" t="n">
        <v>700</v>
      </c>
      <c r="AI5" s="18" t="n">
        <v>29.7</v>
      </c>
      <c r="AJ5" s="18" t="n">
        <v>4</v>
      </c>
      <c r="AK5" s="18"/>
      <c r="AL5" s="18"/>
      <c r="AM5" s="18"/>
      <c r="AN5" s="18"/>
      <c r="AO5" s="18"/>
      <c r="AP5" s="18"/>
      <c r="AQ5" s="18"/>
      <c r="AR5" s="18" t="s">
        <v>1775</v>
      </c>
      <c r="AS5" s="18" t="s">
        <v>1639</v>
      </c>
      <c r="AT5" s="18" t="s">
        <v>1776</v>
      </c>
      <c r="AU5" s="18" t="s">
        <v>1641</v>
      </c>
      <c r="AV5" s="18" t="s">
        <v>1777</v>
      </c>
      <c r="AW5" s="30" t="s">
        <v>1778</v>
      </c>
      <c r="AX5" s="18" t="s">
        <v>901</v>
      </c>
      <c r="AY5" s="18" t="s">
        <v>1779</v>
      </c>
    </row>
    <row r="6" customFormat="false" ht="15" hidden="false" customHeight="true" outlineLevel="0" collapsed="false">
      <c r="A6" s="18" t="s">
        <v>887</v>
      </c>
      <c r="B6" s="18" t="s">
        <v>887</v>
      </c>
      <c r="C6" s="18" t="s">
        <v>888</v>
      </c>
      <c r="D6" s="18" t="n">
        <v>2019</v>
      </c>
      <c r="E6" s="18" t="s">
        <v>833</v>
      </c>
      <c r="F6" s="18" t="s">
        <v>891</v>
      </c>
      <c r="G6" s="18" t="s">
        <v>892</v>
      </c>
      <c r="H6" s="18" t="n">
        <v>29.7</v>
      </c>
      <c r="I6" s="18" t="n">
        <v>76.96</v>
      </c>
      <c r="J6" s="18" t="s">
        <v>83</v>
      </c>
      <c r="K6" s="18" t="n">
        <v>2015</v>
      </c>
      <c r="L6" s="18" t="s">
        <v>84</v>
      </c>
      <c r="M6" s="18" t="s">
        <v>85</v>
      </c>
      <c r="N6" s="18" t="s">
        <v>86</v>
      </c>
      <c r="O6" s="18" t="s">
        <v>1472</v>
      </c>
      <c r="P6" s="18" t="n">
        <f aca="false">ROUND(AVERAGE(7.62,8.28,9.15,9.13),2)</f>
        <v>8.55</v>
      </c>
      <c r="Q6" s="18" t="n">
        <f aca="false">ROUND(AVERAGE(5.93,6.51,6.9,7.44),2)</f>
        <v>6.7</v>
      </c>
      <c r="R6" s="18"/>
      <c r="S6" s="18"/>
      <c r="T6" s="18"/>
      <c r="U6" s="18"/>
      <c r="V6" s="18"/>
      <c r="W6" s="18"/>
      <c r="X6" s="18" t="n">
        <f aca="false">ROUND(AVERAGE(7.51,8.06,8.94,9.79),2)</f>
        <v>8.58</v>
      </c>
      <c r="Y6" s="18"/>
      <c r="Z6" s="18"/>
      <c r="AA6" s="18"/>
      <c r="AB6" s="18" t="n">
        <v>1</v>
      </c>
      <c r="AC6" s="18" t="n">
        <v>3</v>
      </c>
      <c r="AD6" s="18" t="n">
        <f aca="false">IF(AND(N(AB6)&gt;0,N(AC6)&gt;0),SQRT(2*AB6/AC6),"")</f>
        <v>0.816496580927726</v>
      </c>
      <c r="AE6" s="18"/>
      <c r="AF6" s="18" t="n">
        <v>2</v>
      </c>
      <c r="AG6" s="18" t="n">
        <v>42.5</v>
      </c>
      <c r="AH6" s="18" t="n">
        <v>700</v>
      </c>
      <c r="AI6" s="18" t="n">
        <v>29.7</v>
      </c>
      <c r="AJ6" s="18" t="n">
        <v>6</v>
      </c>
      <c r="AK6" s="18"/>
      <c r="AL6" s="18"/>
      <c r="AM6" s="18"/>
      <c r="AN6" s="18"/>
      <c r="AO6" s="18"/>
      <c r="AP6" s="18"/>
      <c r="AQ6" s="18"/>
      <c r="AR6" s="18" t="s">
        <v>1775</v>
      </c>
      <c r="AS6" s="18" t="s">
        <v>1639</v>
      </c>
      <c r="AT6" s="18" t="s">
        <v>1780</v>
      </c>
      <c r="AU6" s="18" t="s">
        <v>1641</v>
      </c>
      <c r="AV6" s="18" t="s">
        <v>1781</v>
      </c>
      <c r="AW6" s="30" t="s">
        <v>1782</v>
      </c>
      <c r="AX6" s="18" t="s">
        <v>901</v>
      </c>
      <c r="AY6" s="18" t="s">
        <v>1779</v>
      </c>
    </row>
    <row r="7" customFormat="false" ht="15" hidden="false" customHeight="true" outlineLevel="0" collapsed="false">
      <c r="A7" s="18" t="s">
        <v>887</v>
      </c>
      <c r="B7" s="18" t="s">
        <v>887</v>
      </c>
      <c r="C7" s="18" t="s">
        <v>888</v>
      </c>
      <c r="D7" s="18" t="n">
        <v>2019</v>
      </c>
      <c r="E7" s="18" t="s">
        <v>833</v>
      </c>
      <c r="F7" s="18" t="s">
        <v>891</v>
      </c>
      <c r="G7" s="18" t="s">
        <v>892</v>
      </c>
      <c r="H7" s="18" t="n">
        <v>29.7</v>
      </c>
      <c r="I7" s="18" t="n">
        <v>76.96</v>
      </c>
      <c r="J7" s="18" t="s">
        <v>83</v>
      </c>
      <c r="K7" s="18" t="n">
        <v>2013</v>
      </c>
      <c r="L7" s="18" t="s">
        <v>84</v>
      </c>
      <c r="M7" s="18" t="s">
        <v>85</v>
      </c>
      <c r="N7" s="18" t="s">
        <v>1479</v>
      </c>
      <c r="O7" s="18" t="s">
        <v>1480</v>
      </c>
      <c r="P7" s="18" t="n">
        <f aca="false">ROUND(AVERAGE(3.9,4.77,2.7,2.7),2)</f>
        <v>3.52</v>
      </c>
      <c r="Q7" s="18" t="n">
        <f aca="false">ROUND(AVERAGE(2.83,4.07,2.57,4.27),2)</f>
        <v>3.44</v>
      </c>
      <c r="R7" s="18"/>
      <c r="S7" s="18"/>
      <c r="T7" s="18"/>
      <c r="U7" s="18"/>
      <c r="V7" s="18"/>
      <c r="W7" s="18"/>
      <c r="X7" s="18" t="n">
        <f aca="false">ROUND(AVERAGE(3.14,5.87,4.57,5.3),2)</f>
        <v>4.72</v>
      </c>
      <c r="Y7" s="18"/>
      <c r="Z7" s="18"/>
      <c r="AA7" s="18"/>
      <c r="AB7" s="18" t="n">
        <v>1</v>
      </c>
      <c r="AC7" s="18" t="n">
        <v>3</v>
      </c>
      <c r="AD7" s="18" t="n">
        <f aca="false">IF(AND(N(AB7)&gt;0,N(AC7)&gt;0),SQRT(2*AB7/AC7),"")</f>
        <v>0.816496580927726</v>
      </c>
      <c r="AE7" s="18"/>
      <c r="AF7" s="18" t="n">
        <v>2</v>
      </c>
      <c r="AG7" s="18" t="n">
        <v>42.5</v>
      </c>
      <c r="AH7" s="18" t="n">
        <v>700</v>
      </c>
      <c r="AI7" s="18" t="n">
        <v>29.7</v>
      </c>
      <c r="AJ7" s="18" t="n">
        <v>4</v>
      </c>
      <c r="AK7" s="18"/>
      <c r="AL7" s="18"/>
      <c r="AM7" s="18"/>
      <c r="AN7" s="18"/>
      <c r="AO7" s="18"/>
      <c r="AP7" s="18"/>
      <c r="AQ7" s="18"/>
      <c r="AR7" s="18" t="s">
        <v>1775</v>
      </c>
      <c r="AS7" s="18" t="s">
        <v>1639</v>
      </c>
      <c r="AT7" s="18" t="s">
        <v>1776</v>
      </c>
      <c r="AU7" s="18" t="s">
        <v>1641</v>
      </c>
      <c r="AV7" s="18" t="s">
        <v>1783</v>
      </c>
      <c r="AW7" s="30" t="s">
        <v>1784</v>
      </c>
      <c r="AX7" s="18" t="s">
        <v>901</v>
      </c>
      <c r="AY7" s="18" t="s">
        <v>1779</v>
      </c>
    </row>
    <row r="8" customFormat="false" ht="15" hidden="false" customHeight="true" outlineLevel="0" collapsed="false">
      <c r="A8" s="18" t="s">
        <v>887</v>
      </c>
      <c r="B8" s="18" t="s">
        <v>887</v>
      </c>
      <c r="C8" s="18" t="s">
        <v>888</v>
      </c>
      <c r="D8" s="18" t="n">
        <v>2019</v>
      </c>
      <c r="E8" s="18" t="s">
        <v>833</v>
      </c>
      <c r="F8" s="18" t="s">
        <v>891</v>
      </c>
      <c r="G8" s="18" t="s">
        <v>892</v>
      </c>
      <c r="H8" s="18" t="n">
        <v>29.7</v>
      </c>
      <c r="I8" s="18" t="n">
        <v>76.96</v>
      </c>
      <c r="J8" s="18" t="s">
        <v>83</v>
      </c>
      <c r="K8" s="18" t="n">
        <v>2015</v>
      </c>
      <c r="L8" s="18" t="s">
        <v>84</v>
      </c>
      <c r="M8" s="18" t="s">
        <v>85</v>
      </c>
      <c r="N8" s="18" t="s">
        <v>1479</v>
      </c>
      <c r="O8" s="18" t="s">
        <v>1480</v>
      </c>
      <c r="P8" s="18" t="n">
        <f aca="false">ROUND(AVERAGE(6.03,5.53,5.44,5.03),2)</f>
        <v>5.51</v>
      </c>
      <c r="Q8" s="18" t="n">
        <f aca="false">ROUND(AVERAGE(5.1,7.08,7.3,6.6),2)</f>
        <v>6.52</v>
      </c>
      <c r="R8" s="18"/>
      <c r="S8" s="18"/>
      <c r="T8" s="18"/>
      <c r="U8" s="18"/>
      <c r="V8" s="18"/>
      <c r="W8" s="18"/>
      <c r="X8" s="18" t="n">
        <f aca="false">ROUND(AVERAGE(7.21,6.08,7.8,6.73),2)</f>
        <v>6.96</v>
      </c>
      <c r="Y8" s="18"/>
      <c r="Z8" s="18"/>
      <c r="AA8" s="18"/>
      <c r="AB8" s="18" t="n">
        <v>1</v>
      </c>
      <c r="AC8" s="18" t="n">
        <v>3</v>
      </c>
      <c r="AD8" s="18" t="n">
        <f aca="false">IF(AND(N(AB8)&gt;0,N(AC8)&gt;0),SQRT(2*AB8/AC8),"")</f>
        <v>0.816496580927726</v>
      </c>
      <c r="AE8" s="18"/>
      <c r="AF8" s="18" t="n">
        <v>2</v>
      </c>
      <c r="AG8" s="18" t="n">
        <v>42.5</v>
      </c>
      <c r="AH8" s="18" t="n">
        <v>700</v>
      </c>
      <c r="AI8" s="18" t="n">
        <v>29.7</v>
      </c>
      <c r="AJ8" s="18" t="n">
        <v>6</v>
      </c>
      <c r="AK8" s="18"/>
      <c r="AL8" s="18"/>
      <c r="AM8" s="18"/>
      <c r="AN8" s="18"/>
      <c r="AO8" s="18"/>
      <c r="AP8" s="18"/>
      <c r="AQ8" s="18"/>
      <c r="AR8" s="18" t="s">
        <v>1775</v>
      </c>
      <c r="AS8" s="18" t="s">
        <v>1639</v>
      </c>
      <c r="AT8" s="18" t="s">
        <v>1780</v>
      </c>
      <c r="AU8" s="18" t="s">
        <v>1641</v>
      </c>
      <c r="AV8" s="18" t="s">
        <v>1785</v>
      </c>
      <c r="AW8" s="30" t="s">
        <v>1786</v>
      </c>
      <c r="AX8" s="18" t="s">
        <v>901</v>
      </c>
      <c r="AY8" s="18" t="s">
        <v>1779</v>
      </c>
    </row>
    <row r="9" customFormat="false" ht="15" hidden="false" customHeight="true" outlineLevel="0" collapsed="false"/>
    <row r="10" customFormat="false" ht="15" hidden="false" customHeight="true" outlineLevel="0" collapsed="false"/>
    <row r="11"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1787</v>
      </c>
      <c r="Q1" s="25" t="s">
        <v>1788</v>
      </c>
      <c r="R1" s="25" t="s">
        <v>1789</v>
      </c>
      <c r="S1" s="25" t="s">
        <v>1790</v>
      </c>
      <c r="T1" s="25" t="s">
        <v>1791</v>
      </c>
      <c r="U1" s="25" t="s">
        <v>1792</v>
      </c>
      <c r="V1" s="25" t="s">
        <v>1793</v>
      </c>
      <c r="W1" s="25" t="s">
        <v>1794</v>
      </c>
      <c r="X1" s="28" t="s">
        <v>1795</v>
      </c>
      <c r="Y1" s="28" t="s">
        <v>1796</v>
      </c>
      <c r="Z1" s="28" t="s">
        <v>1797</v>
      </c>
      <c r="AA1" s="28" t="s">
        <v>1798</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A2" s="5" t="n">
        <v>166</v>
      </c>
      <c r="B2" s="5" t="n">
        <v>166</v>
      </c>
      <c r="C2" s="5" t="s">
        <v>832</v>
      </c>
      <c r="D2" s="5" t="n">
        <v>2014</v>
      </c>
      <c r="E2" s="5" t="s">
        <v>833</v>
      </c>
      <c r="F2" s="5" t="s">
        <v>836</v>
      </c>
      <c r="G2" s="5" t="s">
        <v>837</v>
      </c>
      <c r="H2" s="5" t="n">
        <v>29.067</v>
      </c>
      <c r="I2" s="5" t="n">
        <v>77.767</v>
      </c>
      <c r="J2" s="5" t="s">
        <v>83</v>
      </c>
      <c r="K2" s="5" t="n">
        <v>2011</v>
      </c>
      <c r="L2" s="5" t="s">
        <v>802</v>
      </c>
      <c r="M2" s="5" t="s">
        <v>85</v>
      </c>
      <c r="N2" s="5" t="s">
        <v>86</v>
      </c>
      <c r="O2" s="5" t="s">
        <v>1618</v>
      </c>
      <c r="P2" s="5"/>
      <c r="Q2" s="5" t="n">
        <v>5.68</v>
      </c>
      <c r="R2" s="5"/>
      <c r="S2" s="5"/>
      <c r="T2" s="5"/>
      <c r="U2" s="5"/>
      <c r="V2" s="5" t="n">
        <v>8.91</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1799</v>
      </c>
      <c r="AS2" s="5" t="s">
        <v>1620</v>
      </c>
      <c r="AT2" s="5" t="s">
        <v>1621</v>
      </c>
      <c r="AU2" s="5" t="s">
        <v>1622</v>
      </c>
      <c r="AV2" s="5" t="s">
        <v>1476</v>
      </c>
      <c r="AW2" s="23" t="s">
        <v>1754</v>
      </c>
      <c r="AX2" s="5" t="s">
        <v>848</v>
      </c>
      <c r="AY2" s="5" t="s">
        <v>1800</v>
      </c>
      <c r="BA2" s="31" t="s">
        <v>998</v>
      </c>
    </row>
    <row r="3" customFormat="false" ht="15" hidden="false" customHeight="true" outlineLevel="0" collapsed="false">
      <c r="A3" s="5" t="n">
        <v>166</v>
      </c>
      <c r="B3" s="5" t="n">
        <v>166</v>
      </c>
      <c r="C3" s="5" t="s">
        <v>832</v>
      </c>
      <c r="D3" s="5" t="n">
        <v>2014</v>
      </c>
      <c r="E3" s="5" t="s">
        <v>833</v>
      </c>
      <c r="F3" s="5" t="s">
        <v>836</v>
      </c>
      <c r="G3" s="5" t="s">
        <v>837</v>
      </c>
      <c r="H3" s="5" t="n">
        <v>29.067</v>
      </c>
      <c r="I3" s="5" t="n">
        <v>77.767</v>
      </c>
      <c r="J3" s="5" t="s">
        <v>83</v>
      </c>
      <c r="K3" s="5" t="n">
        <v>2011</v>
      </c>
      <c r="L3" s="5" t="s">
        <v>802</v>
      </c>
      <c r="M3" s="5" t="s">
        <v>85</v>
      </c>
      <c r="N3" s="5" t="s">
        <v>86</v>
      </c>
      <c r="O3" s="5" t="s">
        <v>1630</v>
      </c>
      <c r="P3" s="5"/>
      <c r="Q3" s="5" t="n">
        <v>4.85</v>
      </c>
      <c r="R3" s="5"/>
      <c r="S3" s="5"/>
      <c r="T3" s="5"/>
      <c r="U3" s="5"/>
      <c r="V3" s="5" t="n">
        <v>5.52</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1799</v>
      </c>
      <c r="AS3" s="5" t="s">
        <v>1620</v>
      </c>
      <c r="AT3" s="5" t="s">
        <v>1621</v>
      </c>
      <c r="AU3" s="5" t="s">
        <v>1622</v>
      </c>
      <c r="AV3" s="5" t="s">
        <v>1476</v>
      </c>
      <c r="AW3" s="23" t="s">
        <v>1754</v>
      </c>
      <c r="AX3" s="5" t="s">
        <v>848</v>
      </c>
      <c r="AY3" s="5" t="s">
        <v>1800</v>
      </c>
    </row>
    <row r="4" customFormat="false" ht="15" hidden="false" customHeight="true" outlineLevel="0" collapsed="false">
      <c r="A4" s="5" t="n">
        <v>166</v>
      </c>
      <c r="B4" s="5" t="n">
        <v>166</v>
      </c>
      <c r="C4" s="5" t="s">
        <v>832</v>
      </c>
      <c r="D4" s="5" t="n">
        <v>2014</v>
      </c>
      <c r="E4" s="5" t="s">
        <v>833</v>
      </c>
      <c r="F4" s="5" t="s">
        <v>836</v>
      </c>
      <c r="G4" s="5" t="s">
        <v>837</v>
      </c>
      <c r="H4" s="5" t="n">
        <v>29.067</v>
      </c>
      <c r="I4" s="5" t="n">
        <v>77.767</v>
      </c>
      <c r="J4" s="5" t="s">
        <v>83</v>
      </c>
      <c r="K4" s="5" t="n">
        <v>2011</v>
      </c>
      <c r="L4" s="5" t="s">
        <v>802</v>
      </c>
      <c r="M4" s="5" t="s">
        <v>85</v>
      </c>
      <c r="N4" s="5" t="s">
        <v>1479</v>
      </c>
      <c r="O4" s="5" t="s">
        <v>1480</v>
      </c>
      <c r="P4" s="5"/>
      <c r="Q4" s="5" t="n">
        <v>3.99</v>
      </c>
      <c r="R4" s="5"/>
      <c r="S4" s="5"/>
      <c r="T4" s="5"/>
      <c r="U4" s="5"/>
      <c r="V4" s="5" t="n">
        <v>6.17</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1799</v>
      </c>
      <c r="AS4" s="5" t="s">
        <v>1620</v>
      </c>
      <c r="AT4" s="5" t="s">
        <v>1621</v>
      </c>
      <c r="AU4" s="5" t="s">
        <v>1622</v>
      </c>
      <c r="AV4" s="5" t="s">
        <v>1476</v>
      </c>
      <c r="AW4" s="23" t="s">
        <v>1755</v>
      </c>
      <c r="AX4" s="5" t="s">
        <v>848</v>
      </c>
      <c r="AY4" s="5" t="s">
        <v>1800</v>
      </c>
    </row>
    <row r="5" customFormat="false" ht="15" hidden="false" customHeight="true" outlineLevel="0" collapsed="false">
      <c r="A5" s="18" t="s">
        <v>887</v>
      </c>
      <c r="B5" s="18" t="s">
        <v>887</v>
      </c>
      <c r="C5" s="18" t="s">
        <v>888</v>
      </c>
      <c r="D5" s="18" t="n">
        <v>2019</v>
      </c>
      <c r="E5" s="18" t="s">
        <v>833</v>
      </c>
      <c r="F5" s="18" t="s">
        <v>891</v>
      </c>
      <c r="G5" s="18" t="s">
        <v>892</v>
      </c>
      <c r="H5" s="18" t="n">
        <v>29.7</v>
      </c>
      <c r="I5" s="18" t="n">
        <v>76.96</v>
      </c>
      <c r="J5" s="18" t="s">
        <v>83</v>
      </c>
      <c r="K5" s="18" t="n">
        <v>2013</v>
      </c>
      <c r="L5" s="18" t="s">
        <v>84</v>
      </c>
      <c r="M5" s="18" t="s">
        <v>85</v>
      </c>
      <c r="N5" s="18" t="s">
        <v>86</v>
      </c>
      <c r="O5" s="18" t="s">
        <v>1472</v>
      </c>
      <c r="P5" s="18" t="n">
        <f aca="false">ROUND(AVERAGE(5.6,3.3),2)</f>
        <v>4.45</v>
      </c>
      <c r="Q5" s="18" t="n">
        <f aca="false">ROUND(AVERAGE(2.53,2.87),2)</f>
        <v>2.7</v>
      </c>
      <c r="R5" s="18"/>
      <c r="S5" s="18"/>
      <c r="T5" s="18"/>
      <c r="U5" s="18"/>
      <c r="V5" s="18"/>
      <c r="W5" s="18"/>
      <c r="X5" s="18" t="n">
        <f aca="false">ROUND(AVERAGE(5.37,3.9),2)</f>
        <v>4.64</v>
      </c>
      <c r="Y5" s="18"/>
      <c r="Z5" s="18"/>
      <c r="AA5" s="18"/>
      <c r="AB5" s="18" t="n">
        <v>1</v>
      </c>
      <c r="AC5" s="18" t="n">
        <v>3</v>
      </c>
      <c r="AD5" s="18" t="n">
        <f aca="false">IF(AND(N(AB5)&gt;0,N(AC5)&gt;0),SQRT(2*AB5/AC5),"")</f>
        <v>0.816496580927726</v>
      </c>
      <c r="AE5" s="18"/>
      <c r="AF5" s="18" t="n">
        <v>2</v>
      </c>
      <c r="AG5" s="18" t="n">
        <v>42.5</v>
      </c>
      <c r="AH5" s="18" t="n">
        <v>700</v>
      </c>
      <c r="AI5" s="18" t="n">
        <v>29.7</v>
      </c>
      <c r="AJ5" s="18" t="n">
        <v>4</v>
      </c>
      <c r="AK5" s="18"/>
      <c r="AL5" s="18"/>
      <c r="AM5" s="18"/>
      <c r="AN5" s="18"/>
      <c r="AO5" s="18"/>
      <c r="AP5" s="18"/>
      <c r="AQ5" s="18"/>
      <c r="AR5" s="18" t="s">
        <v>1801</v>
      </c>
      <c r="AS5" s="18" t="s">
        <v>1639</v>
      </c>
      <c r="AT5" s="18" t="s">
        <v>1776</v>
      </c>
      <c r="AU5" s="18" t="s">
        <v>1641</v>
      </c>
      <c r="AV5" s="18" t="s">
        <v>1777</v>
      </c>
      <c r="AW5" s="30" t="s">
        <v>1802</v>
      </c>
      <c r="AX5" s="18" t="s">
        <v>901</v>
      </c>
      <c r="AY5" s="18" t="s">
        <v>1779</v>
      </c>
    </row>
    <row r="6" customFormat="false" ht="15" hidden="false" customHeight="true" outlineLevel="0" collapsed="false">
      <c r="A6" s="18" t="s">
        <v>887</v>
      </c>
      <c r="B6" s="18" t="s">
        <v>887</v>
      </c>
      <c r="C6" s="18" t="s">
        <v>888</v>
      </c>
      <c r="D6" s="18" t="n">
        <v>2019</v>
      </c>
      <c r="E6" s="18" t="s">
        <v>833</v>
      </c>
      <c r="F6" s="18" t="s">
        <v>891</v>
      </c>
      <c r="G6" s="18" t="s">
        <v>892</v>
      </c>
      <c r="H6" s="18" t="n">
        <v>29.7</v>
      </c>
      <c r="I6" s="18" t="n">
        <v>76.96</v>
      </c>
      <c r="J6" s="18" t="s">
        <v>83</v>
      </c>
      <c r="K6" s="18" t="n">
        <v>2015</v>
      </c>
      <c r="L6" s="18" t="s">
        <v>84</v>
      </c>
      <c r="M6" s="18" t="s">
        <v>85</v>
      </c>
      <c r="N6" s="18" t="s">
        <v>86</v>
      </c>
      <c r="O6" s="18" t="s">
        <v>1472</v>
      </c>
      <c r="P6" s="18" t="n">
        <f aca="false">ROUND(AVERAGE(8.25,6.83),2)</f>
        <v>7.54</v>
      </c>
      <c r="Q6" s="18" t="n">
        <f aca="false">ROUND(AVERAGE(6,5.34),2)</f>
        <v>5.67</v>
      </c>
      <c r="R6" s="18"/>
      <c r="S6" s="18"/>
      <c r="T6" s="18"/>
      <c r="U6" s="18"/>
      <c r="V6" s="18"/>
      <c r="W6" s="18"/>
      <c r="X6" s="18" t="n">
        <f aca="false">ROUND(AVERAGE(7.7,5.97),2)</f>
        <v>6.84</v>
      </c>
      <c r="Y6" s="18"/>
      <c r="Z6" s="18"/>
      <c r="AA6" s="18"/>
      <c r="AB6" s="18" t="n">
        <v>1</v>
      </c>
      <c r="AC6" s="18" t="n">
        <v>3</v>
      </c>
      <c r="AD6" s="18" t="n">
        <f aca="false">IF(AND(N(AB6)&gt;0,N(AC6)&gt;0),SQRT(2*AB6/AC6),"")</f>
        <v>0.816496580927726</v>
      </c>
      <c r="AE6" s="18"/>
      <c r="AF6" s="18" t="n">
        <v>2</v>
      </c>
      <c r="AG6" s="18" t="n">
        <v>42.5</v>
      </c>
      <c r="AH6" s="18" t="n">
        <v>700</v>
      </c>
      <c r="AI6" s="18" t="n">
        <v>29.7</v>
      </c>
      <c r="AJ6" s="18" t="n">
        <v>6</v>
      </c>
      <c r="AK6" s="18"/>
      <c r="AL6" s="18"/>
      <c r="AM6" s="18"/>
      <c r="AN6" s="18"/>
      <c r="AO6" s="18"/>
      <c r="AP6" s="18"/>
      <c r="AQ6" s="18"/>
      <c r="AR6" s="18" t="s">
        <v>1801</v>
      </c>
      <c r="AS6" s="18" t="s">
        <v>1639</v>
      </c>
      <c r="AT6" s="18" t="s">
        <v>1780</v>
      </c>
      <c r="AU6" s="18" t="s">
        <v>1641</v>
      </c>
      <c r="AV6" s="18" t="s">
        <v>1781</v>
      </c>
      <c r="AW6" s="30" t="s">
        <v>1803</v>
      </c>
      <c r="AX6" s="18" t="s">
        <v>901</v>
      </c>
      <c r="AY6" s="18" t="s">
        <v>1779</v>
      </c>
    </row>
    <row r="7" customFormat="false" ht="15" hidden="false" customHeight="true" outlineLevel="0" collapsed="false">
      <c r="A7" s="18" t="s">
        <v>887</v>
      </c>
      <c r="B7" s="18" t="s">
        <v>887</v>
      </c>
      <c r="C7" s="18" t="s">
        <v>888</v>
      </c>
      <c r="D7" s="18" t="n">
        <v>2019</v>
      </c>
      <c r="E7" s="18" t="s">
        <v>833</v>
      </c>
      <c r="F7" s="18" t="s">
        <v>891</v>
      </c>
      <c r="G7" s="18" t="s">
        <v>892</v>
      </c>
      <c r="H7" s="18" t="n">
        <v>29.7</v>
      </c>
      <c r="I7" s="18" t="n">
        <v>76.96</v>
      </c>
      <c r="J7" s="18" t="s">
        <v>83</v>
      </c>
      <c r="K7" s="18" t="n">
        <v>2013</v>
      </c>
      <c r="L7" s="18" t="s">
        <v>84</v>
      </c>
      <c r="M7" s="18" t="s">
        <v>85</v>
      </c>
      <c r="N7" s="18" t="s">
        <v>1479</v>
      </c>
      <c r="O7" s="18" t="s">
        <v>1480</v>
      </c>
      <c r="P7" s="18" t="n">
        <f aca="false">ROUND(AVERAGE(2.4,2.97),2)</f>
        <v>2.69</v>
      </c>
      <c r="Q7" s="18" t="n">
        <f aca="false">ROUND(AVERAGE(2.17,2.67),2)</f>
        <v>2.42</v>
      </c>
      <c r="R7" s="18"/>
      <c r="S7" s="18"/>
      <c r="T7" s="18"/>
      <c r="U7" s="18"/>
      <c r="V7" s="18"/>
      <c r="W7" s="18"/>
      <c r="X7" s="18" t="n">
        <f aca="false">ROUND(AVERAGE(2.2,2.8),2)</f>
        <v>2.5</v>
      </c>
      <c r="Y7" s="18"/>
      <c r="Z7" s="18"/>
      <c r="AA7" s="18"/>
      <c r="AB7" s="18" t="n">
        <v>1</v>
      </c>
      <c r="AC7" s="18" t="n">
        <v>3</v>
      </c>
      <c r="AD7" s="18" t="n">
        <f aca="false">IF(AND(N(AB7)&gt;0,N(AC7)&gt;0),SQRT(2*AB7/AC7),"")</f>
        <v>0.816496580927726</v>
      </c>
      <c r="AE7" s="18"/>
      <c r="AF7" s="18" t="n">
        <v>2</v>
      </c>
      <c r="AG7" s="18" t="n">
        <v>42.5</v>
      </c>
      <c r="AH7" s="18" t="n">
        <v>700</v>
      </c>
      <c r="AI7" s="18" t="n">
        <v>29.7</v>
      </c>
      <c r="AJ7" s="18" t="n">
        <v>4</v>
      </c>
      <c r="AK7" s="18"/>
      <c r="AL7" s="18"/>
      <c r="AM7" s="18"/>
      <c r="AN7" s="18"/>
      <c r="AO7" s="18"/>
      <c r="AP7" s="18"/>
      <c r="AQ7" s="18"/>
      <c r="AR7" s="18" t="s">
        <v>1801</v>
      </c>
      <c r="AS7" s="18" t="s">
        <v>1639</v>
      </c>
      <c r="AT7" s="18" t="s">
        <v>1776</v>
      </c>
      <c r="AU7" s="18" t="s">
        <v>1641</v>
      </c>
      <c r="AV7" s="18" t="s">
        <v>1783</v>
      </c>
      <c r="AW7" s="30" t="s">
        <v>1804</v>
      </c>
      <c r="AX7" s="18" t="s">
        <v>901</v>
      </c>
      <c r="AY7" s="18" t="s">
        <v>1779</v>
      </c>
    </row>
    <row r="8" customFormat="false" ht="15" hidden="false" customHeight="true" outlineLevel="0" collapsed="false">
      <c r="A8" s="18" t="s">
        <v>887</v>
      </c>
      <c r="B8" s="18" t="s">
        <v>887</v>
      </c>
      <c r="C8" s="18" t="s">
        <v>888</v>
      </c>
      <c r="D8" s="18" t="n">
        <v>2019</v>
      </c>
      <c r="E8" s="18" t="s">
        <v>833</v>
      </c>
      <c r="F8" s="18" t="s">
        <v>891</v>
      </c>
      <c r="G8" s="18" t="s">
        <v>892</v>
      </c>
      <c r="H8" s="18" t="n">
        <v>29.7</v>
      </c>
      <c r="I8" s="18" t="n">
        <v>76.96</v>
      </c>
      <c r="J8" s="18" t="s">
        <v>83</v>
      </c>
      <c r="K8" s="18" t="n">
        <v>2015</v>
      </c>
      <c r="L8" s="18" t="s">
        <v>84</v>
      </c>
      <c r="M8" s="18" t="s">
        <v>85</v>
      </c>
      <c r="N8" s="18" t="s">
        <v>1479</v>
      </c>
      <c r="O8" s="18" t="s">
        <v>1480</v>
      </c>
      <c r="P8" s="18" t="n">
        <f aca="false">ROUND(AVERAGE(4.33,4.33),2)</f>
        <v>4.33</v>
      </c>
      <c r="Q8" s="18" t="n">
        <f aca="false">ROUND(AVERAGE(5.34,4.7),2)</f>
        <v>5.02</v>
      </c>
      <c r="R8" s="18"/>
      <c r="S8" s="18"/>
      <c r="T8" s="18"/>
      <c r="U8" s="18"/>
      <c r="V8" s="18"/>
      <c r="W8" s="18"/>
      <c r="X8" s="18" t="n">
        <f aca="false">ROUND(AVERAGE(5.62,4.17),2)</f>
        <v>4.9</v>
      </c>
      <c r="Y8" s="18"/>
      <c r="Z8" s="18"/>
      <c r="AA8" s="18"/>
      <c r="AB8" s="18" t="n">
        <v>1</v>
      </c>
      <c r="AC8" s="18" t="n">
        <v>3</v>
      </c>
      <c r="AD8" s="18" t="n">
        <f aca="false">IF(AND(N(AB8)&gt;0,N(AC8)&gt;0),SQRT(2*AB8/AC8),"")</f>
        <v>0.816496580927726</v>
      </c>
      <c r="AE8" s="18"/>
      <c r="AF8" s="18" t="n">
        <v>2</v>
      </c>
      <c r="AG8" s="18" t="n">
        <v>42.5</v>
      </c>
      <c r="AH8" s="18" t="n">
        <v>700</v>
      </c>
      <c r="AI8" s="18" t="n">
        <v>29.7</v>
      </c>
      <c r="AJ8" s="18" t="n">
        <v>6</v>
      </c>
      <c r="AK8" s="18"/>
      <c r="AL8" s="18"/>
      <c r="AM8" s="18"/>
      <c r="AN8" s="18"/>
      <c r="AO8" s="18"/>
      <c r="AP8" s="18"/>
      <c r="AQ8" s="18"/>
      <c r="AR8" s="18" t="s">
        <v>1801</v>
      </c>
      <c r="AS8" s="18" t="s">
        <v>1639</v>
      </c>
      <c r="AT8" s="18" t="s">
        <v>1780</v>
      </c>
      <c r="AU8" s="18" t="s">
        <v>1641</v>
      </c>
      <c r="AV8" s="18" t="s">
        <v>1785</v>
      </c>
      <c r="AW8" s="30" t="s">
        <v>1805</v>
      </c>
      <c r="AX8" s="18" t="s">
        <v>901</v>
      </c>
      <c r="AY8" s="18" t="s">
        <v>1779</v>
      </c>
    </row>
    <row r="9"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1806</v>
      </c>
      <c r="Q1" s="25" t="s">
        <v>1807</v>
      </c>
      <c r="R1" s="25" t="s">
        <v>1808</v>
      </c>
      <c r="S1" s="25" t="s">
        <v>1809</v>
      </c>
      <c r="T1" s="25" t="s">
        <v>1810</v>
      </c>
      <c r="U1" s="25" t="s">
        <v>1811</v>
      </c>
      <c r="V1" s="25" t="s">
        <v>1812</v>
      </c>
      <c r="W1" s="25" t="s">
        <v>1813</v>
      </c>
      <c r="X1" s="28" t="s">
        <v>1814</v>
      </c>
      <c r="Y1" s="28" t="s">
        <v>1815</v>
      </c>
      <c r="Z1" s="28" t="s">
        <v>1816</v>
      </c>
      <c r="AA1" s="28" t="s">
        <v>1817</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BA2" s="32" t="s">
        <v>1000</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"0-10 CM,10-20 CM,20-30 CM,30-40 CM,40-50 CM,50-60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1818</v>
      </c>
      <c r="Q1" s="25" t="s">
        <v>1819</v>
      </c>
      <c r="R1" s="25" t="s">
        <v>1820</v>
      </c>
      <c r="S1" s="25" t="s">
        <v>1821</v>
      </c>
      <c r="T1" s="25" t="s">
        <v>1822</v>
      </c>
      <c r="U1" s="25" t="s">
        <v>1823</v>
      </c>
      <c r="V1" s="25" t="s">
        <v>1824</v>
      </c>
      <c r="W1" s="25" t="s">
        <v>1825</v>
      </c>
      <c r="X1" s="28" t="s">
        <v>1826</v>
      </c>
      <c r="Y1" s="28" t="s">
        <v>1827</v>
      </c>
      <c r="Z1" s="28" t="s">
        <v>1828</v>
      </c>
      <c r="AA1" s="28" t="s">
        <v>1829</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A2" s="5" t="n">
        <v>165</v>
      </c>
      <c r="B2" s="5" t="n">
        <v>165</v>
      </c>
      <c r="C2" s="5" t="s">
        <v>811</v>
      </c>
      <c r="D2" s="5" t="n">
        <v>2012</v>
      </c>
      <c r="E2" s="5" t="s">
        <v>812</v>
      </c>
      <c r="F2" s="5" t="s">
        <v>815</v>
      </c>
      <c r="G2" s="5" t="s">
        <v>816</v>
      </c>
      <c r="H2" s="5" t="n">
        <v>28.633</v>
      </c>
      <c r="I2" s="5" t="n">
        <v>77.183</v>
      </c>
      <c r="J2" s="5" t="s">
        <v>83</v>
      </c>
      <c r="K2" s="5" t="s">
        <v>1481</v>
      </c>
      <c r="L2" s="5" t="s">
        <v>821</v>
      </c>
      <c r="M2" s="5" t="s">
        <v>85</v>
      </c>
      <c r="N2" s="5" t="s">
        <v>86</v>
      </c>
      <c r="O2" s="5" t="s">
        <v>1472</v>
      </c>
      <c r="P2" s="5"/>
      <c r="Q2" s="5" t="n">
        <v>0.43</v>
      </c>
      <c r="R2" s="5"/>
      <c r="S2" s="5"/>
      <c r="T2" s="5"/>
      <c r="U2" s="5"/>
      <c r="V2" s="5" t="n">
        <v>0.48</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1830</v>
      </c>
      <c r="AS2" s="5" t="s">
        <v>1482</v>
      </c>
      <c r="AT2" s="5" t="s">
        <v>1483</v>
      </c>
      <c r="AU2" s="5" t="s">
        <v>1484</v>
      </c>
      <c r="AV2" s="5" t="s">
        <v>1485</v>
      </c>
      <c r="AW2" s="23" t="s">
        <v>1831</v>
      </c>
      <c r="AX2" s="5" t="s">
        <v>829</v>
      </c>
      <c r="AY2" s="5" t="s">
        <v>1832</v>
      </c>
      <c r="BA2" s="31" t="s">
        <v>1002</v>
      </c>
    </row>
    <row r="3" customFormat="false" ht="15" hidden="false" customHeight="true" outlineLevel="0" collapsed="false">
      <c r="A3" s="5" t="n">
        <v>165</v>
      </c>
      <c r="B3" s="5" t="n">
        <v>165</v>
      </c>
      <c r="C3" s="5" t="s">
        <v>811</v>
      </c>
      <c r="D3" s="5" t="n">
        <v>2012</v>
      </c>
      <c r="E3" s="5" t="s">
        <v>812</v>
      </c>
      <c r="F3" s="5" t="s">
        <v>815</v>
      </c>
      <c r="G3" s="5" t="s">
        <v>816</v>
      </c>
      <c r="H3" s="5" t="n">
        <v>28.633</v>
      </c>
      <c r="I3" s="5" t="n">
        <v>77.183</v>
      </c>
      <c r="J3" s="5" t="s">
        <v>83</v>
      </c>
      <c r="K3" s="5" t="s">
        <v>1481</v>
      </c>
      <c r="L3" s="5" t="s">
        <v>821</v>
      </c>
      <c r="M3" s="5" t="s">
        <v>85</v>
      </c>
      <c r="N3" s="5" t="s">
        <v>86</v>
      </c>
      <c r="O3" s="5" t="s">
        <v>1472</v>
      </c>
      <c r="P3" s="5"/>
      <c r="Q3" s="5" t="n">
        <v>0.45</v>
      </c>
      <c r="R3" s="5"/>
      <c r="S3" s="5"/>
      <c r="T3" s="5"/>
      <c r="U3" s="5"/>
      <c r="V3" s="5" t="n">
        <v>0.51</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1830</v>
      </c>
      <c r="AS3" s="5" t="s">
        <v>1488</v>
      </c>
      <c r="AT3" s="5" t="s">
        <v>1489</v>
      </c>
      <c r="AU3" s="5" t="s">
        <v>1484</v>
      </c>
      <c r="AV3" s="5" t="s">
        <v>1485</v>
      </c>
      <c r="AW3" s="23" t="s">
        <v>1833</v>
      </c>
      <c r="AX3" s="5" t="s">
        <v>829</v>
      </c>
      <c r="AY3" s="5" t="s">
        <v>1832</v>
      </c>
    </row>
    <row r="4" customFormat="false" ht="15" hidden="false" customHeight="true" outlineLevel="0" collapsed="false">
      <c r="A4" s="18" t="s">
        <v>914</v>
      </c>
      <c r="B4" s="18" t="s">
        <v>914</v>
      </c>
      <c r="C4" s="18" t="s">
        <v>915</v>
      </c>
      <c r="D4" s="18" t="n">
        <v>2020</v>
      </c>
      <c r="E4" s="18" t="s">
        <v>916</v>
      </c>
      <c r="F4" s="18" t="s">
        <v>815</v>
      </c>
      <c r="G4" s="18" t="s">
        <v>919</v>
      </c>
      <c r="H4" s="18" t="n">
        <v>28.4</v>
      </c>
      <c r="I4" s="18" t="n">
        <v>77.1</v>
      </c>
      <c r="J4" s="18" t="s">
        <v>83</v>
      </c>
      <c r="K4" s="18" t="s">
        <v>1504</v>
      </c>
      <c r="L4" s="18" t="s">
        <v>802</v>
      </c>
      <c r="M4" s="18" t="s">
        <v>85</v>
      </c>
      <c r="N4" s="18" t="s">
        <v>86</v>
      </c>
      <c r="O4" s="18" t="s">
        <v>1472</v>
      </c>
      <c r="P4" s="18"/>
      <c r="Q4" s="18" t="n">
        <v>0.38</v>
      </c>
      <c r="R4" s="18"/>
      <c r="S4" s="18"/>
      <c r="T4" s="18"/>
      <c r="U4" s="18"/>
      <c r="V4" s="18" t="n">
        <v>0.5</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1834</v>
      </c>
      <c r="AS4" s="18" t="s">
        <v>1505</v>
      </c>
      <c r="AT4" s="18" t="s">
        <v>1506</v>
      </c>
      <c r="AU4" s="18" t="s">
        <v>1507</v>
      </c>
      <c r="AV4" s="18" t="s">
        <v>1508</v>
      </c>
      <c r="AW4" s="30" t="s">
        <v>1835</v>
      </c>
      <c r="AX4" s="18" t="s">
        <v>928</v>
      </c>
      <c r="AY4" s="18" t="s">
        <v>1836</v>
      </c>
    </row>
    <row r="5" customFormat="false" ht="15" hidden="false" customHeight="true" outlineLevel="0" collapsed="false">
      <c r="A5" s="18" t="s">
        <v>914</v>
      </c>
      <c r="B5" s="18" t="s">
        <v>914</v>
      </c>
      <c r="C5" s="18" t="s">
        <v>915</v>
      </c>
      <c r="D5" s="18" t="n">
        <v>2020</v>
      </c>
      <c r="E5" s="18" t="s">
        <v>916</v>
      </c>
      <c r="F5" s="18" t="s">
        <v>815</v>
      </c>
      <c r="G5" s="18" t="s">
        <v>919</v>
      </c>
      <c r="H5" s="18" t="n">
        <v>28.4</v>
      </c>
      <c r="I5" s="18" t="n">
        <v>77.1</v>
      </c>
      <c r="J5" s="18" t="s">
        <v>83</v>
      </c>
      <c r="K5" s="18" t="s">
        <v>1504</v>
      </c>
      <c r="L5" s="18" t="s">
        <v>802</v>
      </c>
      <c r="M5" s="18" t="s">
        <v>85</v>
      </c>
      <c r="N5" s="18" t="s">
        <v>86</v>
      </c>
      <c r="O5" s="18" t="s">
        <v>1472</v>
      </c>
      <c r="P5" s="18"/>
      <c r="Q5" s="18" t="n">
        <v>0.38</v>
      </c>
      <c r="R5" s="18"/>
      <c r="S5" s="18"/>
      <c r="T5" s="18"/>
      <c r="U5" s="18"/>
      <c r="V5" s="18" t="n">
        <v>0.55</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1834</v>
      </c>
      <c r="AS5" s="18" t="s">
        <v>1511</v>
      </c>
      <c r="AT5" s="18" t="s">
        <v>1506</v>
      </c>
      <c r="AU5" s="18" t="s">
        <v>1507</v>
      </c>
      <c r="AV5" s="18" t="s">
        <v>1508</v>
      </c>
      <c r="AW5" s="30" t="s">
        <v>1837</v>
      </c>
      <c r="AX5" s="18" t="s">
        <v>928</v>
      </c>
      <c r="AY5" s="18" t="s">
        <v>1836</v>
      </c>
    </row>
    <row r="6" customFormat="false" ht="15" hidden="false" customHeight="true" outlineLevel="0" collapsed="false">
      <c r="A6" s="18" t="s">
        <v>914</v>
      </c>
      <c r="B6" s="18" t="s">
        <v>914</v>
      </c>
      <c r="C6" s="18" t="s">
        <v>915</v>
      </c>
      <c r="D6" s="18" t="n">
        <v>2020</v>
      </c>
      <c r="E6" s="18" t="s">
        <v>916</v>
      </c>
      <c r="F6" s="18" t="s">
        <v>815</v>
      </c>
      <c r="G6" s="18" t="s">
        <v>919</v>
      </c>
      <c r="H6" s="18" t="n">
        <v>28.4</v>
      </c>
      <c r="I6" s="18" t="n">
        <v>77.1</v>
      </c>
      <c r="J6" s="18" t="s">
        <v>83</v>
      </c>
      <c r="K6" s="18" t="s">
        <v>1504</v>
      </c>
      <c r="L6" s="18" t="s">
        <v>802</v>
      </c>
      <c r="M6" s="18" t="s">
        <v>85</v>
      </c>
      <c r="N6" s="18" t="s">
        <v>86</v>
      </c>
      <c r="O6" s="18" t="s">
        <v>1472</v>
      </c>
      <c r="P6" s="18"/>
      <c r="Q6" s="18" t="n">
        <v>0.41</v>
      </c>
      <c r="R6" s="18"/>
      <c r="S6" s="18"/>
      <c r="T6" s="18"/>
      <c r="U6" s="18"/>
      <c r="V6" s="18" t="n">
        <v>0.53</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1834</v>
      </c>
      <c r="AS6" s="18" t="s">
        <v>1513</v>
      </c>
      <c r="AT6" s="18" t="s">
        <v>1506</v>
      </c>
      <c r="AU6" s="18" t="s">
        <v>1507</v>
      </c>
      <c r="AV6" s="18" t="s">
        <v>1508</v>
      </c>
      <c r="AW6" s="30" t="s">
        <v>1838</v>
      </c>
      <c r="AX6" s="18" t="s">
        <v>928</v>
      </c>
      <c r="AY6" s="18" t="s">
        <v>1836</v>
      </c>
    </row>
    <row r="7" customFormat="false" ht="15" hidden="false" customHeight="true" outlineLevel="0" collapsed="false">
      <c r="A7" s="18" t="s">
        <v>914</v>
      </c>
      <c r="B7" s="18" t="s">
        <v>914</v>
      </c>
      <c r="C7" s="18" t="s">
        <v>915</v>
      </c>
      <c r="D7" s="18" t="n">
        <v>2020</v>
      </c>
      <c r="E7" s="18" t="s">
        <v>916</v>
      </c>
      <c r="F7" s="18" t="s">
        <v>815</v>
      </c>
      <c r="G7" s="18" t="s">
        <v>919</v>
      </c>
      <c r="H7" s="18" t="n">
        <v>28.4</v>
      </c>
      <c r="I7" s="18" t="n">
        <v>77.1</v>
      </c>
      <c r="J7" s="18" t="s">
        <v>83</v>
      </c>
      <c r="K7" s="18" t="s">
        <v>1504</v>
      </c>
      <c r="L7" s="18" t="s">
        <v>802</v>
      </c>
      <c r="M7" s="18" t="s">
        <v>85</v>
      </c>
      <c r="N7" s="18" t="s">
        <v>86</v>
      </c>
      <c r="O7" s="18" t="s">
        <v>1472</v>
      </c>
      <c r="P7" s="18"/>
      <c r="Q7" s="18" t="n">
        <v>0.41</v>
      </c>
      <c r="R7" s="18"/>
      <c r="S7" s="18"/>
      <c r="T7" s="18"/>
      <c r="U7" s="18"/>
      <c r="V7" s="18" t="n">
        <v>0.57</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1834</v>
      </c>
      <c r="AS7" s="18" t="s">
        <v>1515</v>
      </c>
      <c r="AT7" s="18" t="s">
        <v>1506</v>
      </c>
      <c r="AU7" s="18" t="s">
        <v>1507</v>
      </c>
      <c r="AV7" s="18" t="s">
        <v>1508</v>
      </c>
      <c r="AW7" s="30" t="s">
        <v>1839</v>
      </c>
      <c r="AX7" s="18" t="s">
        <v>928</v>
      </c>
      <c r="AY7" s="18" t="s">
        <v>1836</v>
      </c>
    </row>
    <row r="8" customFormat="false" ht="15" hidden="false" customHeight="true" outlineLevel="0" collapsed="false">
      <c r="A8" s="18" t="s">
        <v>914</v>
      </c>
      <c r="B8" s="18" t="s">
        <v>914</v>
      </c>
      <c r="C8" s="18" t="s">
        <v>915</v>
      </c>
      <c r="D8" s="18" t="n">
        <v>2020</v>
      </c>
      <c r="E8" s="18" t="s">
        <v>916</v>
      </c>
      <c r="F8" s="18" t="s">
        <v>815</v>
      </c>
      <c r="G8" s="18" t="s">
        <v>919</v>
      </c>
      <c r="H8" s="18" t="n">
        <v>28.4</v>
      </c>
      <c r="I8" s="18" t="n">
        <v>77.1</v>
      </c>
      <c r="J8" s="18" t="s">
        <v>83</v>
      </c>
      <c r="K8" s="18" t="s">
        <v>1504</v>
      </c>
      <c r="L8" s="18" t="s">
        <v>802</v>
      </c>
      <c r="M8" s="18" t="s">
        <v>85</v>
      </c>
      <c r="N8" s="18" t="s">
        <v>86</v>
      </c>
      <c r="O8" s="18" t="s">
        <v>1472</v>
      </c>
      <c r="P8" s="18"/>
      <c r="Q8" s="18" t="n">
        <v>0.36</v>
      </c>
      <c r="R8" s="18"/>
      <c r="S8" s="18"/>
      <c r="T8" s="18"/>
      <c r="U8" s="18"/>
      <c r="V8" s="18" t="n">
        <v>0.48</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1834</v>
      </c>
      <c r="AS8" s="18" t="s">
        <v>1517</v>
      </c>
      <c r="AT8" s="18" t="s">
        <v>1506</v>
      </c>
      <c r="AU8" s="18" t="s">
        <v>1507</v>
      </c>
      <c r="AV8" s="18" t="s">
        <v>1508</v>
      </c>
      <c r="AW8" s="30" t="s">
        <v>1840</v>
      </c>
      <c r="AX8" s="18" t="s">
        <v>928</v>
      </c>
      <c r="AY8" s="18" t="s">
        <v>1836</v>
      </c>
    </row>
    <row r="9" customFormat="false" ht="15" hidden="false" customHeight="true" outlineLevel="0" collapsed="false">
      <c r="A9" s="18" t="s">
        <v>914</v>
      </c>
      <c r="B9" s="18" t="s">
        <v>914</v>
      </c>
      <c r="C9" s="18" t="s">
        <v>915</v>
      </c>
      <c r="D9" s="18" t="n">
        <v>2020</v>
      </c>
      <c r="E9" s="18" t="s">
        <v>916</v>
      </c>
      <c r="F9" s="18" t="s">
        <v>815</v>
      </c>
      <c r="G9" s="18" t="s">
        <v>919</v>
      </c>
      <c r="H9" s="18" t="n">
        <v>28.4</v>
      </c>
      <c r="I9" s="18" t="n">
        <v>77.1</v>
      </c>
      <c r="J9" s="18" t="s">
        <v>83</v>
      </c>
      <c r="K9" s="18" t="s">
        <v>1504</v>
      </c>
      <c r="L9" s="18" t="s">
        <v>802</v>
      </c>
      <c r="M9" s="18" t="s">
        <v>85</v>
      </c>
      <c r="N9" s="18" t="s">
        <v>86</v>
      </c>
      <c r="O9" s="18" t="s">
        <v>1472</v>
      </c>
      <c r="P9" s="18"/>
      <c r="Q9" s="18" t="n">
        <v>0.36</v>
      </c>
      <c r="R9" s="18"/>
      <c r="S9" s="18"/>
      <c r="T9" s="18"/>
      <c r="U9" s="18"/>
      <c r="V9" s="18" t="n">
        <v>0.53</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1834</v>
      </c>
      <c r="AS9" s="18" t="s">
        <v>1519</v>
      </c>
      <c r="AT9" s="18" t="s">
        <v>1506</v>
      </c>
      <c r="AU9" s="18" t="s">
        <v>1507</v>
      </c>
      <c r="AV9" s="18" t="s">
        <v>1508</v>
      </c>
      <c r="AW9" s="30" t="s">
        <v>1841</v>
      </c>
      <c r="AX9" s="18" t="s">
        <v>928</v>
      </c>
      <c r="AY9" s="18" t="s">
        <v>1836</v>
      </c>
    </row>
    <row r="10" customFormat="false" ht="15" hidden="false" customHeight="true" outlineLevel="0" collapsed="false">
      <c r="A10" s="18" t="s">
        <v>914</v>
      </c>
      <c r="B10" s="18" t="s">
        <v>914</v>
      </c>
      <c r="C10" s="18" t="s">
        <v>915</v>
      </c>
      <c r="D10" s="18" t="n">
        <v>2020</v>
      </c>
      <c r="E10" s="18" t="s">
        <v>916</v>
      </c>
      <c r="F10" s="18" t="s">
        <v>815</v>
      </c>
      <c r="G10" s="18" t="s">
        <v>919</v>
      </c>
      <c r="H10" s="18" t="n">
        <v>28.4</v>
      </c>
      <c r="I10" s="18" t="n">
        <v>77.1</v>
      </c>
      <c r="J10" s="18" t="s">
        <v>83</v>
      </c>
      <c r="K10" s="18" t="s">
        <v>1504</v>
      </c>
      <c r="L10" s="18" t="s">
        <v>802</v>
      </c>
      <c r="M10" s="18" t="s">
        <v>85</v>
      </c>
      <c r="N10" s="18" t="s">
        <v>86</v>
      </c>
      <c r="O10" s="18" t="s">
        <v>1472</v>
      </c>
      <c r="P10" s="18"/>
      <c r="Q10" s="18" t="n">
        <v>0.39</v>
      </c>
      <c r="R10" s="18"/>
      <c r="S10" s="18"/>
      <c r="T10" s="18"/>
      <c r="U10" s="18"/>
      <c r="V10" s="18" t="n">
        <v>0.51</v>
      </c>
      <c r="W10" s="18"/>
      <c r="X10" s="18"/>
      <c r="Y10" s="18"/>
      <c r="Z10" s="18"/>
      <c r="AA10" s="18"/>
      <c r="AB10" s="18" t="n">
        <v>2</v>
      </c>
      <c r="AC10" s="18" t="n">
        <v>3</v>
      </c>
      <c r="AD10" s="18" t="n">
        <f aca="false">IF(AND(N(AB10)&gt;0,N(AC10)&gt;0),SQRT(2*AB10/AC10),"")</f>
        <v>1.15470053837925</v>
      </c>
      <c r="AE10" s="18" t="n">
        <v>25.4</v>
      </c>
      <c r="AF10" s="18" t="n">
        <v>18</v>
      </c>
      <c r="AG10" s="18" t="n">
        <v>35.2</v>
      </c>
      <c r="AH10" s="18" t="n">
        <v>750</v>
      </c>
      <c r="AI10" s="18" t="n">
        <v>28.4</v>
      </c>
      <c r="AJ10" s="18" t="n">
        <v>12</v>
      </c>
      <c r="AK10" s="18"/>
      <c r="AL10" s="18"/>
      <c r="AM10" s="18" t="n">
        <v>8.45</v>
      </c>
      <c r="AN10" s="18" t="n">
        <v>5.1</v>
      </c>
      <c r="AO10" s="18" t="n">
        <v>1.5</v>
      </c>
      <c r="AP10" s="18" t="n">
        <v>52.1</v>
      </c>
      <c r="AQ10" s="18" t="n">
        <v>22.5</v>
      </c>
      <c r="AR10" s="18" t="s">
        <v>1834</v>
      </c>
      <c r="AS10" s="18" t="s">
        <v>1521</v>
      </c>
      <c r="AT10" s="18" t="s">
        <v>1506</v>
      </c>
      <c r="AU10" s="18" t="s">
        <v>1507</v>
      </c>
      <c r="AV10" s="18" t="s">
        <v>1508</v>
      </c>
      <c r="AW10" s="30" t="s">
        <v>1842</v>
      </c>
      <c r="AX10" s="18" t="s">
        <v>928</v>
      </c>
      <c r="AY10" s="18" t="s">
        <v>1836</v>
      </c>
    </row>
    <row r="11" customFormat="false" ht="15" hidden="false" customHeight="true" outlineLevel="0" collapsed="false">
      <c r="A11" s="18" t="s">
        <v>914</v>
      </c>
      <c r="B11" s="18" t="s">
        <v>914</v>
      </c>
      <c r="C11" s="18" t="s">
        <v>915</v>
      </c>
      <c r="D11" s="18" t="n">
        <v>2020</v>
      </c>
      <c r="E11" s="18" t="s">
        <v>916</v>
      </c>
      <c r="F11" s="18" t="s">
        <v>815</v>
      </c>
      <c r="G11" s="18" t="s">
        <v>919</v>
      </c>
      <c r="H11" s="18" t="n">
        <v>28.4</v>
      </c>
      <c r="I11" s="18" t="n">
        <v>77.1</v>
      </c>
      <c r="J11" s="18" t="s">
        <v>83</v>
      </c>
      <c r="K11" s="18" t="s">
        <v>1504</v>
      </c>
      <c r="L11" s="18" t="s">
        <v>802</v>
      </c>
      <c r="M11" s="18" t="s">
        <v>85</v>
      </c>
      <c r="N11" s="18" t="s">
        <v>86</v>
      </c>
      <c r="O11" s="18" t="s">
        <v>1472</v>
      </c>
      <c r="P11" s="18"/>
      <c r="Q11" s="18" t="n">
        <v>0.39</v>
      </c>
      <c r="R11" s="18"/>
      <c r="S11" s="18"/>
      <c r="T11" s="18"/>
      <c r="U11" s="18"/>
      <c r="V11" s="18" t="n">
        <v>0.55</v>
      </c>
      <c r="W11" s="18"/>
      <c r="X11" s="18"/>
      <c r="Y11" s="18"/>
      <c r="Z11" s="18"/>
      <c r="AA11" s="18"/>
      <c r="AB11" s="18" t="n">
        <v>2</v>
      </c>
      <c r="AC11" s="18" t="n">
        <v>3</v>
      </c>
      <c r="AD11" s="18" t="n">
        <f aca="false">IF(AND(N(AB11)&gt;0,N(AC11)&gt;0),SQRT(2*AB11/AC11),"")</f>
        <v>1.15470053837925</v>
      </c>
      <c r="AE11" s="18" t="n">
        <v>25.4</v>
      </c>
      <c r="AF11" s="18" t="n">
        <v>18</v>
      </c>
      <c r="AG11" s="18" t="n">
        <v>35.2</v>
      </c>
      <c r="AH11" s="18" t="n">
        <v>750</v>
      </c>
      <c r="AI11" s="18" t="n">
        <v>28.4</v>
      </c>
      <c r="AJ11" s="18" t="n">
        <v>12</v>
      </c>
      <c r="AK11" s="18"/>
      <c r="AL11" s="18"/>
      <c r="AM11" s="18" t="n">
        <v>8.45</v>
      </c>
      <c r="AN11" s="18" t="n">
        <v>5.1</v>
      </c>
      <c r="AO11" s="18" t="n">
        <v>1.5</v>
      </c>
      <c r="AP11" s="18" t="n">
        <v>52.1</v>
      </c>
      <c r="AQ11" s="18" t="n">
        <v>22.5</v>
      </c>
      <c r="AR11" s="18" t="s">
        <v>1834</v>
      </c>
      <c r="AS11" s="18" t="s">
        <v>1523</v>
      </c>
      <c r="AT11" s="18" t="s">
        <v>1506</v>
      </c>
      <c r="AU11" s="18" t="s">
        <v>1507</v>
      </c>
      <c r="AV11" s="18" t="s">
        <v>1508</v>
      </c>
      <c r="AW11" s="30" t="s">
        <v>1843</v>
      </c>
      <c r="AX11" s="18" t="s">
        <v>928</v>
      </c>
      <c r="AY11" s="18" t="s">
        <v>1836</v>
      </c>
    </row>
    <row r="12" customFormat="false" ht="15" hidden="false" customHeight="true" outlineLevel="0" collapsed="false"/>
    <row r="13" customFormat="false" ht="15" hidden="false" customHeight="true" outlineLevel="0" collapsed="false"/>
    <row r="14"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1844</v>
      </c>
      <c r="Q1" s="25" t="s">
        <v>1845</v>
      </c>
      <c r="R1" s="25" t="s">
        <v>1846</v>
      </c>
      <c r="S1" s="25" t="s">
        <v>1847</v>
      </c>
      <c r="T1" s="25" t="s">
        <v>1848</v>
      </c>
      <c r="U1" s="25" t="s">
        <v>1849</v>
      </c>
      <c r="V1" s="25" t="s">
        <v>1850</v>
      </c>
      <c r="W1" s="25" t="s">
        <v>1851</v>
      </c>
      <c r="X1" s="28" t="s">
        <v>1852</v>
      </c>
      <c r="Y1" s="28" t="s">
        <v>1853</v>
      </c>
      <c r="Z1" s="28" t="s">
        <v>1854</v>
      </c>
      <c r="AA1" s="28" t="s">
        <v>1855</v>
      </c>
      <c r="AB1" s="25" t="s">
        <v>1856</v>
      </c>
      <c r="AC1" s="25" t="s">
        <v>1857</v>
      </c>
      <c r="AD1" s="25" t="s">
        <v>1858</v>
      </c>
      <c r="AE1" s="25" t="s">
        <v>1859</v>
      </c>
      <c r="AF1" s="25" t="s">
        <v>1860</v>
      </c>
      <c r="AG1" s="25" t="s">
        <v>1861</v>
      </c>
      <c r="AH1" s="25" t="s">
        <v>1862</v>
      </c>
      <c r="AI1" s="25" t="s">
        <v>1863</v>
      </c>
      <c r="AJ1" s="28" t="s">
        <v>1864</v>
      </c>
      <c r="AK1" s="28" t="s">
        <v>1865</v>
      </c>
      <c r="AL1" s="28" t="s">
        <v>1866</v>
      </c>
      <c r="AM1" s="28" t="s">
        <v>1867</v>
      </c>
      <c r="AN1" s="26" t="s">
        <v>35</v>
      </c>
      <c r="AO1" s="26" t="s">
        <v>33</v>
      </c>
      <c r="AP1" s="26" t="s">
        <v>37</v>
      </c>
      <c r="AQ1" s="21" t="s">
        <v>73</v>
      </c>
      <c r="AR1" s="21" t="s">
        <v>775</v>
      </c>
      <c r="AS1" s="21" t="s">
        <v>776</v>
      </c>
      <c r="AT1" s="21" t="s">
        <v>74</v>
      </c>
      <c r="AU1" s="21" t="s">
        <v>1465</v>
      </c>
      <c r="AV1" s="21" t="s">
        <v>1466</v>
      </c>
      <c r="AW1" s="21" t="s">
        <v>777</v>
      </c>
      <c r="AX1" s="21" t="s">
        <v>778</v>
      </c>
      <c r="AY1" s="21" t="s">
        <v>75</v>
      </c>
      <c r="AZ1" s="21" t="s">
        <v>773</v>
      </c>
      <c r="BA1" s="21" t="s">
        <v>774</v>
      </c>
      <c r="BB1" s="21" t="s">
        <v>771</v>
      </c>
      <c r="BC1" s="21" t="s">
        <v>772</v>
      </c>
      <c r="BD1" s="22" t="s">
        <v>76</v>
      </c>
      <c r="BE1" s="22" t="s">
        <v>77</v>
      </c>
      <c r="BF1" s="22" t="s">
        <v>1467</v>
      </c>
      <c r="BG1" s="22" t="s">
        <v>1468</v>
      </c>
      <c r="BH1" s="22" t="s">
        <v>78</v>
      </c>
      <c r="BI1" s="22" t="s">
        <v>790</v>
      </c>
      <c r="BJ1" s="22" t="s">
        <v>1469</v>
      </c>
      <c r="BK1" s="22" t="s">
        <v>1470</v>
      </c>
      <c r="BM1" s="29" t="s">
        <v>1471</v>
      </c>
    </row>
    <row r="2" customFormat="false" ht="15" hidden="false" customHeight="true" outlineLevel="0" collapsed="false">
      <c r="A2" s="18" t="n">
        <v>168</v>
      </c>
      <c r="B2" s="18" t="n">
        <v>168</v>
      </c>
      <c r="C2" s="18" t="s">
        <v>862</v>
      </c>
      <c r="D2" s="18" t="n">
        <v>2020</v>
      </c>
      <c r="E2" s="18" t="s">
        <v>863</v>
      </c>
      <c r="F2" s="18" t="s">
        <v>866</v>
      </c>
      <c r="G2" s="18" t="s">
        <v>867</v>
      </c>
      <c r="H2" s="18" t="n">
        <v>30.933</v>
      </c>
      <c r="I2" s="18" t="n">
        <v>75.867</v>
      </c>
      <c r="J2" s="18" t="s">
        <v>870</v>
      </c>
      <c r="K2" s="18" t="n">
        <v>2016</v>
      </c>
      <c r="L2" s="18" t="s">
        <v>84</v>
      </c>
      <c r="M2" s="18" t="s">
        <v>85</v>
      </c>
      <c r="N2" s="18" t="s">
        <v>86</v>
      </c>
      <c r="O2" s="18" t="s">
        <v>1868</v>
      </c>
      <c r="P2" s="18" t="n">
        <v>1</v>
      </c>
      <c r="Q2" s="18" t="n">
        <v>0.47</v>
      </c>
      <c r="R2" s="18" t="n">
        <v>0.53</v>
      </c>
      <c r="S2" s="18"/>
      <c r="T2" s="18"/>
      <c r="U2" s="18"/>
      <c r="V2" s="18" t="n">
        <v>0.8</v>
      </c>
      <c r="W2" s="18"/>
      <c r="X2" s="18"/>
      <c r="Y2" s="18"/>
      <c r="Z2" s="18"/>
      <c r="AA2" s="18"/>
      <c r="AB2" s="18" t="n">
        <v>39</v>
      </c>
      <c r="AC2" s="18" t="n">
        <v>21</v>
      </c>
      <c r="AD2" s="18" t="n">
        <v>25</v>
      </c>
      <c r="AE2" s="18"/>
      <c r="AF2" s="18"/>
      <c r="AG2" s="18"/>
      <c r="AH2" s="18" t="n">
        <v>33</v>
      </c>
      <c r="AI2" s="18"/>
      <c r="AJ2" s="18"/>
      <c r="AK2" s="18"/>
      <c r="AL2" s="18"/>
      <c r="AM2" s="18"/>
      <c r="AN2" s="18" t="n">
        <v>1</v>
      </c>
      <c r="AO2" s="18" t="n">
        <v>3</v>
      </c>
      <c r="AP2" s="18" t="n">
        <f aca="false">IF(AND(N(AN2)&gt;0,N(AO2)&gt;0),SQRT(2*AN2/AO2),"")</f>
        <v>0.816496580927726</v>
      </c>
      <c r="AQ2" s="18"/>
      <c r="AR2" s="18"/>
      <c r="AS2" s="18"/>
      <c r="AT2" s="18" t="n">
        <v>734</v>
      </c>
      <c r="AU2" s="18" t="n">
        <v>30.933</v>
      </c>
      <c r="AV2" s="18" t="n">
        <v>5</v>
      </c>
      <c r="AW2" s="18"/>
      <c r="AX2" s="18"/>
      <c r="AY2" s="18" t="n">
        <v>7.4</v>
      </c>
      <c r="AZ2" s="18"/>
      <c r="BA2" s="18"/>
      <c r="BB2" s="18"/>
      <c r="BC2" s="18"/>
      <c r="BD2" s="18" t="s">
        <v>1869</v>
      </c>
      <c r="BE2" s="18" t="s">
        <v>1473</v>
      </c>
      <c r="BF2" s="18" t="s">
        <v>1474</v>
      </c>
      <c r="BG2" s="18" t="s">
        <v>1475</v>
      </c>
      <c r="BH2" s="18" t="s">
        <v>1870</v>
      </c>
      <c r="BI2" s="30" t="s">
        <v>1871</v>
      </c>
      <c r="BJ2" s="18" t="s">
        <v>877</v>
      </c>
      <c r="BK2" s="18" t="s">
        <v>1872</v>
      </c>
      <c r="BM2" s="1" t="s">
        <v>1005</v>
      </c>
    </row>
    <row r="3" customFormat="false" ht="15" hidden="false" customHeight="true" outlineLevel="0" collapsed="false"/>
    <row r="4" customFormat="false" ht="15" hidden="false" customHeight="true" outlineLevel="0" collapsed="false"/>
  </sheetData>
  <autoFilter ref="A1:BK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1873</v>
      </c>
      <c r="Q1" s="25" t="s">
        <v>1874</v>
      </c>
      <c r="R1" s="25" t="s">
        <v>1875</v>
      </c>
      <c r="S1" s="25" t="s">
        <v>1876</v>
      </c>
      <c r="T1" s="25" t="s">
        <v>1877</v>
      </c>
      <c r="U1" s="25" t="s">
        <v>1878</v>
      </c>
      <c r="V1" s="25" t="s">
        <v>1879</v>
      </c>
      <c r="W1" s="25" t="s">
        <v>1880</v>
      </c>
      <c r="X1" s="28" t="s">
        <v>1881</v>
      </c>
      <c r="Y1" s="28" t="s">
        <v>1882</v>
      </c>
      <c r="Z1" s="28" t="s">
        <v>1883</v>
      </c>
      <c r="AA1" s="28" t="s">
        <v>1884</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A2" s="18" t="n">
        <v>168</v>
      </c>
      <c r="B2" s="18" t="n">
        <v>168</v>
      </c>
      <c r="C2" s="18" t="s">
        <v>862</v>
      </c>
      <c r="D2" s="18" t="n">
        <v>2020</v>
      </c>
      <c r="E2" s="18" t="s">
        <v>863</v>
      </c>
      <c r="F2" s="18" t="s">
        <v>866</v>
      </c>
      <c r="G2" s="18" t="s">
        <v>867</v>
      </c>
      <c r="H2" s="18" t="n">
        <v>30.933</v>
      </c>
      <c r="I2" s="18" t="n">
        <v>75.867</v>
      </c>
      <c r="J2" s="18" t="s">
        <v>870</v>
      </c>
      <c r="K2" s="18" t="n">
        <v>2016</v>
      </c>
      <c r="L2" s="18" t="s">
        <v>84</v>
      </c>
      <c r="M2" s="18" t="s">
        <v>85</v>
      </c>
      <c r="N2" s="18" t="s">
        <v>86</v>
      </c>
      <c r="O2" s="18" t="s">
        <v>1472</v>
      </c>
      <c r="P2" s="18" t="n">
        <f aca="false">ROUND('FC (weight basis)'!P2-'PWP (weight basis)'!P2,2)</f>
        <v>19.38</v>
      </c>
      <c r="Q2" s="18" t="n">
        <f aca="false">ROUND('FC (weight basis)'!Q2-'PWP (weight basis)'!Q2,2)</f>
        <v>15.51</v>
      </c>
      <c r="R2" s="18" t="n">
        <f aca="false">ROUND('FC (weight basis)'!R2-'PWP (weight basis)'!R2,2)</f>
        <v>15.81</v>
      </c>
      <c r="S2" s="18"/>
      <c r="T2" s="18"/>
      <c r="U2" s="18"/>
      <c r="V2" s="18" t="n">
        <f aca="false">ROUND('FC (weight basis)'!V2-'PWP (weight basis)'!V2,2)</f>
        <v>19.07</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1885</v>
      </c>
      <c r="AS2" s="18" t="s">
        <v>1473</v>
      </c>
      <c r="AT2" s="18" t="s">
        <v>1474</v>
      </c>
      <c r="AU2" s="18" t="s">
        <v>1475</v>
      </c>
      <c r="AV2" s="18" t="s">
        <v>1886</v>
      </c>
      <c r="AW2" s="30" t="s">
        <v>1887</v>
      </c>
      <c r="AX2" s="18" t="s">
        <v>877</v>
      </c>
      <c r="AY2" s="18" t="s">
        <v>1888</v>
      </c>
      <c r="BA2" s="31" t="s">
        <v>1008</v>
      </c>
    </row>
    <row r="3" customFormat="false" ht="15" hidden="false" customHeight="true" outlineLevel="0" collapsed="false">
      <c r="A3" s="5" t="n">
        <v>166</v>
      </c>
      <c r="B3" s="5" t="n">
        <v>166</v>
      </c>
      <c r="C3" s="5" t="s">
        <v>832</v>
      </c>
      <c r="D3" s="5" t="n">
        <v>2014</v>
      </c>
      <c r="E3" s="5" t="s">
        <v>833</v>
      </c>
      <c r="F3" s="5" t="s">
        <v>836</v>
      </c>
      <c r="G3" s="5" t="s">
        <v>837</v>
      </c>
      <c r="H3" s="5" t="n">
        <v>29.067</v>
      </c>
      <c r="I3" s="5" t="n">
        <v>77.767</v>
      </c>
      <c r="J3" s="5" t="s">
        <v>83</v>
      </c>
      <c r="K3" s="5" t="n">
        <v>2011</v>
      </c>
      <c r="L3" s="5" t="s">
        <v>802</v>
      </c>
      <c r="M3" s="5" t="s">
        <v>85</v>
      </c>
      <c r="N3" s="5" t="s">
        <v>86</v>
      </c>
      <c r="O3" s="5" t="s">
        <v>1618</v>
      </c>
      <c r="P3" s="5"/>
      <c r="Q3" s="5" t="n">
        <f aca="false">ROUND('FC (weight basis)'!Q3-'PWP (weight basis)'!Q3,2)</f>
        <v>12.9</v>
      </c>
      <c r="R3" s="5"/>
      <c r="S3" s="5"/>
      <c r="T3" s="5"/>
      <c r="U3" s="5"/>
      <c r="V3" s="5" t="n">
        <f aca="false">ROUND('FC (weight basis)'!V3-'PWP (weight basis)'!V3,2)</f>
        <v>13</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1889</v>
      </c>
      <c r="AS3" s="5" t="s">
        <v>1620</v>
      </c>
      <c r="AT3" s="5" t="s">
        <v>1621</v>
      </c>
      <c r="AU3" s="5" t="s">
        <v>1622</v>
      </c>
      <c r="AV3" s="5" t="s">
        <v>1890</v>
      </c>
      <c r="AW3" s="23" t="s">
        <v>1891</v>
      </c>
      <c r="AX3" s="5" t="s">
        <v>848</v>
      </c>
      <c r="AY3" s="5" t="s">
        <v>1892</v>
      </c>
    </row>
    <row r="4" customFormat="false" ht="15" hidden="false" customHeight="true" outlineLevel="0" collapsed="false">
      <c r="A4" s="5" t="n">
        <v>166</v>
      </c>
      <c r="B4" s="5" t="n">
        <v>166</v>
      </c>
      <c r="C4" s="5" t="s">
        <v>832</v>
      </c>
      <c r="D4" s="5" t="n">
        <v>2014</v>
      </c>
      <c r="E4" s="5" t="s">
        <v>833</v>
      </c>
      <c r="F4" s="5" t="s">
        <v>836</v>
      </c>
      <c r="G4" s="5" t="s">
        <v>837</v>
      </c>
      <c r="H4" s="5" t="n">
        <v>29.067</v>
      </c>
      <c r="I4" s="5" t="n">
        <v>77.767</v>
      </c>
      <c r="J4" s="5" t="s">
        <v>83</v>
      </c>
      <c r="K4" s="5" t="n">
        <v>2011</v>
      </c>
      <c r="L4" s="5" t="s">
        <v>802</v>
      </c>
      <c r="M4" s="5" t="s">
        <v>85</v>
      </c>
      <c r="N4" s="5" t="s">
        <v>86</v>
      </c>
      <c r="O4" s="5" t="s">
        <v>1618</v>
      </c>
      <c r="P4" s="5"/>
      <c r="Q4" s="5" t="n">
        <f aca="false">ROUND('FC (weight basis)'!Q4-'PWP (weight basis)'!Q4,2)</f>
        <v>15.2</v>
      </c>
      <c r="R4" s="5"/>
      <c r="S4" s="5"/>
      <c r="T4" s="5"/>
      <c r="U4" s="5"/>
      <c r="V4" s="5" t="n">
        <f aca="false">ROUND('FC (weight basis)'!V4-'PWP (weight basis)'!V4,2)</f>
        <v>17.1</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1893</v>
      </c>
      <c r="AS4" s="5" t="s">
        <v>1620</v>
      </c>
      <c r="AT4" s="5" t="s">
        <v>1621</v>
      </c>
      <c r="AU4" s="5" t="s">
        <v>1622</v>
      </c>
      <c r="AV4" s="5" t="s">
        <v>1890</v>
      </c>
      <c r="AW4" s="23" t="s">
        <v>1894</v>
      </c>
      <c r="AX4" s="5" t="s">
        <v>848</v>
      </c>
      <c r="AY4" s="5" t="s">
        <v>1895</v>
      </c>
    </row>
    <row r="5" customFormat="false" ht="15" hidden="false" customHeight="true" outlineLevel="0" collapsed="false">
      <c r="A5" s="5" t="n">
        <v>166</v>
      </c>
      <c r="B5" s="5" t="n">
        <v>166</v>
      </c>
      <c r="C5" s="5" t="s">
        <v>832</v>
      </c>
      <c r="D5" s="5" t="n">
        <v>2014</v>
      </c>
      <c r="E5" s="5" t="s">
        <v>833</v>
      </c>
      <c r="F5" s="5" t="s">
        <v>836</v>
      </c>
      <c r="G5" s="5" t="s">
        <v>837</v>
      </c>
      <c r="H5" s="5" t="n">
        <v>29.067</v>
      </c>
      <c r="I5" s="5" t="n">
        <v>77.767</v>
      </c>
      <c r="J5" s="5" t="s">
        <v>83</v>
      </c>
      <c r="K5" s="5" t="n">
        <v>2011</v>
      </c>
      <c r="L5" s="5" t="s">
        <v>802</v>
      </c>
      <c r="M5" s="5" t="s">
        <v>85</v>
      </c>
      <c r="N5" s="5" t="s">
        <v>86</v>
      </c>
      <c r="O5" s="5" t="s">
        <v>1630</v>
      </c>
      <c r="P5" s="5"/>
      <c r="Q5" s="5" t="n">
        <f aca="false">ROUND('FC (weight basis)'!Q5-'PWP (weight basis)'!Q5,2)</f>
        <v>11.7</v>
      </c>
      <c r="R5" s="5"/>
      <c r="S5" s="5"/>
      <c r="T5" s="5"/>
      <c r="U5" s="5"/>
      <c r="V5" s="5" t="n">
        <f aca="false">ROUND('FC (weight basis)'!V5-'PWP (weight basis)'!V5,2)</f>
        <v>11.9</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1889</v>
      </c>
      <c r="AS5" s="5" t="s">
        <v>1620</v>
      </c>
      <c r="AT5" s="5" t="s">
        <v>1621</v>
      </c>
      <c r="AU5" s="5" t="s">
        <v>1622</v>
      </c>
      <c r="AV5" s="5" t="s">
        <v>1890</v>
      </c>
      <c r="AW5" s="23" t="s">
        <v>1891</v>
      </c>
      <c r="AX5" s="5" t="s">
        <v>848</v>
      </c>
      <c r="AY5" s="5" t="s">
        <v>1892</v>
      </c>
    </row>
    <row r="6" customFormat="false" ht="15" hidden="false" customHeight="true" outlineLevel="0" collapsed="false">
      <c r="A6" s="5" t="n">
        <v>166</v>
      </c>
      <c r="B6" s="5" t="n">
        <v>166</v>
      </c>
      <c r="C6" s="5" t="s">
        <v>832</v>
      </c>
      <c r="D6" s="5" t="n">
        <v>2014</v>
      </c>
      <c r="E6" s="5" t="s">
        <v>833</v>
      </c>
      <c r="F6" s="5" t="s">
        <v>836</v>
      </c>
      <c r="G6" s="5" t="s">
        <v>837</v>
      </c>
      <c r="H6" s="5" t="n">
        <v>29.067</v>
      </c>
      <c r="I6" s="5" t="n">
        <v>77.767</v>
      </c>
      <c r="J6" s="5" t="s">
        <v>83</v>
      </c>
      <c r="K6" s="5" t="n">
        <v>2011</v>
      </c>
      <c r="L6" s="5" t="s">
        <v>802</v>
      </c>
      <c r="M6" s="5" t="s">
        <v>85</v>
      </c>
      <c r="N6" s="5" t="s">
        <v>86</v>
      </c>
      <c r="O6" s="5" t="s">
        <v>1630</v>
      </c>
      <c r="P6" s="5"/>
      <c r="Q6" s="5" t="n">
        <f aca="false">ROUND('FC (weight basis)'!Q6-'PWP (weight basis)'!Q6,2)</f>
        <v>10.8</v>
      </c>
      <c r="R6" s="5"/>
      <c r="S6" s="5"/>
      <c r="T6" s="5"/>
      <c r="U6" s="5"/>
      <c r="V6" s="5" t="n">
        <f aca="false">ROUND('FC (weight basis)'!V6-'PWP (weight basis)'!V6,2)</f>
        <v>12.9</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1893</v>
      </c>
      <c r="AS6" s="5" t="s">
        <v>1620</v>
      </c>
      <c r="AT6" s="5" t="s">
        <v>1621</v>
      </c>
      <c r="AU6" s="5" t="s">
        <v>1622</v>
      </c>
      <c r="AV6" s="5" t="s">
        <v>1890</v>
      </c>
      <c r="AW6" s="23" t="s">
        <v>1894</v>
      </c>
      <c r="AX6" s="5" t="s">
        <v>848</v>
      </c>
      <c r="AY6" s="5" t="s">
        <v>1895</v>
      </c>
    </row>
    <row r="7" customFormat="false" ht="14.25" hidden="false" customHeight="true" outlineLevel="0" collapsed="false">
      <c r="A7" s="5" t="n">
        <v>166</v>
      </c>
      <c r="B7" s="5" t="n">
        <v>166</v>
      </c>
      <c r="C7" s="5" t="s">
        <v>832</v>
      </c>
      <c r="D7" s="5" t="n">
        <v>2014</v>
      </c>
      <c r="E7" s="5" t="s">
        <v>833</v>
      </c>
      <c r="F7" s="5" t="s">
        <v>836</v>
      </c>
      <c r="G7" s="5" t="s">
        <v>837</v>
      </c>
      <c r="H7" s="5" t="n">
        <v>29.067</v>
      </c>
      <c r="I7" s="5" t="n">
        <v>77.767</v>
      </c>
      <c r="J7" s="5" t="s">
        <v>83</v>
      </c>
      <c r="K7" s="5" t="n">
        <v>2011</v>
      </c>
      <c r="L7" s="5" t="s">
        <v>802</v>
      </c>
      <c r="M7" s="5" t="s">
        <v>85</v>
      </c>
      <c r="N7" s="5" t="s">
        <v>1479</v>
      </c>
      <c r="O7" s="5" t="s">
        <v>1480</v>
      </c>
      <c r="P7" s="5"/>
      <c r="Q7" s="5" t="n">
        <f aca="false">ROUND('FC (weight basis)'!Q7-'PWP (weight basis)'!Q7,2)</f>
        <v>10.7</v>
      </c>
      <c r="R7" s="5"/>
      <c r="S7" s="5"/>
      <c r="T7" s="5"/>
      <c r="U7" s="5"/>
      <c r="V7" s="5" t="n">
        <f aca="false">ROUND('FC (weight basis)'!V7-'PWP (weight basis)'!V7,2)</f>
        <v>13.5</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1889</v>
      </c>
      <c r="AS7" s="5" t="s">
        <v>1620</v>
      </c>
      <c r="AT7" s="5" t="s">
        <v>1621</v>
      </c>
      <c r="AU7" s="5" t="s">
        <v>1622</v>
      </c>
      <c r="AV7" s="5" t="s">
        <v>1890</v>
      </c>
      <c r="AW7" s="23" t="s">
        <v>1896</v>
      </c>
      <c r="AX7" s="5" t="s">
        <v>848</v>
      </c>
      <c r="AY7" s="5" t="s">
        <v>1892</v>
      </c>
    </row>
    <row r="8" customFormat="false" ht="14.25" hidden="false" customHeight="true" outlineLevel="0" collapsed="false">
      <c r="A8" s="5" t="n">
        <v>166</v>
      </c>
      <c r="B8" s="5" t="n">
        <v>166</v>
      </c>
      <c r="C8" s="5" t="s">
        <v>832</v>
      </c>
      <c r="D8" s="5" t="n">
        <v>2014</v>
      </c>
      <c r="E8" s="5" t="s">
        <v>833</v>
      </c>
      <c r="F8" s="5" t="s">
        <v>836</v>
      </c>
      <c r="G8" s="5" t="s">
        <v>837</v>
      </c>
      <c r="H8" s="5" t="n">
        <v>29.067</v>
      </c>
      <c r="I8" s="5" t="n">
        <v>77.767</v>
      </c>
      <c r="J8" s="5" t="s">
        <v>83</v>
      </c>
      <c r="K8" s="5" t="n">
        <v>2011</v>
      </c>
      <c r="L8" s="5" t="s">
        <v>802</v>
      </c>
      <c r="M8" s="5" t="s">
        <v>85</v>
      </c>
      <c r="N8" s="5" t="s">
        <v>1479</v>
      </c>
      <c r="O8" s="5" t="s">
        <v>1480</v>
      </c>
      <c r="P8" s="5"/>
      <c r="Q8" s="5" t="n">
        <f aca="false">ROUND('FC (weight basis)'!Q8-'PWP (weight basis)'!Q8,2)</f>
        <v>9.7</v>
      </c>
      <c r="R8" s="5"/>
      <c r="S8" s="5"/>
      <c r="T8" s="5"/>
      <c r="U8" s="5"/>
      <c r="V8" s="5" t="n">
        <f aca="false">ROUND('FC (weight basis)'!V8-'PWP (weight basis)'!V8,2)</f>
        <v>11.7</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1893</v>
      </c>
      <c r="AS8" s="5" t="s">
        <v>1620</v>
      </c>
      <c r="AT8" s="5" t="s">
        <v>1621</v>
      </c>
      <c r="AU8" s="5" t="s">
        <v>1622</v>
      </c>
      <c r="AV8" s="5" t="s">
        <v>1890</v>
      </c>
      <c r="AW8" s="23" t="s">
        <v>1897</v>
      </c>
      <c r="AX8" s="5" t="s">
        <v>848</v>
      </c>
      <c r="AY8" s="5" t="s">
        <v>1895</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1898</v>
      </c>
      <c r="Q1" s="25" t="s">
        <v>1899</v>
      </c>
      <c r="R1" s="25" t="s">
        <v>1900</v>
      </c>
      <c r="S1" s="25" t="s">
        <v>1901</v>
      </c>
      <c r="T1" s="25" t="s">
        <v>1902</v>
      </c>
      <c r="U1" s="25" t="s">
        <v>1903</v>
      </c>
      <c r="V1" s="25" t="s">
        <v>1904</v>
      </c>
      <c r="W1" s="25" t="s">
        <v>1905</v>
      </c>
      <c r="X1" s="28" t="s">
        <v>1906</v>
      </c>
      <c r="Y1" s="28" t="s">
        <v>1907</v>
      </c>
      <c r="Z1" s="28" t="s">
        <v>1908</v>
      </c>
      <c r="AA1" s="28" t="s">
        <v>1909</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A2" s="18" t="n">
        <v>168</v>
      </c>
      <c r="B2" s="18" t="n">
        <v>168</v>
      </c>
      <c r="C2" s="18" t="s">
        <v>862</v>
      </c>
      <c r="D2" s="18" t="n">
        <v>2020</v>
      </c>
      <c r="E2" s="18" t="s">
        <v>863</v>
      </c>
      <c r="F2" s="18" t="s">
        <v>866</v>
      </c>
      <c r="G2" s="18" t="s">
        <v>867</v>
      </c>
      <c r="H2" s="18" t="n">
        <v>30.933</v>
      </c>
      <c r="I2" s="18" t="n">
        <v>75.867</v>
      </c>
      <c r="J2" s="18" t="s">
        <v>870</v>
      </c>
      <c r="K2" s="18" t="n">
        <v>2016</v>
      </c>
      <c r="L2" s="18" t="s">
        <v>84</v>
      </c>
      <c r="M2" s="18" t="s">
        <v>85</v>
      </c>
      <c r="N2" s="18" t="s">
        <v>86</v>
      </c>
      <c r="O2" s="18" t="s">
        <v>1472</v>
      </c>
      <c r="P2" s="18" t="n">
        <f aca="false">ROUND('AWC (weight basis)'!P2*BD!P2,2)</f>
        <v>31.01</v>
      </c>
      <c r="Q2" s="18" t="n">
        <f aca="false">ROUND('AWC (weight basis)'!Q2*BD!Q2,2)</f>
        <v>24.2</v>
      </c>
      <c r="R2" s="18" t="n">
        <f aca="false">ROUND('AWC (weight basis)'!R2*BD!R2,2)</f>
        <v>25.3</v>
      </c>
      <c r="S2" s="18"/>
      <c r="T2" s="18"/>
      <c r="U2" s="18"/>
      <c r="V2" s="18" t="n">
        <f aca="false">ROUND('AWC (weight basis)'!V2*BD!V2,2)</f>
        <v>28.61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1910</v>
      </c>
      <c r="AS2" s="18" t="s">
        <v>1473</v>
      </c>
      <c r="AT2" s="18" t="s">
        <v>1474</v>
      </c>
      <c r="AU2" s="18" t="s">
        <v>1475</v>
      </c>
      <c r="AV2" s="18" t="s">
        <v>1886</v>
      </c>
      <c r="AW2" s="30" t="s">
        <v>1911</v>
      </c>
      <c r="AX2" s="18" t="s">
        <v>877</v>
      </c>
      <c r="AY2" s="18" t="s">
        <v>1888</v>
      </c>
      <c r="BA2" s="31" t="s">
        <v>1011</v>
      </c>
    </row>
    <row r="3" customFormat="false" ht="15" hidden="false" customHeight="true" outlineLevel="0" collapsed="false">
      <c r="A3" s="5" t="n">
        <v>166</v>
      </c>
      <c r="B3" s="5" t="n">
        <v>166</v>
      </c>
      <c r="C3" s="5" t="s">
        <v>832</v>
      </c>
      <c r="D3" s="5" t="n">
        <v>2014</v>
      </c>
      <c r="E3" s="5" t="s">
        <v>833</v>
      </c>
      <c r="F3" s="5" t="s">
        <v>836</v>
      </c>
      <c r="G3" s="5" t="s">
        <v>837</v>
      </c>
      <c r="H3" s="5" t="n">
        <v>29.067</v>
      </c>
      <c r="I3" s="5" t="n">
        <v>77.767</v>
      </c>
      <c r="J3" s="5" t="s">
        <v>83</v>
      </c>
      <c r="K3" s="5" t="n">
        <v>2011</v>
      </c>
      <c r="L3" s="5" t="s">
        <v>802</v>
      </c>
      <c r="M3" s="5" t="s">
        <v>85</v>
      </c>
      <c r="N3" s="5" t="s">
        <v>86</v>
      </c>
      <c r="O3" s="5" t="s">
        <v>1618</v>
      </c>
      <c r="P3" s="5"/>
      <c r="Q3" s="5" t="n">
        <f aca="false">ROUND('AWC (weight basis)'!Q3*1.55,2)</f>
        <v>20</v>
      </c>
      <c r="R3" s="5"/>
      <c r="S3" s="5"/>
      <c r="T3" s="5"/>
      <c r="U3" s="5"/>
      <c r="V3" s="5" t="n">
        <f aca="false">ROUND('AWC (weight basis)'!V3*1.55,2)</f>
        <v>20.15</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1912</v>
      </c>
      <c r="AS3" s="5" t="s">
        <v>1620</v>
      </c>
      <c r="AT3" s="5" t="s">
        <v>1621</v>
      </c>
      <c r="AU3" s="5" t="s">
        <v>1622</v>
      </c>
      <c r="AV3" s="5" t="s">
        <v>1890</v>
      </c>
      <c r="AW3" s="23" t="s">
        <v>1913</v>
      </c>
      <c r="AX3" s="5" t="s">
        <v>848</v>
      </c>
      <c r="AY3" s="5" t="s">
        <v>1892</v>
      </c>
    </row>
    <row r="4" customFormat="false" ht="15" hidden="false" customHeight="true" outlineLevel="0" collapsed="false">
      <c r="A4" s="5" t="n">
        <v>166</v>
      </c>
      <c r="B4" s="5" t="n">
        <v>166</v>
      </c>
      <c r="C4" s="5" t="s">
        <v>832</v>
      </c>
      <c r="D4" s="5" t="n">
        <v>2014</v>
      </c>
      <c r="E4" s="5" t="s">
        <v>833</v>
      </c>
      <c r="F4" s="5" t="s">
        <v>836</v>
      </c>
      <c r="G4" s="5" t="s">
        <v>837</v>
      </c>
      <c r="H4" s="5" t="n">
        <v>29.067</v>
      </c>
      <c r="I4" s="5" t="n">
        <v>77.767</v>
      </c>
      <c r="J4" s="5" t="s">
        <v>83</v>
      </c>
      <c r="K4" s="5" t="n">
        <v>2011</v>
      </c>
      <c r="L4" s="5" t="s">
        <v>802</v>
      </c>
      <c r="M4" s="5" t="s">
        <v>85</v>
      </c>
      <c r="N4" s="5" t="s">
        <v>86</v>
      </c>
      <c r="O4" s="5" t="s">
        <v>1618</v>
      </c>
      <c r="P4" s="5"/>
      <c r="Q4" s="5" t="n">
        <f aca="false">ROUND('AWC (weight basis)'!Q4*1.55,2)</f>
        <v>23.56</v>
      </c>
      <c r="R4" s="5"/>
      <c r="S4" s="5"/>
      <c r="T4" s="5"/>
      <c r="U4" s="5"/>
      <c r="V4" s="5" t="n">
        <f aca="false">ROUND('AWC (weight basis)'!V4*1.55,2)</f>
        <v>26.51</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1914</v>
      </c>
      <c r="AS4" s="5" t="s">
        <v>1620</v>
      </c>
      <c r="AT4" s="5" t="s">
        <v>1621</v>
      </c>
      <c r="AU4" s="5" t="s">
        <v>1622</v>
      </c>
      <c r="AV4" s="5" t="s">
        <v>1890</v>
      </c>
      <c r="AW4" s="23" t="s">
        <v>1915</v>
      </c>
      <c r="AX4" s="5" t="s">
        <v>848</v>
      </c>
      <c r="AY4" s="5" t="s">
        <v>1895</v>
      </c>
    </row>
    <row r="5" customFormat="false" ht="15" hidden="false" customHeight="true" outlineLevel="0" collapsed="false">
      <c r="A5" s="5" t="n">
        <v>166</v>
      </c>
      <c r="B5" s="5" t="n">
        <v>166</v>
      </c>
      <c r="C5" s="5" t="s">
        <v>832</v>
      </c>
      <c r="D5" s="5" t="n">
        <v>2014</v>
      </c>
      <c r="E5" s="5" t="s">
        <v>833</v>
      </c>
      <c r="F5" s="5" t="s">
        <v>836</v>
      </c>
      <c r="G5" s="5" t="s">
        <v>837</v>
      </c>
      <c r="H5" s="5" t="n">
        <v>29.067</v>
      </c>
      <c r="I5" s="5" t="n">
        <v>77.767</v>
      </c>
      <c r="J5" s="5" t="s">
        <v>83</v>
      </c>
      <c r="K5" s="5" t="n">
        <v>2011</v>
      </c>
      <c r="L5" s="5" t="s">
        <v>802</v>
      </c>
      <c r="M5" s="5" t="s">
        <v>85</v>
      </c>
      <c r="N5" s="5" t="s">
        <v>86</v>
      </c>
      <c r="O5" s="5" t="s">
        <v>1630</v>
      </c>
      <c r="P5" s="5"/>
      <c r="Q5" s="5" t="n">
        <f aca="false">ROUND('AWC (weight basis)'!Q5*1.55,2)</f>
        <v>18.14</v>
      </c>
      <c r="R5" s="5"/>
      <c r="S5" s="5"/>
      <c r="T5" s="5"/>
      <c r="U5" s="5"/>
      <c r="V5" s="5" t="n">
        <f aca="false">ROUND('AWC (weight basis)'!V5*1.55,2)</f>
        <v>18.45</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1912</v>
      </c>
      <c r="AS5" s="5" t="s">
        <v>1620</v>
      </c>
      <c r="AT5" s="5" t="s">
        <v>1621</v>
      </c>
      <c r="AU5" s="5" t="s">
        <v>1622</v>
      </c>
      <c r="AV5" s="5" t="s">
        <v>1890</v>
      </c>
      <c r="AW5" s="23" t="s">
        <v>1913</v>
      </c>
      <c r="AX5" s="5" t="s">
        <v>848</v>
      </c>
      <c r="AY5" s="5" t="s">
        <v>1892</v>
      </c>
    </row>
    <row r="6" customFormat="false" ht="15" hidden="false" customHeight="true" outlineLevel="0" collapsed="false">
      <c r="A6" s="5" t="n">
        <v>166</v>
      </c>
      <c r="B6" s="5" t="n">
        <v>166</v>
      </c>
      <c r="C6" s="5" t="s">
        <v>832</v>
      </c>
      <c r="D6" s="5" t="n">
        <v>2014</v>
      </c>
      <c r="E6" s="5" t="s">
        <v>833</v>
      </c>
      <c r="F6" s="5" t="s">
        <v>836</v>
      </c>
      <c r="G6" s="5" t="s">
        <v>837</v>
      </c>
      <c r="H6" s="5" t="n">
        <v>29.067</v>
      </c>
      <c r="I6" s="5" t="n">
        <v>77.767</v>
      </c>
      <c r="J6" s="5" t="s">
        <v>83</v>
      </c>
      <c r="K6" s="5" t="n">
        <v>2011</v>
      </c>
      <c r="L6" s="5" t="s">
        <v>802</v>
      </c>
      <c r="M6" s="5" t="s">
        <v>85</v>
      </c>
      <c r="N6" s="5" t="s">
        <v>86</v>
      </c>
      <c r="O6" s="5" t="s">
        <v>1630</v>
      </c>
      <c r="P6" s="5"/>
      <c r="Q6" s="5" t="n">
        <f aca="false">ROUND('AWC (weight basis)'!Q6*1.55,2)</f>
        <v>16.74</v>
      </c>
      <c r="R6" s="5"/>
      <c r="S6" s="5"/>
      <c r="T6" s="5"/>
      <c r="U6" s="5"/>
      <c r="V6" s="5" t="n">
        <f aca="false">ROUND('AWC (weight basis)'!V6*1.55,2)</f>
        <v>20</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1914</v>
      </c>
      <c r="AS6" s="5" t="s">
        <v>1620</v>
      </c>
      <c r="AT6" s="5" t="s">
        <v>1621</v>
      </c>
      <c r="AU6" s="5" t="s">
        <v>1622</v>
      </c>
      <c r="AV6" s="5" t="s">
        <v>1890</v>
      </c>
      <c r="AW6" s="23" t="s">
        <v>1915</v>
      </c>
      <c r="AX6" s="5" t="s">
        <v>848</v>
      </c>
      <c r="AY6" s="5" t="s">
        <v>1895</v>
      </c>
    </row>
    <row r="7" customFormat="false" ht="14.25" hidden="false" customHeight="true" outlineLevel="0" collapsed="false">
      <c r="A7" s="5" t="n">
        <v>166</v>
      </c>
      <c r="B7" s="5" t="n">
        <v>166</v>
      </c>
      <c r="C7" s="5" t="s">
        <v>832</v>
      </c>
      <c r="D7" s="5" t="n">
        <v>2014</v>
      </c>
      <c r="E7" s="5" t="s">
        <v>833</v>
      </c>
      <c r="F7" s="5" t="s">
        <v>836</v>
      </c>
      <c r="G7" s="5" t="s">
        <v>837</v>
      </c>
      <c r="H7" s="5" t="n">
        <v>29.067</v>
      </c>
      <c r="I7" s="5" t="n">
        <v>77.767</v>
      </c>
      <c r="J7" s="5" t="s">
        <v>83</v>
      </c>
      <c r="K7" s="5" t="n">
        <v>2011</v>
      </c>
      <c r="L7" s="5" t="s">
        <v>802</v>
      </c>
      <c r="M7" s="5" t="s">
        <v>85</v>
      </c>
      <c r="N7" s="5" t="s">
        <v>1479</v>
      </c>
      <c r="O7" s="5" t="s">
        <v>1480</v>
      </c>
      <c r="P7" s="5"/>
      <c r="Q7" s="5" t="n">
        <f aca="false">ROUND('AWC (weight basis)'!Q7*1.55,2)</f>
        <v>16.59</v>
      </c>
      <c r="R7" s="5"/>
      <c r="S7" s="5"/>
      <c r="T7" s="5"/>
      <c r="U7" s="5"/>
      <c r="V7" s="5" t="n">
        <f aca="false">ROUND('AWC (weight basis)'!V7*1.55,2)</f>
        <v>20.93</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1912</v>
      </c>
      <c r="AS7" s="5" t="s">
        <v>1620</v>
      </c>
      <c r="AT7" s="5" t="s">
        <v>1621</v>
      </c>
      <c r="AU7" s="5" t="s">
        <v>1622</v>
      </c>
      <c r="AV7" s="5" t="s">
        <v>1890</v>
      </c>
      <c r="AW7" s="23" t="s">
        <v>1916</v>
      </c>
      <c r="AX7" s="5" t="s">
        <v>848</v>
      </c>
      <c r="AY7" s="5" t="s">
        <v>1892</v>
      </c>
    </row>
    <row r="8" customFormat="false" ht="14.25" hidden="false" customHeight="true" outlineLevel="0" collapsed="false">
      <c r="A8" s="5" t="n">
        <v>166</v>
      </c>
      <c r="B8" s="5" t="n">
        <v>166</v>
      </c>
      <c r="C8" s="5" t="s">
        <v>832</v>
      </c>
      <c r="D8" s="5" t="n">
        <v>2014</v>
      </c>
      <c r="E8" s="5" t="s">
        <v>833</v>
      </c>
      <c r="F8" s="5" t="s">
        <v>836</v>
      </c>
      <c r="G8" s="5" t="s">
        <v>837</v>
      </c>
      <c r="H8" s="5" t="n">
        <v>29.067</v>
      </c>
      <c r="I8" s="5" t="n">
        <v>77.767</v>
      </c>
      <c r="J8" s="5" t="s">
        <v>83</v>
      </c>
      <c r="K8" s="5" t="n">
        <v>2011</v>
      </c>
      <c r="L8" s="5" t="s">
        <v>802</v>
      </c>
      <c r="M8" s="5" t="s">
        <v>85</v>
      </c>
      <c r="N8" s="5" t="s">
        <v>1479</v>
      </c>
      <c r="O8" s="5" t="s">
        <v>1480</v>
      </c>
      <c r="P8" s="5"/>
      <c r="Q8" s="5" t="n">
        <f aca="false">ROUND('AWC (weight basis)'!Q8*1.55,2)</f>
        <v>15.04</v>
      </c>
      <c r="R8" s="5"/>
      <c r="S8" s="5"/>
      <c r="T8" s="5"/>
      <c r="U8" s="5"/>
      <c r="V8" s="5" t="n">
        <f aca="false">ROUND('AWC (weight basis)'!V8*1.55,2)</f>
        <v>18.14</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1914</v>
      </c>
      <c r="AS8" s="5" t="s">
        <v>1620</v>
      </c>
      <c r="AT8" s="5" t="s">
        <v>1621</v>
      </c>
      <c r="AU8" s="5" t="s">
        <v>1622</v>
      </c>
      <c r="AV8" s="5" t="s">
        <v>1890</v>
      </c>
      <c r="AW8" s="23" t="s">
        <v>1917</v>
      </c>
      <c r="AX8" s="5" t="s">
        <v>848</v>
      </c>
      <c r="AY8" s="5" t="s">
        <v>1895</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1918</v>
      </c>
      <c r="Q1" s="25" t="s">
        <v>1919</v>
      </c>
      <c r="R1" s="25" t="s">
        <v>1920</v>
      </c>
      <c r="S1" s="25" t="s">
        <v>1921</v>
      </c>
      <c r="T1" s="25" t="s">
        <v>1922</v>
      </c>
      <c r="U1" s="25" t="s">
        <v>1923</v>
      </c>
      <c r="V1" s="25" t="s">
        <v>1924</v>
      </c>
      <c r="W1" s="25" t="s">
        <v>1925</v>
      </c>
      <c r="X1" s="28" t="s">
        <v>1926</v>
      </c>
      <c r="Y1" s="28" t="s">
        <v>1927</v>
      </c>
      <c r="Z1" s="28" t="s">
        <v>1928</v>
      </c>
      <c r="AA1" s="28" t="s">
        <v>1929</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A2" s="18" t="s">
        <v>914</v>
      </c>
      <c r="B2" s="18" t="s">
        <v>914</v>
      </c>
      <c r="C2" s="18" t="s">
        <v>915</v>
      </c>
      <c r="D2" s="18" t="n">
        <v>2020</v>
      </c>
      <c r="E2" s="18" t="s">
        <v>916</v>
      </c>
      <c r="F2" s="18" t="s">
        <v>815</v>
      </c>
      <c r="G2" s="18" t="s">
        <v>919</v>
      </c>
      <c r="H2" s="18" t="n">
        <v>28.4</v>
      </c>
      <c r="I2" s="18" t="n">
        <v>77.1</v>
      </c>
      <c r="J2" s="18" t="s">
        <v>83</v>
      </c>
      <c r="K2" s="18" t="s">
        <v>1504</v>
      </c>
      <c r="L2" s="18" t="s">
        <v>802</v>
      </c>
      <c r="M2" s="18" t="s">
        <v>85</v>
      </c>
      <c r="N2" s="18" t="s">
        <v>86</v>
      </c>
      <c r="O2" s="18" t="s">
        <v>1472</v>
      </c>
      <c r="P2" s="18"/>
      <c r="Q2" s="18" t="n">
        <v>52.41</v>
      </c>
      <c r="R2" s="18"/>
      <c r="S2" s="18"/>
      <c r="T2" s="18"/>
      <c r="U2" s="18"/>
      <c r="V2" s="18" t="n">
        <v>54.51</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1930</v>
      </c>
      <c r="AS2" s="18" t="s">
        <v>1505</v>
      </c>
      <c r="AT2" s="18" t="s">
        <v>1506</v>
      </c>
      <c r="AU2" s="18" t="s">
        <v>1507</v>
      </c>
      <c r="AV2" s="18" t="s">
        <v>1508</v>
      </c>
      <c r="AW2" s="30" t="s">
        <v>1931</v>
      </c>
      <c r="AX2" s="18" t="s">
        <v>928</v>
      </c>
      <c r="AY2" s="18" t="s">
        <v>1932</v>
      </c>
      <c r="BA2" s="31" t="s">
        <v>1013</v>
      </c>
    </row>
    <row r="3" customFormat="false" ht="15" hidden="false" customHeight="true" outlineLevel="0" collapsed="false">
      <c r="A3" s="18" t="s">
        <v>914</v>
      </c>
      <c r="B3" s="18" t="s">
        <v>914</v>
      </c>
      <c r="C3" s="18" t="s">
        <v>915</v>
      </c>
      <c r="D3" s="18" t="n">
        <v>2020</v>
      </c>
      <c r="E3" s="18" t="s">
        <v>916</v>
      </c>
      <c r="F3" s="18" t="s">
        <v>815</v>
      </c>
      <c r="G3" s="18" t="s">
        <v>919</v>
      </c>
      <c r="H3" s="18" t="n">
        <v>28.4</v>
      </c>
      <c r="I3" s="18" t="n">
        <v>77.1</v>
      </c>
      <c r="J3" s="18" t="s">
        <v>83</v>
      </c>
      <c r="K3" s="18" t="s">
        <v>1504</v>
      </c>
      <c r="L3" s="18" t="s">
        <v>802</v>
      </c>
      <c r="M3" s="18" t="s">
        <v>85</v>
      </c>
      <c r="N3" s="18" t="s">
        <v>86</v>
      </c>
      <c r="O3" s="18" t="s">
        <v>1472</v>
      </c>
      <c r="P3" s="18"/>
      <c r="Q3" s="18" t="n">
        <v>52.41</v>
      </c>
      <c r="R3" s="18"/>
      <c r="S3" s="18"/>
      <c r="T3" s="18"/>
      <c r="U3" s="18"/>
      <c r="V3" s="18" t="n">
        <v>53.24</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1930</v>
      </c>
      <c r="AS3" s="18" t="s">
        <v>1511</v>
      </c>
      <c r="AT3" s="18" t="s">
        <v>1506</v>
      </c>
      <c r="AU3" s="18" t="s">
        <v>1507</v>
      </c>
      <c r="AV3" s="18" t="s">
        <v>1508</v>
      </c>
      <c r="AW3" s="30" t="s">
        <v>1933</v>
      </c>
      <c r="AX3" s="18" t="s">
        <v>928</v>
      </c>
      <c r="AY3" s="18" t="s">
        <v>1932</v>
      </c>
    </row>
    <row r="4" customFormat="false" ht="15" hidden="false" customHeight="true" outlineLevel="0" collapsed="false">
      <c r="A4" s="18" t="s">
        <v>914</v>
      </c>
      <c r="B4" s="18" t="s">
        <v>914</v>
      </c>
      <c r="C4" s="18" t="s">
        <v>915</v>
      </c>
      <c r="D4" s="18" t="n">
        <v>2020</v>
      </c>
      <c r="E4" s="18" t="s">
        <v>916</v>
      </c>
      <c r="F4" s="18" t="s">
        <v>815</v>
      </c>
      <c r="G4" s="18" t="s">
        <v>919</v>
      </c>
      <c r="H4" s="18" t="n">
        <v>28.4</v>
      </c>
      <c r="I4" s="18" t="n">
        <v>77.1</v>
      </c>
      <c r="J4" s="18" t="s">
        <v>83</v>
      </c>
      <c r="K4" s="18" t="s">
        <v>1504</v>
      </c>
      <c r="L4" s="18" t="s">
        <v>802</v>
      </c>
      <c r="M4" s="18" t="s">
        <v>85</v>
      </c>
      <c r="N4" s="18" t="s">
        <v>86</v>
      </c>
      <c r="O4" s="18" t="s">
        <v>1472</v>
      </c>
      <c r="P4" s="18"/>
      <c r="Q4" s="18" t="n">
        <v>55.27</v>
      </c>
      <c r="R4" s="18"/>
      <c r="S4" s="18"/>
      <c r="T4" s="18"/>
      <c r="U4" s="18"/>
      <c r="V4" s="18" t="n">
        <v>56.3</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1930</v>
      </c>
      <c r="AS4" s="18" t="s">
        <v>1513</v>
      </c>
      <c r="AT4" s="18" t="s">
        <v>1506</v>
      </c>
      <c r="AU4" s="18" t="s">
        <v>1507</v>
      </c>
      <c r="AV4" s="18" t="s">
        <v>1508</v>
      </c>
      <c r="AW4" s="30" t="s">
        <v>1934</v>
      </c>
      <c r="AX4" s="18" t="s">
        <v>928</v>
      </c>
      <c r="AY4" s="18" t="s">
        <v>1932</v>
      </c>
    </row>
    <row r="5" customFormat="false" ht="14.25" hidden="false" customHeight="true" outlineLevel="0" collapsed="false">
      <c r="A5" s="18" t="s">
        <v>914</v>
      </c>
      <c r="B5" s="18" t="s">
        <v>914</v>
      </c>
      <c r="C5" s="18" t="s">
        <v>915</v>
      </c>
      <c r="D5" s="18" t="n">
        <v>2020</v>
      </c>
      <c r="E5" s="18" t="s">
        <v>916</v>
      </c>
      <c r="F5" s="18" t="s">
        <v>815</v>
      </c>
      <c r="G5" s="18" t="s">
        <v>919</v>
      </c>
      <c r="H5" s="18" t="n">
        <v>28.4</v>
      </c>
      <c r="I5" s="18" t="n">
        <v>77.1</v>
      </c>
      <c r="J5" s="18" t="s">
        <v>83</v>
      </c>
      <c r="K5" s="18" t="s">
        <v>1504</v>
      </c>
      <c r="L5" s="18" t="s">
        <v>802</v>
      </c>
      <c r="M5" s="18" t="s">
        <v>85</v>
      </c>
      <c r="N5" s="18" t="s">
        <v>86</v>
      </c>
      <c r="O5" s="18" t="s">
        <v>1472</v>
      </c>
      <c r="P5" s="18"/>
      <c r="Q5" s="18" t="n">
        <v>55.27</v>
      </c>
      <c r="R5" s="18"/>
      <c r="S5" s="18"/>
      <c r="T5" s="18"/>
      <c r="U5" s="18"/>
      <c r="V5" s="18" t="n">
        <v>54.74</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1930</v>
      </c>
      <c r="AS5" s="18" t="s">
        <v>1515</v>
      </c>
      <c r="AT5" s="18" t="s">
        <v>1506</v>
      </c>
      <c r="AU5" s="18" t="s">
        <v>1507</v>
      </c>
      <c r="AV5" s="18" t="s">
        <v>1508</v>
      </c>
      <c r="AW5" s="30" t="s">
        <v>1935</v>
      </c>
      <c r="AX5" s="18" t="s">
        <v>928</v>
      </c>
      <c r="AY5" s="18" t="s">
        <v>1932</v>
      </c>
    </row>
    <row r="6" customFormat="false" ht="14.25" hidden="false" customHeight="true" outlineLevel="0" collapsed="false">
      <c r="A6" s="18" t="s">
        <v>914</v>
      </c>
      <c r="B6" s="18" t="s">
        <v>914</v>
      </c>
      <c r="C6" s="18" t="s">
        <v>915</v>
      </c>
      <c r="D6" s="18" t="n">
        <v>2020</v>
      </c>
      <c r="E6" s="18" t="s">
        <v>916</v>
      </c>
      <c r="F6" s="18" t="s">
        <v>815</v>
      </c>
      <c r="G6" s="18" t="s">
        <v>919</v>
      </c>
      <c r="H6" s="18" t="n">
        <v>28.4</v>
      </c>
      <c r="I6" s="18" t="n">
        <v>77.1</v>
      </c>
      <c r="J6" s="18" t="s">
        <v>83</v>
      </c>
      <c r="K6" s="18" t="s">
        <v>1504</v>
      </c>
      <c r="L6" s="18" t="s">
        <v>802</v>
      </c>
      <c r="M6" s="18" t="s">
        <v>85</v>
      </c>
      <c r="N6" s="18" t="s">
        <v>86</v>
      </c>
      <c r="O6" s="18" t="s">
        <v>1472</v>
      </c>
      <c r="P6" s="18"/>
      <c r="Q6" s="18" t="n">
        <v>51.1</v>
      </c>
      <c r="R6" s="18"/>
      <c r="S6" s="18"/>
      <c r="T6" s="18"/>
      <c r="U6" s="18"/>
      <c r="V6" s="18" t="n">
        <v>54.86</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1930</v>
      </c>
      <c r="AS6" s="18" t="s">
        <v>1517</v>
      </c>
      <c r="AT6" s="18" t="s">
        <v>1506</v>
      </c>
      <c r="AU6" s="18" t="s">
        <v>1507</v>
      </c>
      <c r="AV6" s="18" t="s">
        <v>1508</v>
      </c>
      <c r="AW6" s="30" t="s">
        <v>1936</v>
      </c>
      <c r="AX6" s="18" t="s">
        <v>928</v>
      </c>
      <c r="AY6" s="18" t="s">
        <v>1932</v>
      </c>
    </row>
    <row r="7" customFormat="false" ht="14.25" hidden="false" customHeight="true" outlineLevel="0" collapsed="false">
      <c r="A7" s="18" t="s">
        <v>914</v>
      </c>
      <c r="B7" s="18" t="s">
        <v>914</v>
      </c>
      <c r="C7" s="18" t="s">
        <v>915</v>
      </c>
      <c r="D7" s="18" t="n">
        <v>2020</v>
      </c>
      <c r="E7" s="18" t="s">
        <v>916</v>
      </c>
      <c r="F7" s="18" t="s">
        <v>815</v>
      </c>
      <c r="G7" s="18" t="s">
        <v>919</v>
      </c>
      <c r="H7" s="18" t="n">
        <v>28.4</v>
      </c>
      <c r="I7" s="18" t="n">
        <v>77.1</v>
      </c>
      <c r="J7" s="18" t="s">
        <v>83</v>
      </c>
      <c r="K7" s="18" t="s">
        <v>1504</v>
      </c>
      <c r="L7" s="18" t="s">
        <v>802</v>
      </c>
      <c r="M7" s="18" t="s">
        <v>85</v>
      </c>
      <c r="N7" s="18" t="s">
        <v>86</v>
      </c>
      <c r="O7" s="18" t="s">
        <v>1472</v>
      </c>
      <c r="P7" s="18"/>
      <c r="Q7" s="18" t="n">
        <v>51.1</v>
      </c>
      <c r="R7" s="18"/>
      <c r="S7" s="18"/>
      <c r="T7" s="18"/>
      <c r="U7" s="18"/>
      <c r="V7" s="18" t="n">
        <v>53.61</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1930</v>
      </c>
      <c r="AS7" s="18" t="s">
        <v>1519</v>
      </c>
      <c r="AT7" s="18" t="s">
        <v>1506</v>
      </c>
      <c r="AU7" s="18" t="s">
        <v>1507</v>
      </c>
      <c r="AV7" s="18" t="s">
        <v>1508</v>
      </c>
      <c r="AW7" s="30" t="s">
        <v>1937</v>
      </c>
      <c r="AX7" s="18" t="s">
        <v>928</v>
      </c>
      <c r="AY7" s="18" t="s">
        <v>1932</v>
      </c>
    </row>
    <row r="8" customFormat="false" ht="14.25" hidden="false" customHeight="true" outlineLevel="0" collapsed="false">
      <c r="A8" s="18" t="s">
        <v>914</v>
      </c>
      <c r="B8" s="18" t="s">
        <v>914</v>
      </c>
      <c r="C8" s="18" t="s">
        <v>915</v>
      </c>
      <c r="D8" s="18" t="n">
        <v>2020</v>
      </c>
      <c r="E8" s="18" t="s">
        <v>916</v>
      </c>
      <c r="F8" s="18" t="s">
        <v>815</v>
      </c>
      <c r="G8" s="18" t="s">
        <v>919</v>
      </c>
      <c r="H8" s="18" t="n">
        <v>28.4</v>
      </c>
      <c r="I8" s="18" t="n">
        <v>77.1</v>
      </c>
      <c r="J8" s="18" t="s">
        <v>83</v>
      </c>
      <c r="K8" s="18" t="s">
        <v>1504</v>
      </c>
      <c r="L8" s="18" t="s">
        <v>802</v>
      </c>
      <c r="M8" s="18" t="s">
        <v>85</v>
      </c>
      <c r="N8" s="18" t="s">
        <v>86</v>
      </c>
      <c r="O8" s="18" t="s">
        <v>1472</v>
      </c>
      <c r="P8" s="18"/>
      <c r="Q8" s="18" t="n">
        <v>52.22</v>
      </c>
      <c r="R8" s="18"/>
      <c r="S8" s="18"/>
      <c r="T8" s="18"/>
      <c r="U8" s="18"/>
      <c r="V8" s="18" t="n">
        <v>55.9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1930</v>
      </c>
      <c r="AS8" s="18" t="s">
        <v>1521</v>
      </c>
      <c r="AT8" s="18" t="s">
        <v>1506</v>
      </c>
      <c r="AU8" s="18" t="s">
        <v>1507</v>
      </c>
      <c r="AV8" s="18" t="s">
        <v>1508</v>
      </c>
      <c r="AW8" s="30" t="s">
        <v>1938</v>
      </c>
      <c r="AX8" s="18" t="s">
        <v>928</v>
      </c>
      <c r="AY8" s="18" t="s">
        <v>1932</v>
      </c>
    </row>
    <row r="9" customFormat="false" ht="14.25" hidden="false" customHeight="true" outlineLevel="0" collapsed="false">
      <c r="A9" s="18" t="s">
        <v>914</v>
      </c>
      <c r="B9" s="18" t="s">
        <v>914</v>
      </c>
      <c r="C9" s="18" t="s">
        <v>915</v>
      </c>
      <c r="D9" s="18" t="n">
        <v>2020</v>
      </c>
      <c r="E9" s="18" t="s">
        <v>916</v>
      </c>
      <c r="F9" s="18" t="s">
        <v>815</v>
      </c>
      <c r="G9" s="18" t="s">
        <v>919</v>
      </c>
      <c r="H9" s="18" t="n">
        <v>28.4</v>
      </c>
      <c r="I9" s="18" t="n">
        <v>77.1</v>
      </c>
      <c r="J9" s="18" t="s">
        <v>83</v>
      </c>
      <c r="K9" s="18" t="s">
        <v>1504</v>
      </c>
      <c r="L9" s="18" t="s">
        <v>802</v>
      </c>
      <c r="M9" s="18" t="s">
        <v>85</v>
      </c>
      <c r="N9" s="18" t="s">
        <v>86</v>
      </c>
      <c r="O9" s="18" t="s">
        <v>1472</v>
      </c>
      <c r="P9" s="18"/>
      <c r="Q9" s="18" t="n">
        <v>52.22</v>
      </c>
      <c r="R9" s="18"/>
      <c r="S9" s="18"/>
      <c r="T9" s="18"/>
      <c r="U9" s="18"/>
      <c r="V9" s="18" t="n">
        <v>55.98</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1930</v>
      </c>
      <c r="AS9" s="18" t="s">
        <v>1523</v>
      </c>
      <c r="AT9" s="18" t="s">
        <v>1506</v>
      </c>
      <c r="AU9" s="18" t="s">
        <v>1507</v>
      </c>
      <c r="AV9" s="18" t="s">
        <v>1508</v>
      </c>
      <c r="AW9" s="30" t="s">
        <v>1939</v>
      </c>
      <c r="AX9" s="18" t="s">
        <v>928</v>
      </c>
      <c r="AY9" s="18" t="s">
        <v>1932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1940</v>
      </c>
      <c r="Q1" s="25" t="s">
        <v>1941</v>
      </c>
      <c r="R1" s="25" t="s">
        <v>1942</v>
      </c>
      <c r="S1" s="25" t="s">
        <v>1943</v>
      </c>
      <c r="T1" s="25" t="s">
        <v>1944</v>
      </c>
      <c r="U1" s="25" t="s">
        <v>1945</v>
      </c>
      <c r="V1" s="25" t="s">
        <v>1946</v>
      </c>
      <c r="W1" s="25" t="s">
        <v>1947</v>
      </c>
      <c r="X1" s="28" t="s">
        <v>1948</v>
      </c>
      <c r="Y1" s="28" t="s">
        <v>1949</v>
      </c>
      <c r="Z1" s="28" t="s">
        <v>1950</v>
      </c>
      <c r="AA1" s="28" t="s">
        <v>1951</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A2" s="18" t="n">
        <v>168</v>
      </c>
      <c r="B2" s="18" t="n">
        <v>168</v>
      </c>
      <c r="C2" s="18" t="s">
        <v>862</v>
      </c>
      <c r="D2" s="18" t="n">
        <v>2020</v>
      </c>
      <c r="E2" s="18" t="s">
        <v>863</v>
      </c>
      <c r="F2" s="18" t="s">
        <v>866</v>
      </c>
      <c r="G2" s="18" t="s">
        <v>867</v>
      </c>
      <c r="H2" s="18" t="n">
        <v>30.933</v>
      </c>
      <c r="I2" s="18" t="n">
        <v>75.867</v>
      </c>
      <c r="J2" s="18" t="s">
        <v>870</v>
      </c>
      <c r="K2" s="18" t="n">
        <v>2016</v>
      </c>
      <c r="L2" s="18" t="s">
        <v>84</v>
      </c>
      <c r="M2" s="18" t="s">
        <v>85</v>
      </c>
      <c r="N2" s="18" t="s">
        <v>86</v>
      </c>
      <c r="O2" s="18" t="s">
        <v>1472</v>
      </c>
      <c r="P2" s="18" t="n">
        <f aca="false">ROUND(46.7/BD!P2,2)</f>
        <v>29.19</v>
      </c>
      <c r="Q2" s="18" t="n">
        <f aca="false">ROUND(33.2/BD!Q2,2)</f>
        <v>21.28</v>
      </c>
      <c r="R2" s="18" t="n">
        <f aca="false">ROUND(38.4/BD!R2,2)</f>
        <v>24</v>
      </c>
      <c r="S2" s="18"/>
      <c r="T2" s="18"/>
      <c r="U2" s="18"/>
      <c r="V2" s="18" t="n">
        <f aca="false">ROUND(42.9/BD!V2,2)</f>
        <v>28.6</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1952</v>
      </c>
      <c r="AS2" s="18" t="s">
        <v>1473</v>
      </c>
      <c r="AT2" s="18" t="s">
        <v>1474</v>
      </c>
      <c r="AU2" s="18" t="s">
        <v>1475</v>
      </c>
      <c r="AV2" s="18" t="s">
        <v>1953</v>
      </c>
      <c r="AW2" s="30" t="s">
        <v>1954</v>
      </c>
      <c r="AX2" s="18" t="s">
        <v>877</v>
      </c>
      <c r="AY2" s="18" t="s">
        <v>1888</v>
      </c>
      <c r="BA2" s="31" t="s">
        <v>1016</v>
      </c>
    </row>
    <row r="3" customFormat="false" ht="15" hidden="false" customHeight="true" outlineLevel="0" collapsed="false">
      <c r="A3" s="5" t="n">
        <v>166</v>
      </c>
      <c r="B3" s="5" t="n">
        <v>166</v>
      </c>
      <c r="C3" s="5" t="s">
        <v>832</v>
      </c>
      <c r="D3" s="5" t="n">
        <v>2014</v>
      </c>
      <c r="E3" s="5" t="s">
        <v>833</v>
      </c>
      <c r="F3" s="5" t="s">
        <v>836</v>
      </c>
      <c r="G3" s="5" t="s">
        <v>837</v>
      </c>
      <c r="H3" s="5" t="n">
        <v>29.067</v>
      </c>
      <c r="I3" s="5" t="n">
        <v>77.767</v>
      </c>
      <c r="J3" s="5" t="s">
        <v>83</v>
      </c>
      <c r="K3" s="5" t="n">
        <v>2011</v>
      </c>
      <c r="L3" s="5" t="s">
        <v>802</v>
      </c>
      <c r="M3" s="5" t="s">
        <v>85</v>
      </c>
      <c r="N3" s="5" t="s">
        <v>86</v>
      </c>
      <c r="O3" s="5" t="s">
        <v>1618</v>
      </c>
      <c r="P3" s="5"/>
      <c r="Q3" s="5" t="n">
        <v>22.9</v>
      </c>
      <c r="R3" s="5"/>
      <c r="S3" s="5"/>
      <c r="T3" s="5"/>
      <c r="U3" s="5"/>
      <c r="V3" s="5" t="n">
        <v>23.2</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1955</v>
      </c>
      <c r="AS3" s="5" t="s">
        <v>1620</v>
      </c>
      <c r="AT3" s="5" t="s">
        <v>1621</v>
      </c>
      <c r="AU3" s="5" t="s">
        <v>1622</v>
      </c>
      <c r="AV3" s="5" t="s">
        <v>91</v>
      </c>
      <c r="AW3" s="23" t="s">
        <v>1956</v>
      </c>
      <c r="AX3" s="5" t="s">
        <v>848</v>
      </c>
      <c r="AY3" s="5" t="s">
        <v>1892</v>
      </c>
    </row>
    <row r="4" customFormat="false" ht="15" hidden="false" customHeight="true" outlineLevel="0" collapsed="false">
      <c r="A4" s="5" t="n">
        <v>166</v>
      </c>
      <c r="B4" s="5" t="n">
        <v>166</v>
      </c>
      <c r="C4" s="5" t="s">
        <v>832</v>
      </c>
      <c r="D4" s="5" t="n">
        <v>2014</v>
      </c>
      <c r="E4" s="5" t="s">
        <v>833</v>
      </c>
      <c r="F4" s="5" t="s">
        <v>836</v>
      </c>
      <c r="G4" s="5" t="s">
        <v>837</v>
      </c>
      <c r="H4" s="5" t="n">
        <v>29.067</v>
      </c>
      <c r="I4" s="5" t="n">
        <v>77.767</v>
      </c>
      <c r="J4" s="5" t="s">
        <v>83</v>
      </c>
      <c r="K4" s="5" t="n">
        <v>2011</v>
      </c>
      <c r="L4" s="5" t="s">
        <v>802</v>
      </c>
      <c r="M4" s="5" t="s">
        <v>85</v>
      </c>
      <c r="N4" s="5" t="s">
        <v>86</v>
      </c>
      <c r="O4" s="5" t="s">
        <v>1618</v>
      </c>
      <c r="P4" s="5"/>
      <c r="Q4" s="5" t="n">
        <v>22.3</v>
      </c>
      <c r="R4" s="5"/>
      <c r="S4" s="5"/>
      <c r="T4" s="5"/>
      <c r="U4" s="5"/>
      <c r="V4" s="5" t="n">
        <v>25.2</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1957</v>
      </c>
      <c r="AS4" s="5" t="s">
        <v>1620</v>
      </c>
      <c r="AT4" s="5" t="s">
        <v>1621</v>
      </c>
      <c r="AU4" s="5" t="s">
        <v>1622</v>
      </c>
      <c r="AV4" s="5" t="s">
        <v>91</v>
      </c>
      <c r="AW4" s="23" t="s">
        <v>1958</v>
      </c>
      <c r="AX4" s="5" t="s">
        <v>848</v>
      </c>
      <c r="AY4" s="5" t="s">
        <v>1895</v>
      </c>
    </row>
    <row r="5" customFormat="false" ht="14.25" hidden="false" customHeight="true" outlineLevel="0" collapsed="false">
      <c r="A5" s="5" t="n">
        <v>166</v>
      </c>
      <c r="B5" s="5" t="n">
        <v>166</v>
      </c>
      <c r="C5" s="5" t="s">
        <v>832</v>
      </c>
      <c r="D5" s="5" t="n">
        <v>2014</v>
      </c>
      <c r="E5" s="5" t="s">
        <v>833</v>
      </c>
      <c r="F5" s="5" t="s">
        <v>836</v>
      </c>
      <c r="G5" s="5" t="s">
        <v>837</v>
      </c>
      <c r="H5" s="5" t="n">
        <v>29.067</v>
      </c>
      <c r="I5" s="5" t="n">
        <v>77.767</v>
      </c>
      <c r="J5" s="5" t="s">
        <v>83</v>
      </c>
      <c r="K5" s="5" t="n">
        <v>2011</v>
      </c>
      <c r="L5" s="5" t="s">
        <v>802</v>
      </c>
      <c r="M5" s="5" t="s">
        <v>85</v>
      </c>
      <c r="N5" s="5" t="s">
        <v>86</v>
      </c>
      <c r="O5" s="5" t="s">
        <v>1630</v>
      </c>
      <c r="P5" s="5"/>
      <c r="Q5" s="5" t="n">
        <v>19.7</v>
      </c>
      <c r="R5" s="5"/>
      <c r="S5" s="5"/>
      <c r="T5" s="5"/>
      <c r="U5" s="5"/>
      <c r="V5" s="5" t="n">
        <v>20.4</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1955</v>
      </c>
      <c r="AS5" s="5" t="s">
        <v>1620</v>
      </c>
      <c r="AT5" s="5" t="s">
        <v>1621</v>
      </c>
      <c r="AU5" s="5" t="s">
        <v>1622</v>
      </c>
      <c r="AV5" s="5" t="s">
        <v>91</v>
      </c>
      <c r="AW5" s="23" t="s">
        <v>1956</v>
      </c>
      <c r="AX5" s="5" t="s">
        <v>848</v>
      </c>
      <c r="AY5" s="5" t="s">
        <v>1892</v>
      </c>
    </row>
    <row r="6" customFormat="false" ht="14.25" hidden="false" customHeight="true" outlineLevel="0" collapsed="false">
      <c r="A6" s="5" t="n">
        <v>166</v>
      </c>
      <c r="B6" s="5" t="n">
        <v>166</v>
      </c>
      <c r="C6" s="5" t="s">
        <v>832</v>
      </c>
      <c r="D6" s="5" t="n">
        <v>2014</v>
      </c>
      <c r="E6" s="5" t="s">
        <v>833</v>
      </c>
      <c r="F6" s="5" t="s">
        <v>836</v>
      </c>
      <c r="G6" s="5" t="s">
        <v>837</v>
      </c>
      <c r="H6" s="5" t="n">
        <v>29.067</v>
      </c>
      <c r="I6" s="5" t="n">
        <v>77.767</v>
      </c>
      <c r="J6" s="5" t="s">
        <v>83</v>
      </c>
      <c r="K6" s="5" t="n">
        <v>2011</v>
      </c>
      <c r="L6" s="5" t="s">
        <v>802</v>
      </c>
      <c r="M6" s="5" t="s">
        <v>85</v>
      </c>
      <c r="N6" s="5" t="s">
        <v>86</v>
      </c>
      <c r="O6" s="5" t="s">
        <v>1630</v>
      </c>
      <c r="P6" s="5"/>
      <c r="Q6" s="5" t="n">
        <v>20.7</v>
      </c>
      <c r="R6" s="5"/>
      <c r="S6" s="5"/>
      <c r="T6" s="5"/>
      <c r="U6" s="5"/>
      <c r="V6" s="5" t="n">
        <v>22.2</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1957</v>
      </c>
      <c r="AS6" s="5" t="s">
        <v>1620</v>
      </c>
      <c r="AT6" s="5" t="s">
        <v>1621</v>
      </c>
      <c r="AU6" s="5" t="s">
        <v>1622</v>
      </c>
      <c r="AV6" s="5" t="s">
        <v>91</v>
      </c>
      <c r="AW6" s="23" t="s">
        <v>1958</v>
      </c>
      <c r="AX6" s="5" t="s">
        <v>848</v>
      </c>
      <c r="AY6" s="5" t="s">
        <v>1895</v>
      </c>
    </row>
    <row r="7" customFormat="false" ht="14.25" hidden="false" customHeight="true" outlineLevel="0" collapsed="false">
      <c r="A7" s="5" t="n">
        <v>166</v>
      </c>
      <c r="B7" s="5" t="n">
        <v>166</v>
      </c>
      <c r="C7" s="5" t="s">
        <v>832</v>
      </c>
      <c r="D7" s="5" t="n">
        <v>2014</v>
      </c>
      <c r="E7" s="5" t="s">
        <v>833</v>
      </c>
      <c r="F7" s="5" t="s">
        <v>836</v>
      </c>
      <c r="G7" s="5" t="s">
        <v>837</v>
      </c>
      <c r="H7" s="5" t="n">
        <v>29.067</v>
      </c>
      <c r="I7" s="5" t="n">
        <v>77.767</v>
      </c>
      <c r="J7" s="5" t="s">
        <v>83</v>
      </c>
      <c r="K7" s="5" t="n">
        <v>2011</v>
      </c>
      <c r="L7" s="5" t="s">
        <v>802</v>
      </c>
      <c r="M7" s="5" t="s">
        <v>85</v>
      </c>
      <c r="N7" s="5" t="s">
        <v>1479</v>
      </c>
      <c r="O7" s="5" t="s">
        <v>1480</v>
      </c>
      <c r="P7" s="5"/>
      <c r="Q7" s="5" t="n">
        <v>19.5</v>
      </c>
      <c r="R7" s="5"/>
      <c r="S7" s="5"/>
      <c r="T7" s="5"/>
      <c r="U7" s="5"/>
      <c r="V7" s="5" t="n">
        <v>19.8</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1955</v>
      </c>
      <c r="AS7" s="5" t="s">
        <v>1620</v>
      </c>
      <c r="AT7" s="5" t="s">
        <v>1621</v>
      </c>
      <c r="AU7" s="5" t="s">
        <v>1622</v>
      </c>
      <c r="AV7" s="5" t="s">
        <v>91</v>
      </c>
      <c r="AW7" s="23" t="s">
        <v>1959</v>
      </c>
      <c r="AX7" s="5" t="s">
        <v>848</v>
      </c>
      <c r="AY7" s="5" t="s">
        <v>1892</v>
      </c>
    </row>
    <row r="8" customFormat="false" ht="14.25" hidden="false" customHeight="true" outlineLevel="0" collapsed="false">
      <c r="A8" s="5" t="n">
        <v>166</v>
      </c>
      <c r="B8" s="5" t="n">
        <v>166</v>
      </c>
      <c r="C8" s="5" t="s">
        <v>832</v>
      </c>
      <c r="D8" s="5" t="n">
        <v>2014</v>
      </c>
      <c r="E8" s="5" t="s">
        <v>833</v>
      </c>
      <c r="F8" s="5" t="s">
        <v>836</v>
      </c>
      <c r="G8" s="5" t="s">
        <v>837</v>
      </c>
      <c r="H8" s="5" t="n">
        <v>29.067</v>
      </c>
      <c r="I8" s="5" t="n">
        <v>77.767</v>
      </c>
      <c r="J8" s="5" t="s">
        <v>83</v>
      </c>
      <c r="K8" s="5" t="n">
        <v>2011</v>
      </c>
      <c r="L8" s="5" t="s">
        <v>802</v>
      </c>
      <c r="M8" s="5" t="s">
        <v>85</v>
      </c>
      <c r="N8" s="5" t="s">
        <v>1479</v>
      </c>
      <c r="O8" s="5" t="s">
        <v>1480</v>
      </c>
      <c r="P8" s="5"/>
      <c r="Q8" s="5" t="n">
        <v>19.8</v>
      </c>
      <c r="R8" s="5"/>
      <c r="S8" s="5"/>
      <c r="T8" s="5"/>
      <c r="U8" s="5"/>
      <c r="V8" s="5" t="n">
        <v>20</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1957</v>
      </c>
      <c r="AS8" s="5" t="s">
        <v>1620</v>
      </c>
      <c r="AT8" s="5" t="s">
        <v>1621</v>
      </c>
      <c r="AU8" s="5" t="s">
        <v>1622</v>
      </c>
      <c r="AV8" s="5" t="s">
        <v>91</v>
      </c>
      <c r="AW8" s="23" t="s">
        <v>1960</v>
      </c>
      <c r="AX8" s="5" t="s">
        <v>848</v>
      </c>
      <c r="AY8" s="5" t="s">
        <v>1895</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1961</v>
      </c>
      <c r="Q1" s="25" t="s">
        <v>1962</v>
      </c>
      <c r="R1" s="25" t="s">
        <v>1963</v>
      </c>
      <c r="S1" s="25" t="s">
        <v>1964</v>
      </c>
      <c r="T1" s="25" t="s">
        <v>1965</v>
      </c>
      <c r="U1" s="25" t="s">
        <v>1966</v>
      </c>
      <c r="V1" s="25" t="s">
        <v>1967</v>
      </c>
      <c r="W1" s="25" t="s">
        <v>1968</v>
      </c>
      <c r="X1" s="28" t="s">
        <v>1969</v>
      </c>
      <c r="Y1" s="28" t="s">
        <v>1970</v>
      </c>
      <c r="Z1" s="28" t="s">
        <v>1971</v>
      </c>
      <c r="AA1" s="28" t="s">
        <v>1972</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A2" s="18" t="n">
        <v>168</v>
      </c>
      <c r="B2" s="18" t="n">
        <v>168</v>
      </c>
      <c r="C2" s="18" t="s">
        <v>862</v>
      </c>
      <c r="D2" s="18" t="n">
        <v>2020</v>
      </c>
      <c r="E2" s="18" t="s">
        <v>863</v>
      </c>
      <c r="F2" s="18" t="s">
        <v>866</v>
      </c>
      <c r="G2" s="18" t="s">
        <v>867</v>
      </c>
      <c r="H2" s="18" t="n">
        <v>30.933</v>
      </c>
      <c r="I2" s="18" t="n">
        <v>75.867</v>
      </c>
      <c r="J2" s="18" t="s">
        <v>870</v>
      </c>
      <c r="K2" s="18" t="n">
        <v>2016</v>
      </c>
      <c r="L2" s="18" t="s">
        <v>84</v>
      </c>
      <c r="M2" s="18" t="s">
        <v>85</v>
      </c>
      <c r="N2" s="18" t="s">
        <v>86</v>
      </c>
      <c r="O2" s="18" t="s">
        <v>1472</v>
      </c>
      <c r="P2" s="18" t="n">
        <f aca="false">ROUND(15.7/BD!P2,2)</f>
        <v>9.81</v>
      </c>
      <c r="Q2" s="18" t="n">
        <f aca="false">ROUND(9/BD!Q2,2)</f>
        <v>5.77</v>
      </c>
      <c r="R2" s="18" t="n">
        <f aca="false">ROUND(13.1/BD!R2,2)</f>
        <v>8.19</v>
      </c>
      <c r="S2" s="18"/>
      <c r="T2" s="18"/>
      <c r="U2" s="18"/>
      <c r="V2" s="18" t="n">
        <f aca="false">ROUND(14.3/BD!V2,2)</f>
        <v>9.53</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1973</v>
      </c>
      <c r="AS2" s="18" t="s">
        <v>1473</v>
      </c>
      <c r="AT2" s="18" t="s">
        <v>1474</v>
      </c>
      <c r="AU2" s="18" t="s">
        <v>1475</v>
      </c>
      <c r="AV2" s="18" t="s">
        <v>1953</v>
      </c>
      <c r="AW2" s="30" t="s">
        <v>1954</v>
      </c>
      <c r="AX2" s="18" t="s">
        <v>877</v>
      </c>
      <c r="AY2" s="18" t="s">
        <v>1888</v>
      </c>
      <c r="BA2" s="31" t="s">
        <v>1018</v>
      </c>
    </row>
    <row r="3" customFormat="false" ht="15" hidden="false" customHeight="true" outlineLevel="0" collapsed="false">
      <c r="A3" s="5" t="n">
        <v>166</v>
      </c>
      <c r="B3" s="5" t="n">
        <v>166</v>
      </c>
      <c r="C3" s="5" t="s">
        <v>832</v>
      </c>
      <c r="D3" s="5" t="n">
        <v>2014</v>
      </c>
      <c r="E3" s="5" t="s">
        <v>833</v>
      </c>
      <c r="F3" s="5" t="s">
        <v>836</v>
      </c>
      <c r="G3" s="5" t="s">
        <v>837</v>
      </c>
      <c r="H3" s="5" t="n">
        <v>29.067</v>
      </c>
      <c r="I3" s="5" t="n">
        <v>77.767</v>
      </c>
      <c r="J3" s="5" t="s">
        <v>83</v>
      </c>
      <c r="K3" s="5" t="n">
        <v>2011</v>
      </c>
      <c r="L3" s="5" t="s">
        <v>802</v>
      </c>
      <c r="M3" s="5" t="s">
        <v>85</v>
      </c>
      <c r="N3" s="5" t="s">
        <v>86</v>
      </c>
      <c r="O3" s="5" t="s">
        <v>1618</v>
      </c>
      <c r="P3" s="5"/>
      <c r="Q3" s="5" t="n">
        <v>10</v>
      </c>
      <c r="R3" s="5"/>
      <c r="S3" s="5"/>
      <c r="T3" s="5"/>
      <c r="U3" s="5"/>
      <c r="V3" s="5" t="n">
        <v>10.2</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1974</v>
      </c>
      <c r="AS3" s="5" t="s">
        <v>1620</v>
      </c>
      <c r="AT3" s="5" t="s">
        <v>1621</v>
      </c>
      <c r="AU3" s="5" t="s">
        <v>1622</v>
      </c>
      <c r="AV3" s="5" t="s">
        <v>91</v>
      </c>
      <c r="AW3" s="23" t="s">
        <v>1956</v>
      </c>
      <c r="AX3" s="5" t="s">
        <v>848</v>
      </c>
      <c r="AY3" s="5" t="s">
        <v>1892</v>
      </c>
    </row>
    <row r="4" customFormat="false" ht="15" hidden="false" customHeight="true" outlineLevel="0" collapsed="false">
      <c r="A4" s="5" t="n">
        <v>166</v>
      </c>
      <c r="B4" s="5" t="n">
        <v>166</v>
      </c>
      <c r="C4" s="5" t="s">
        <v>832</v>
      </c>
      <c r="D4" s="5" t="n">
        <v>2014</v>
      </c>
      <c r="E4" s="5" t="s">
        <v>833</v>
      </c>
      <c r="F4" s="5" t="s">
        <v>836</v>
      </c>
      <c r="G4" s="5" t="s">
        <v>837</v>
      </c>
      <c r="H4" s="5" t="n">
        <v>29.067</v>
      </c>
      <c r="I4" s="5" t="n">
        <v>77.767</v>
      </c>
      <c r="J4" s="5" t="s">
        <v>83</v>
      </c>
      <c r="K4" s="5" t="n">
        <v>2011</v>
      </c>
      <c r="L4" s="5" t="s">
        <v>802</v>
      </c>
      <c r="M4" s="5" t="s">
        <v>85</v>
      </c>
      <c r="N4" s="5" t="s">
        <v>86</v>
      </c>
      <c r="O4" s="5" t="s">
        <v>1618</v>
      </c>
      <c r="P4" s="5"/>
      <c r="Q4" s="5" t="n">
        <v>7.1</v>
      </c>
      <c r="R4" s="5"/>
      <c r="S4" s="5"/>
      <c r="T4" s="5"/>
      <c r="U4" s="5"/>
      <c r="V4" s="5" t="n">
        <v>8.1</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1975</v>
      </c>
      <c r="AS4" s="5" t="s">
        <v>1620</v>
      </c>
      <c r="AT4" s="5" t="s">
        <v>1621</v>
      </c>
      <c r="AU4" s="5" t="s">
        <v>1622</v>
      </c>
      <c r="AV4" s="5" t="s">
        <v>91</v>
      </c>
      <c r="AW4" s="23" t="s">
        <v>1958</v>
      </c>
      <c r="AX4" s="5" t="s">
        <v>848</v>
      </c>
      <c r="AY4" s="5" t="s">
        <v>1895</v>
      </c>
    </row>
    <row r="5" customFormat="false" ht="14.25" hidden="false" customHeight="true" outlineLevel="0" collapsed="false">
      <c r="A5" s="5" t="n">
        <v>166</v>
      </c>
      <c r="B5" s="5" t="n">
        <v>166</v>
      </c>
      <c r="C5" s="5" t="s">
        <v>832</v>
      </c>
      <c r="D5" s="5" t="n">
        <v>2014</v>
      </c>
      <c r="E5" s="5" t="s">
        <v>833</v>
      </c>
      <c r="F5" s="5" t="s">
        <v>836</v>
      </c>
      <c r="G5" s="5" t="s">
        <v>837</v>
      </c>
      <c r="H5" s="5" t="n">
        <v>29.067</v>
      </c>
      <c r="I5" s="5" t="n">
        <v>77.767</v>
      </c>
      <c r="J5" s="5" t="s">
        <v>83</v>
      </c>
      <c r="K5" s="5" t="n">
        <v>2011</v>
      </c>
      <c r="L5" s="5" t="s">
        <v>802</v>
      </c>
      <c r="M5" s="5" t="s">
        <v>85</v>
      </c>
      <c r="N5" s="5" t="s">
        <v>86</v>
      </c>
      <c r="O5" s="5" t="s">
        <v>1630</v>
      </c>
      <c r="P5" s="5"/>
      <c r="Q5" s="5" t="n">
        <v>8</v>
      </c>
      <c r="R5" s="5"/>
      <c r="S5" s="5"/>
      <c r="T5" s="5"/>
      <c r="U5" s="5"/>
      <c r="V5" s="5" t="n">
        <v>8.5</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1974</v>
      </c>
      <c r="AS5" s="5" t="s">
        <v>1620</v>
      </c>
      <c r="AT5" s="5" t="s">
        <v>1621</v>
      </c>
      <c r="AU5" s="5" t="s">
        <v>1622</v>
      </c>
      <c r="AV5" s="5" t="s">
        <v>91</v>
      </c>
      <c r="AW5" s="23" t="s">
        <v>1956</v>
      </c>
      <c r="AX5" s="5" t="s">
        <v>848</v>
      </c>
      <c r="AY5" s="5" t="s">
        <v>1892</v>
      </c>
    </row>
    <row r="6" customFormat="false" ht="14.25" hidden="false" customHeight="true" outlineLevel="0" collapsed="false">
      <c r="A6" s="5" t="n">
        <v>166</v>
      </c>
      <c r="B6" s="5" t="n">
        <v>166</v>
      </c>
      <c r="C6" s="5" t="s">
        <v>832</v>
      </c>
      <c r="D6" s="5" t="n">
        <v>2014</v>
      </c>
      <c r="E6" s="5" t="s">
        <v>833</v>
      </c>
      <c r="F6" s="5" t="s">
        <v>836</v>
      </c>
      <c r="G6" s="5" t="s">
        <v>837</v>
      </c>
      <c r="H6" s="5" t="n">
        <v>29.067</v>
      </c>
      <c r="I6" s="5" t="n">
        <v>77.767</v>
      </c>
      <c r="J6" s="5" t="s">
        <v>83</v>
      </c>
      <c r="K6" s="5" t="n">
        <v>2011</v>
      </c>
      <c r="L6" s="5" t="s">
        <v>802</v>
      </c>
      <c r="M6" s="5" t="s">
        <v>85</v>
      </c>
      <c r="N6" s="5" t="s">
        <v>86</v>
      </c>
      <c r="O6" s="5" t="s">
        <v>1630</v>
      </c>
      <c r="P6" s="5"/>
      <c r="Q6" s="5" t="n">
        <v>9.9</v>
      </c>
      <c r="R6" s="5"/>
      <c r="S6" s="5"/>
      <c r="T6" s="5"/>
      <c r="U6" s="5"/>
      <c r="V6" s="5" t="n">
        <v>9.3</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1975</v>
      </c>
      <c r="AS6" s="5" t="s">
        <v>1620</v>
      </c>
      <c r="AT6" s="5" t="s">
        <v>1621</v>
      </c>
      <c r="AU6" s="5" t="s">
        <v>1622</v>
      </c>
      <c r="AV6" s="5" t="s">
        <v>91</v>
      </c>
      <c r="AW6" s="23" t="s">
        <v>1958</v>
      </c>
      <c r="AX6" s="5" t="s">
        <v>848</v>
      </c>
      <c r="AY6" s="5" t="s">
        <v>1895</v>
      </c>
    </row>
    <row r="7" customFormat="false" ht="14.25" hidden="false" customHeight="true" outlineLevel="0" collapsed="false">
      <c r="A7" s="5" t="n">
        <v>166</v>
      </c>
      <c r="B7" s="5" t="n">
        <v>166</v>
      </c>
      <c r="C7" s="5" t="s">
        <v>832</v>
      </c>
      <c r="D7" s="5" t="n">
        <v>2014</v>
      </c>
      <c r="E7" s="5" t="s">
        <v>833</v>
      </c>
      <c r="F7" s="5" t="s">
        <v>836</v>
      </c>
      <c r="G7" s="5" t="s">
        <v>837</v>
      </c>
      <c r="H7" s="5" t="n">
        <v>29.067</v>
      </c>
      <c r="I7" s="5" t="n">
        <v>77.767</v>
      </c>
      <c r="J7" s="5" t="s">
        <v>83</v>
      </c>
      <c r="K7" s="5" t="n">
        <v>2011</v>
      </c>
      <c r="L7" s="5" t="s">
        <v>802</v>
      </c>
      <c r="M7" s="5" t="s">
        <v>85</v>
      </c>
      <c r="N7" s="5" t="s">
        <v>1479</v>
      </c>
      <c r="O7" s="5" t="s">
        <v>1480</v>
      </c>
      <c r="P7" s="5"/>
      <c r="Q7" s="5" t="n">
        <v>8.8</v>
      </c>
      <c r="R7" s="5"/>
      <c r="S7" s="5"/>
      <c r="T7" s="5"/>
      <c r="U7" s="5"/>
      <c r="V7" s="5" t="n">
        <v>6.3</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1974</v>
      </c>
      <c r="AS7" s="5" t="s">
        <v>1620</v>
      </c>
      <c r="AT7" s="5" t="s">
        <v>1621</v>
      </c>
      <c r="AU7" s="5" t="s">
        <v>1622</v>
      </c>
      <c r="AV7" s="5" t="s">
        <v>91</v>
      </c>
      <c r="AW7" s="23" t="s">
        <v>1959</v>
      </c>
      <c r="AX7" s="5" t="s">
        <v>848</v>
      </c>
      <c r="AY7" s="5" t="s">
        <v>1892</v>
      </c>
    </row>
    <row r="8" customFormat="false" ht="14.25" hidden="false" customHeight="true" outlineLevel="0" collapsed="false">
      <c r="A8" s="5" t="n">
        <v>166</v>
      </c>
      <c r="B8" s="5" t="n">
        <v>166</v>
      </c>
      <c r="C8" s="5" t="s">
        <v>832</v>
      </c>
      <c r="D8" s="5" t="n">
        <v>2014</v>
      </c>
      <c r="E8" s="5" t="s">
        <v>833</v>
      </c>
      <c r="F8" s="5" t="s">
        <v>836</v>
      </c>
      <c r="G8" s="5" t="s">
        <v>837</v>
      </c>
      <c r="H8" s="5" t="n">
        <v>29.067</v>
      </c>
      <c r="I8" s="5" t="n">
        <v>77.767</v>
      </c>
      <c r="J8" s="5" t="s">
        <v>83</v>
      </c>
      <c r="K8" s="5" t="n">
        <v>2011</v>
      </c>
      <c r="L8" s="5" t="s">
        <v>802</v>
      </c>
      <c r="M8" s="5" t="s">
        <v>85</v>
      </c>
      <c r="N8" s="5" t="s">
        <v>1479</v>
      </c>
      <c r="O8" s="5" t="s">
        <v>1480</v>
      </c>
      <c r="P8" s="5"/>
      <c r="Q8" s="5" t="n">
        <v>10.1</v>
      </c>
      <c r="R8" s="5"/>
      <c r="S8" s="5"/>
      <c r="T8" s="5"/>
      <c r="U8" s="5"/>
      <c r="V8" s="5" t="n">
        <v>8.3</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1975</v>
      </c>
      <c r="AS8" s="5" t="s">
        <v>1620</v>
      </c>
      <c r="AT8" s="5" t="s">
        <v>1621</v>
      </c>
      <c r="AU8" s="5" t="s">
        <v>1622</v>
      </c>
      <c r="AV8" s="5" t="s">
        <v>91</v>
      </c>
      <c r="AW8" s="23" t="s">
        <v>1960</v>
      </c>
      <c r="AX8" s="5" t="s">
        <v>848</v>
      </c>
      <c r="AY8" s="5" t="s">
        <v>1895</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1976</v>
      </c>
      <c r="Q1" s="25" t="s">
        <v>1977</v>
      </c>
      <c r="R1" s="25" t="s">
        <v>1978</v>
      </c>
      <c r="S1" s="25" t="s">
        <v>1979</v>
      </c>
      <c r="T1" s="25" t="s">
        <v>1980</v>
      </c>
      <c r="U1" s="25" t="s">
        <v>1981</v>
      </c>
      <c r="V1" s="25" t="s">
        <v>1982</v>
      </c>
      <c r="W1" s="25" t="s">
        <v>1983</v>
      </c>
      <c r="X1" s="28" t="s">
        <v>1984</v>
      </c>
      <c r="Y1" s="28" t="s">
        <v>1985</v>
      </c>
      <c r="Z1" s="28" t="s">
        <v>1986</v>
      </c>
      <c r="AA1" s="28" t="s">
        <v>1987</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BA2" s="31" t="s">
        <v>1020</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1988</v>
      </c>
      <c r="Q1" s="25" t="s">
        <v>1989</v>
      </c>
      <c r="R1" s="25" t="s">
        <v>1990</v>
      </c>
      <c r="S1" s="25" t="s">
        <v>1991</v>
      </c>
      <c r="T1" s="25" t="s">
        <v>1992</v>
      </c>
      <c r="U1" s="25" t="s">
        <v>1993</v>
      </c>
      <c r="V1" s="25" t="s">
        <v>1994</v>
      </c>
      <c r="W1" s="25" t="s">
        <v>1995</v>
      </c>
      <c r="X1" s="28" t="s">
        <v>1996</v>
      </c>
      <c r="Y1" s="28" t="s">
        <v>1997</v>
      </c>
      <c r="Z1" s="28" t="s">
        <v>1998</v>
      </c>
      <c r="AA1" s="28" t="s">
        <v>1999</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BA2" s="31" t="s">
        <v>1022</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2000</v>
      </c>
      <c r="Q1" s="25" t="s">
        <v>2001</v>
      </c>
      <c r="R1" s="25" t="s">
        <v>2002</v>
      </c>
      <c r="S1" s="25" t="s">
        <v>2003</v>
      </c>
      <c r="T1" s="25" t="s">
        <v>2004</v>
      </c>
      <c r="U1" s="25" t="s">
        <v>2005</v>
      </c>
      <c r="V1" s="25" t="s">
        <v>2006</v>
      </c>
      <c r="W1" s="25" t="s">
        <v>2007</v>
      </c>
      <c r="X1" s="28" t="s">
        <v>2008</v>
      </c>
      <c r="Y1" s="28" t="s">
        <v>2009</v>
      </c>
      <c r="Z1" s="28" t="s">
        <v>2010</v>
      </c>
      <c r="AA1" s="28" t="s">
        <v>2011</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BA2" s="31" t="s">
        <v>1024</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O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32" min="32" style="1" width="26"/>
    <col collapsed="false" customWidth="true" hidden="false" outlineLevel="0" max="39" min="38"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6" t="s">
        <v>35</v>
      </c>
      <c r="Q1" s="26" t="s">
        <v>33</v>
      </c>
      <c r="R1" s="26" t="s">
        <v>37</v>
      </c>
      <c r="S1" s="21" t="s">
        <v>73</v>
      </c>
      <c r="T1" s="21" t="s">
        <v>775</v>
      </c>
      <c r="U1" s="21" t="s">
        <v>776</v>
      </c>
      <c r="V1" s="21" t="s">
        <v>74</v>
      </c>
      <c r="W1" s="21" t="s">
        <v>1465</v>
      </c>
      <c r="X1" s="21" t="s">
        <v>1466</v>
      </c>
      <c r="Y1" s="21" t="s">
        <v>777</v>
      </c>
      <c r="Z1" s="21" t="s">
        <v>778</v>
      </c>
      <c r="AA1" s="21" t="s">
        <v>75</v>
      </c>
      <c r="AB1" s="21" t="s">
        <v>773</v>
      </c>
      <c r="AC1" s="21" t="s">
        <v>774</v>
      </c>
      <c r="AD1" s="21" t="s">
        <v>771</v>
      </c>
      <c r="AE1" s="21" t="s">
        <v>772</v>
      </c>
      <c r="AF1" s="22" t="s">
        <v>76</v>
      </c>
      <c r="AG1" s="22" t="s">
        <v>77</v>
      </c>
      <c r="AH1" s="22" t="s">
        <v>1467</v>
      </c>
      <c r="AI1" s="22" t="s">
        <v>1468</v>
      </c>
      <c r="AJ1" s="22" t="s">
        <v>78</v>
      </c>
      <c r="AK1" s="22" t="s">
        <v>790</v>
      </c>
      <c r="AL1" s="22" t="s">
        <v>1469</v>
      </c>
      <c r="AM1" s="22" t="s">
        <v>1470</v>
      </c>
      <c r="AO1" s="29" t="s">
        <v>1471</v>
      </c>
    </row>
    <row r="2" customFormat="false" ht="15" hidden="false" customHeight="true" outlineLevel="0" collapsed="false">
      <c r="AO2" s="31" t="s">
        <v>1026</v>
      </c>
    </row>
  </sheetData>
  <autoFilter ref="A1:AM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D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7" min="47" style="1" width="26"/>
    <col collapsed="false" customWidth="true" hidden="false" outlineLevel="0" max="54" min="53"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2012</v>
      </c>
      <c r="Q1" s="25" t="s">
        <v>2013</v>
      </c>
      <c r="R1" s="25" t="s">
        <v>2014</v>
      </c>
      <c r="S1" s="25" t="s">
        <v>2015</v>
      </c>
      <c r="T1" s="25" t="s">
        <v>2016</v>
      </c>
      <c r="U1" s="25" t="s">
        <v>2017</v>
      </c>
      <c r="V1" s="25" t="s">
        <v>2018</v>
      </c>
      <c r="W1" s="25" t="s">
        <v>2019</v>
      </c>
      <c r="X1" s="28" t="s">
        <v>2020</v>
      </c>
      <c r="Y1" s="28" t="s">
        <v>2021</v>
      </c>
      <c r="Z1" s="28" t="s">
        <v>2022</v>
      </c>
      <c r="AA1" s="28" t="s">
        <v>2023</v>
      </c>
      <c r="AB1" s="25" t="s">
        <v>2024</v>
      </c>
      <c r="AC1" s="25" t="s">
        <v>2025</v>
      </c>
      <c r="AD1" s="25" t="s">
        <v>2026</v>
      </c>
      <c r="AE1" s="26" t="s">
        <v>35</v>
      </c>
      <c r="AF1" s="26" t="s">
        <v>33</v>
      </c>
      <c r="AG1" s="26" t="s">
        <v>37</v>
      </c>
      <c r="AH1" s="21" t="s">
        <v>73</v>
      </c>
      <c r="AI1" s="21" t="s">
        <v>775</v>
      </c>
      <c r="AJ1" s="21" t="s">
        <v>776</v>
      </c>
      <c r="AK1" s="21" t="s">
        <v>74</v>
      </c>
      <c r="AL1" s="21" t="s">
        <v>1465</v>
      </c>
      <c r="AM1" s="21" t="s">
        <v>1466</v>
      </c>
      <c r="AN1" s="21" t="s">
        <v>777</v>
      </c>
      <c r="AO1" s="21" t="s">
        <v>778</v>
      </c>
      <c r="AP1" s="21" t="s">
        <v>75</v>
      </c>
      <c r="AQ1" s="21" t="s">
        <v>773</v>
      </c>
      <c r="AR1" s="21" t="s">
        <v>774</v>
      </c>
      <c r="AS1" s="21" t="s">
        <v>771</v>
      </c>
      <c r="AT1" s="21" t="s">
        <v>772</v>
      </c>
      <c r="AU1" s="22" t="s">
        <v>76</v>
      </c>
      <c r="AV1" s="22" t="s">
        <v>77</v>
      </c>
      <c r="AW1" s="22" t="s">
        <v>1467</v>
      </c>
      <c r="AX1" s="22" t="s">
        <v>1468</v>
      </c>
      <c r="AY1" s="22" t="s">
        <v>78</v>
      </c>
      <c r="AZ1" s="22" t="s">
        <v>790</v>
      </c>
      <c r="BA1" s="22" t="s">
        <v>1469</v>
      </c>
      <c r="BB1" s="22" t="s">
        <v>1470</v>
      </c>
      <c r="BD1" s="29" t="s">
        <v>1471</v>
      </c>
    </row>
    <row r="2" customFormat="false" ht="15" hidden="false" customHeight="true" outlineLevel="0" collapsed="false">
      <c r="A2" s="18" t="n">
        <v>168</v>
      </c>
      <c r="B2" s="18" t="n">
        <v>168</v>
      </c>
      <c r="C2" s="18" t="s">
        <v>862</v>
      </c>
      <c r="D2" s="18" t="n">
        <v>2020</v>
      </c>
      <c r="E2" s="18" t="s">
        <v>863</v>
      </c>
      <c r="F2" s="18" t="s">
        <v>866</v>
      </c>
      <c r="G2" s="18" t="s">
        <v>867</v>
      </c>
      <c r="H2" s="18" t="n">
        <v>30.933</v>
      </c>
      <c r="I2" s="18" t="n">
        <v>75.867</v>
      </c>
      <c r="J2" s="18" t="s">
        <v>870</v>
      </c>
      <c r="K2" s="18" t="n">
        <v>2016</v>
      </c>
      <c r="L2" s="18" t="s">
        <v>84</v>
      </c>
      <c r="M2" s="18" t="s">
        <v>85</v>
      </c>
      <c r="N2" s="18" t="s">
        <v>86</v>
      </c>
      <c r="O2" s="18" t="s">
        <v>1472</v>
      </c>
      <c r="P2" s="18" t="n">
        <v>6.2</v>
      </c>
      <c r="Q2" s="18" t="n">
        <v>4.8</v>
      </c>
      <c r="R2" s="18" t="n">
        <v>5.37</v>
      </c>
      <c r="S2" s="18"/>
      <c r="T2" s="18"/>
      <c r="U2" s="18"/>
      <c r="V2" s="18" t="n">
        <v>5.8</v>
      </c>
      <c r="W2" s="18"/>
      <c r="X2" s="18"/>
      <c r="Y2" s="18"/>
      <c r="Z2" s="18"/>
      <c r="AA2" s="18"/>
      <c r="AB2" s="18"/>
      <c r="AC2" s="18"/>
      <c r="AD2" s="18"/>
      <c r="AE2" s="18" t="n">
        <v>1</v>
      </c>
      <c r="AF2" s="18" t="n">
        <v>3</v>
      </c>
      <c r="AG2" s="18" t="n">
        <f aca="false">IF(AND(N(AE2)&gt;0,N(AF2)&gt;0),SQRT(2*AE2/AF2),"")</f>
        <v>0.816496580927726</v>
      </c>
      <c r="AH2" s="18"/>
      <c r="AI2" s="18"/>
      <c r="AJ2" s="18"/>
      <c r="AK2" s="18" t="n">
        <v>734</v>
      </c>
      <c r="AL2" s="18" t="n">
        <v>30.933</v>
      </c>
      <c r="AM2" s="18" t="n">
        <v>5</v>
      </c>
      <c r="AN2" s="18"/>
      <c r="AO2" s="18"/>
      <c r="AP2" s="18" t="n">
        <v>7.4</v>
      </c>
      <c r="AQ2" s="18"/>
      <c r="AR2" s="18"/>
      <c r="AS2" s="18"/>
      <c r="AT2" s="18"/>
      <c r="AU2" s="18" t="s">
        <v>672</v>
      </c>
      <c r="AV2" s="18" t="s">
        <v>1473</v>
      </c>
      <c r="AW2" s="18" t="s">
        <v>1474</v>
      </c>
      <c r="AX2" s="18" t="s">
        <v>1475</v>
      </c>
      <c r="AY2" s="18" t="s">
        <v>1634</v>
      </c>
      <c r="AZ2" s="30" t="s">
        <v>2027</v>
      </c>
      <c r="BA2" s="18" t="s">
        <v>877</v>
      </c>
      <c r="BB2" s="18" t="s">
        <v>2028</v>
      </c>
      <c r="BD2" s="31" t="s">
        <v>672</v>
      </c>
    </row>
    <row r="3" customFormat="false" ht="15" hidden="false" customHeight="true" outlineLevel="0" collapsed="false">
      <c r="A3" s="18" t="n">
        <v>168</v>
      </c>
      <c r="B3" s="18" t="n">
        <v>168</v>
      </c>
      <c r="C3" s="18" t="s">
        <v>862</v>
      </c>
      <c r="D3" s="18" t="n">
        <v>2020</v>
      </c>
      <c r="E3" s="18" t="s">
        <v>863</v>
      </c>
      <c r="F3" s="18" t="s">
        <v>866</v>
      </c>
      <c r="G3" s="18" t="s">
        <v>867</v>
      </c>
      <c r="H3" s="18" t="n">
        <v>30.933</v>
      </c>
      <c r="I3" s="18" t="n">
        <v>75.867</v>
      </c>
      <c r="J3" s="18" t="s">
        <v>870</v>
      </c>
      <c r="K3" s="18" t="n">
        <v>2016</v>
      </c>
      <c r="L3" s="18" t="s">
        <v>84</v>
      </c>
      <c r="M3" s="18" t="s">
        <v>85</v>
      </c>
      <c r="N3" s="18" t="s">
        <v>1479</v>
      </c>
      <c r="O3" s="18" t="s">
        <v>1480</v>
      </c>
      <c r="P3" s="18" t="n">
        <v>4</v>
      </c>
      <c r="Q3" s="18" t="n">
        <v>3.27</v>
      </c>
      <c r="R3" s="18" t="n">
        <v>3.67</v>
      </c>
      <c r="S3" s="18"/>
      <c r="T3" s="18"/>
      <c r="U3" s="18"/>
      <c r="V3" s="18" t="n">
        <v>2.87</v>
      </c>
      <c r="W3" s="18"/>
      <c r="X3" s="18"/>
      <c r="Y3" s="18"/>
      <c r="Z3" s="18"/>
      <c r="AA3" s="18"/>
      <c r="AB3" s="18"/>
      <c r="AC3" s="18"/>
      <c r="AD3" s="18"/>
      <c r="AE3" s="18" t="n">
        <v>1</v>
      </c>
      <c r="AF3" s="18" t="n">
        <v>3</v>
      </c>
      <c r="AG3" s="18" t="n">
        <f aca="false">IF(AND(N(AE3)&gt;0,N(AF3)&gt;0),SQRT(2*AE3/AF3),"")</f>
        <v>0.816496580927726</v>
      </c>
      <c r="AH3" s="18"/>
      <c r="AI3" s="18"/>
      <c r="AJ3" s="18"/>
      <c r="AK3" s="18" t="n">
        <v>734</v>
      </c>
      <c r="AL3" s="18" t="n">
        <v>30.933</v>
      </c>
      <c r="AM3" s="18" t="n">
        <v>5</v>
      </c>
      <c r="AN3" s="18"/>
      <c r="AO3" s="18"/>
      <c r="AP3" s="18" t="n">
        <v>7.4</v>
      </c>
      <c r="AQ3" s="18"/>
      <c r="AR3" s="18"/>
      <c r="AS3" s="18"/>
      <c r="AT3" s="18"/>
      <c r="AU3" s="18" t="s">
        <v>672</v>
      </c>
      <c r="AV3" s="18" t="s">
        <v>1473</v>
      </c>
      <c r="AW3" s="18" t="s">
        <v>1474</v>
      </c>
      <c r="AX3" s="18" t="s">
        <v>1475</v>
      </c>
      <c r="AY3" s="18" t="s">
        <v>1634</v>
      </c>
      <c r="AZ3" s="30" t="s">
        <v>2027</v>
      </c>
      <c r="BA3" s="18" t="s">
        <v>877</v>
      </c>
      <c r="BB3" s="18" t="s">
        <v>2028</v>
      </c>
    </row>
    <row r="4" customFormat="false" ht="15" hidden="false" customHeight="true" outlineLevel="0" collapsed="false">
      <c r="A4" s="5" t="n">
        <v>165</v>
      </c>
      <c r="B4" s="5" t="n">
        <v>165</v>
      </c>
      <c r="C4" s="5" t="s">
        <v>811</v>
      </c>
      <c r="D4" s="5" t="n">
        <v>2012</v>
      </c>
      <c r="E4" s="5" t="s">
        <v>812</v>
      </c>
      <c r="F4" s="5" t="s">
        <v>815</v>
      </c>
      <c r="G4" s="5" t="s">
        <v>816</v>
      </c>
      <c r="H4" s="5" t="n">
        <v>28.633</v>
      </c>
      <c r="I4" s="5" t="n">
        <v>77.183</v>
      </c>
      <c r="J4" s="5" t="s">
        <v>83</v>
      </c>
      <c r="K4" s="5" t="s">
        <v>2029</v>
      </c>
      <c r="L4" s="5" t="s">
        <v>821</v>
      </c>
      <c r="M4" s="5" t="s">
        <v>85</v>
      </c>
      <c r="N4" s="5" t="s">
        <v>86</v>
      </c>
      <c r="O4" s="5" t="s">
        <v>2030</v>
      </c>
      <c r="P4" s="5"/>
      <c r="Q4" s="5" t="n">
        <v>5.65</v>
      </c>
      <c r="R4" s="5"/>
      <c r="S4" s="5"/>
      <c r="T4" s="5"/>
      <c r="U4" s="5"/>
      <c r="V4" s="5" t="n">
        <v>6.28</v>
      </c>
      <c r="W4" s="5"/>
      <c r="X4" s="5"/>
      <c r="Y4" s="5"/>
      <c r="Z4" s="5"/>
      <c r="AA4" s="5"/>
      <c r="AB4" s="5"/>
      <c r="AC4" s="5"/>
      <c r="AD4" s="5"/>
      <c r="AE4" s="5" t="n">
        <v>1</v>
      </c>
      <c r="AF4" s="5" t="n">
        <v>3</v>
      </c>
      <c r="AG4" s="5" t="n">
        <f aca="false">IF(AND(N(AE4)&gt;0,N(AF4)&gt;0),SQRT(2*AE4/AF4),"")</f>
        <v>0.816496580927726</v>
      </c>
      <c r="AH4" s="5" t="n">
        <v>25.4</v>
      </c>
      <c r="AI4" s="5"/>
      <c r="AJ4" s="5"/>
      <c r="AK4" s="5"/>
      <c r="AL4" s="5" t="n">
        <v>28.633</v>
      </c>
      <c r="AM4" s="5" t="n">
        <v>1</v>
      </c>
      <c r="AN4" s="5"/>
      <c r="AO4" s="5"/>
      <c r="AP4" s="5" t="n">
        <v>8.16</v>
      </c>
      <c r="AQ4" s="5" t="n">
        <v>5.2</v>
      </c>
      <c r="AR4" s="5" t="n">
        <v>1.5</v>
      </c>
      <c r="AS4" s="5" t="n">
        <v>52.06</v>
      </c>
      <c r="AT4" s="5" t="n">
        <v>22.54</v>
      </c>
      <c r="AU4" s="5" t="s">
        <v>672</v>
      </c>
      <c r="AV4" s="5" t="s">
        <v>1482</v>
      </c>
      <c r="AW4" s="5" t="s">
        <v>2031</v>
      </c>
      <c r="AX4" s="5" t="s">
        <v>1484</v>
      </c>
      <c r="AY4" s="5" t="s">
        <v>1870</v>
      </c>
      <c r="AZ4" s="23" t="s">
        <v>2032</v>
      </c>
      <c r="BA4" s="5" t="s">
        <v>829</v>
      </c>
      <c r="BB4" s="5" t="s">
        <v>2033</v>
      </c>
    </row>
    <row r="5" customFormat="false" ht="15" hidden="false" customHeight="true" outlineLevel="0" collapsed="false">
      <c r="A5" s="5" t="n">
        <v>165</v>
      </c>
      <c r="B5" s="5" t="n">
        <v>165</v>
      </c>
      <c r="C5" s="5" t="s">
        <v>811</v>
      </c>
      <c r="D5" s="5" t="n">
        <v>2012</v>
      </c>
      <c r="E5" s="5" t="s">
        <v>812</v>
      </c>
      <c r="F5" s="5" t="s">
        <v>815</v>
      </c>
      <c r="G5" s="5" t="s">
        <v>816</v>
      </c>
      <c r="H5" s="5" t="n">
        <v>28.633</v>
      </c>
      <c r="I5" s="5" t="n">
        <v>77.183</v>
      </c>
      <c r="J5" s="5" t="s">
        <v>83</v>
      </c>
      <c r="K5" s="5" t="s">
        <v>2029</v>
      </c>
      <c r="L5" s="5" t="s">
        <v>821</v>
      </c>
      <c r="M5" s="5" t="s">
        <v>85</v>
      </c>
      <c r="N5" s="5" t="s">
        <v>86</v>
      </c>
      <c r="O5" s="5" t="s">
        <v>2030</v>
      </c>
      <c r="P5" s="5"/>
      <c r="Q5" s="5" t="n">
        <v>5.73</v>
      </c>
      <c r="R5" s="5"/>
      <c r="S5" s="5"/>
      <c r="T5" s="5"/>
      <c r="U5" s="5"/>
      <c r="V5" s="5" t="n">
        <v>6.45</v>
      </c>
      <c r="W5" s="5"/>
      <c r="X5" s="5"/>
      <c r="Y5" s="5"/>
      <c r="Z5" s="5"/>
      <c r="AA5" s="5"/>
      <c r="AB5" s="5"/>
      <c r="AC5" s="5"/>
      <c r="AD5" s="5"/>
      <c r="AE5" s="5" t="n">
        <v>1</v>
      </c>
      <c r="AF5" s="5" t="n">
        <v>3</v>
      </c>
      <c r="AG5" s="5" t="n">
        <f aca="false">IF(AND(N(AE5)&gt;0,N(AF5)&gt;0),SQRT(2*AE5/AF5),"")</f>
        <v>0.816496580927726</v>
      </c>
      <c r="AH5" s="5" t="n">
        <v>25.4</v>
      </c>
      <c r="AI5" s="5"/>
      <c r="AJ5" s="5"/>
      <c r="AK5" s="5"/>
      <c r="AL5" s="5" t="n">
        <v>28.633</v>
      </c>
      <c r="AM5" s="5" t="n">
        <v>1</v>
      </c>
      <c r="AN5" s="5"/>
      <c r="AO5" s="5"/>
      <c r="AP5" s="5" t="n">
        <v>8.16</v>
      </c>
      <c r="AQ5" s="5" t="n">
        <v>5.2</v>
      </c>
      <c r="AR5" s="5" t="n">
        <v>1.5</v>
      </c>
      <c r="AS5" s="5" t="n">
        <v>52.06</v>
      </c>
      <c r="AT5" s="5" t="n">
        <v>22.54</v>
      </c>
      <c r="AU5" s="5" t="s">
        <v>672</v>
      </c>
      <c r="AV5" s="5" t="s">
        <v>1488</v>
      </c>
      <c r="AW5" s="5" t="s">
        <v>2034</v>
      </c>
      <c r="AX5" s="5" t="s">
        <v>1484</v>
      </c>
      <c r="AY5" s="5" t="s">
        <v>1870</v>
      </c>
      <c r="AZ5" s="23" t="s">
        <v>2035</v>
      </c>
      <c r="BA5" s="5" t="s">
        <v>829</v>
      </c>
      <c r="BB5" s="5" t="s">
        <v>2033</v>
      </c>
    </row>
    <row r="6" customFormat="false" ht="15" hidden="false" customHeight="true" outlineLevel="0" collapsed="false">
      <c r="A6" s="5" t="n">
        <v>165</v>
      </c>
      <c r="B6" s="5" t="n">
        <v>165</v>
      </c>
      <c r="C6" s="5" t="s">
        <v>811</v>
      </c>
      <c r="D6" s="5" t="n">
        <v>2012</v>
      </c>
      <c r="E6" s="5" t="s">
        <v>812</v>
      </c>
      <c r="F6" s="5" t="s">
        <v>815</v>
      </c>
      <c r="G6" s="5" t="s">
        <v>816</v>
      </c>
      <c r="H6" s="5" t="n">
        <v>28.633</v>
      </c>
      <c r="I6" s="5" t="n">
        <v>77.183</v>
      </c>
      <c r="J6" s="5" t="s">
        <v>83</v>
      </c>
      <c r="K6" s="5" t="s">
        <v>1481</v>
      </c>
      <c r="L6" s="5" t="s">
        <v>821</v>
      </c>
      <c r="M6" s="5" t="s">
        <v>85</v>
      </c>
      <c r="N6" s="5" t="s">
        <v>86</v>
      </c>
      <c r="O6" s="5" t="s">
        <v>2030</v>
      </c>
      <c r="P6" s="5"/>
      <c r="Q6" s="5" t="n">
        <v>6.08</v>
      </c>
      <c r="R6" s="5"/>
      <c r="S6" s="5"/>
      <c r="T6" s="5"/>
      <c r="U6" s="5"/>
      <c r="V6" s="5" t="n">
        <v>6.75</v>
      </c>
      <c r="W6" s="5"/>
      <c r="X6" s="5"/>
      <c r="Y6" s="5"/>
      <c r="Z6" s="5"/>
      <c r="AA6" s="5"/>
      <c r="AB6" s="5"/>
      <c r="AC6" s="5"/>
      <c r="AD6" s="5"/>
      <c r="AE6" s="5" t="n">
        <v>1</v>
      </c>
      <c r="AF6" s="5" t="n">
        <v>3</v>
      </c>
      <c r="AG6" s="5" t="n">
        <f aca="false">IF(AND(N(AE6)&gt;0,N(AF6)&gt;0),SQRT(2*AE6/AF6),"")</f>
        <v>0.816496580927726</v>
      </c>
      <c r="AH6" s="5" t="n">
        <v>25.4</v>
      </c>
      <c r="AI6" s="5"/>
      <c r="AJ6" s="5"/>
      <c r="AK6" s="5"/>
      <c r="AL6" s="5" t="n">
        <v>28.633</v>
      </c>
      <c r="AM6" s="5" t="n">
        <v>2</v>
      </c>
      <c r="AN6" s="5"/>
      <c r="AO6" s="5"/>
      <c r="AP6" s="5" t="n">
        <v>8.16</v>
      </c>
      <c r="AQ6" s="5" t="n">
        <v>5.2</v>
      </c>
      <c r="AR6" s="5" t="n">
        <v>1.5</v>
      </c>
      <c r="AS6" s="5" t="n">
        <v>52.06</v>
      </c>
      <c r="AT6" s="5" t="n">
        <v>22.54</v>
      </c>
      <c r="AU6" s="5" t="s">
        <v>672</v>
      </c>
      <c r="AV6" s="5" t="s">
        <v>1482</v>
      </c>
      <c r="AW6" s="5" t="s">
        <v>2036</v>
      </c>
      <c r="AX6" s="5" t="s">
        <v>1484</v>
      </c>
      <c r="AY6" s="5" t="s">
        <v>1870</v>
      </c>
      <c r="AZ6" s="23" t="s">
        <v>2032</v>
      </c>
      <c r="BA6" s="5" t="s">
        <v>829</v>
      </c>
      <c r="BB6" s="5" t="s">
        <v>2033</v>
      </c>
    </row>
    <row r="7" customFormat="false" ht="15" hidden="false" customHeight="true" outlineLevel="0" collapsed="false">
      <c r="A7" s="5" t="n">
        <v>165</v>
      </c>
      <c r="B7" s="5" t="n">
        <v>165</v>
      </c>
      <c r="C7" s="5" t="s">
        <v>811</v>
      </c>
      <c r="D7" s="5" t="n">
        <v>2012</v>
      </c>
      <c r="E7" s="5" t="s">
        <v>812</v>
      </c>
      <c r="F7" s="5" t="s">
        <v>815</v>
      </c>
      <c r="G7" s="5" t="s">
        <v>816</v>
      </c>
      <c r="H7" s="5" t="n">
        <v>28.633</v>
      </c>
      <c r="I7" s="5" t="n">
        <v>77.183</v>
      </c>
      <c r="J7" s="5" t="s">
        <v>83</v>
      </c>
      <c r="K7" s="5" t="s">
        <v>1481</v>
      </c>
      <c r="L7" s="5" t="s">
        <v>821</v>
      </c>
      <c r="M7" s="5" t="s">
        <v>85</v>
      </c>
      <c r="N7" s="5" t="s">
        <v>86</v>
      </c>
      <c r="O7" s="5" t="s">
        <v>2030</v>
      </c>
      <c r="P7" s="5"/>
      <c r="Q7" s="5" t="n">
        <v>6.21</v>
      </c>
      <c r="R7" s="5"/>
      <c r="S7" s="5"/>
      <c r="T7" s="5"/>
      <c r="U7" s="5"/>
      <c r="V7" s="5" t="n">
        <v>6.93</v>
      </c>
      <c r="W7" s="5"/>
      <c r="X7" s="5"/>
      <c r="Y7" s="5"/>
      <c r="Z7" s="5"/>
      <c r="AA7" s="5"/>
      <c r="AB7" s="5"/>
      <c r="AC7" s="5"/>
      <c r="AD7" s="5"/>
      <c r="AE7" s="5" t="n">
        <v>1</v>
      </c>
      <c r="AF7" s="5" t="n">
        <v>3</v>
      </c>
      <c r="AG7" s="5" t="n">
        <f aca="false">IF(AND(N(AE7)&gt;0,N(AF7)&gt;0),SQRT(2*AE7/AF7),"")</f>
        <v>0.816496580927726</v>
      </c>
      <c r="AH7" s="5" t="n">
        <v>25.4</v>
      </c>
      <c r="AI7" s="5"/>
      <c r="AJ7" s="5"/>
      <c r="AK7" s="5"/>
      <c r="AL7" s="5" t="n">
        <v>28.633</v>
      </c>
      <c r="AM7" s="5" t="n">
        <v>2</v>
      </c>
      <c r="AN7" s="5"/>
      <c r="AO7" s="5"/>
      <c r="AP7" s="5" t="n">
        <v>8.16</v>
      </c>
      <c r="AQ7" s="5" t="n">
        <v>5.2</v>
      </c>
      <c r="AR7" s="5" t="n">
        <v>1.5</v>
      </c>
      <c r="AS7" s="5" t="n">
        <v>52.06</v>
      </c>
      <c r="AT7" s="5" t="n">
        <v>22.54</v>
      </c>
      <c r="AU7" s="5" t="s">
        <v>672</v>
      </c>
      <c r="AV7" s="5" t="s">
        <v>1488</v>
      </c>
      <c r="AW7" s="5" t="s">
        <v>2037</v>
      </c>
      <c r="AX7" s="5" t="s">
        <v>1484</v>
      </c>
      <c r="AY7" s="5" t="s">
        <v>1870</v>
      </c>
      <c r="AZ7" s="23" t="s">
        <v>2035</v>
      </c>
      <c r="BA7" s="5" t="s">
        <v>829</v>
      </c>
      <c r="BB7" s="5" t="s">
        <v>2033</v>
      </c>
    </row>
    <row r="8" customFormat="false" ht="15" hidden="false" customHeight="true" outlineLevel="0" collapsed="false">
      <c r="A8" s="5" t="n">
        <v>164</v>
      </c>
      <c r="B8" s="5" t="n">
        <v>164</v>
      </c>
      <c r="C8" s="5" t="s">
        <v>791</v>
      </c>
      <c r="D8" s="5" t="n">
        <v>2000</v>
      </c>
      <c r="E8" s="5" t="s">
        <v>792</v>
      </c>
      <c r="F8" s="5" t="s">
        <v>866</v>
      </c>
      <c r="G8" s="5" t="s">
        <v>2038</v>
      </c>
      <c r="H8" s="5" t="n">
        <v>30.933</v>
      </c>
      <c r="I8" s="5" t="n">
        <v>75.867</v>
      </c>
      <c r="J8" s="5" t="s">
        <v>870</v>
      </c>
      <c r="K8" s="5" t="s">
        <v>2039</v>
      </c>
      <c r="L8" s="5" t="s">
        <v>802</v>
      </c>
      <c r="M8" s="5" t="s">
        <v>85</v>
      </c>
      <c r="N8" s="5" t="s">
        <v>86</v>
      </c>
      <c r="O8" s="5" t="s">
        <v>1472</v>
      </c>
      <c r="P8" s="5"/>
      <c r="Q8" s="5" t="n">
        <v>3.18</v>
      </c>
      <c r="R8" s="5"/>
      <c r="S8" s="5"/>
      <c r="T8" s="5"/>
      <c r="U8" s="5"/>
      <c r="V8" s="5" t="n">
        <v>1.51</v>
      </c>
      <c r="W8" s="5"/>
      <c r="X8" s="5"/>
      <c r="Y8" s="5"/>
      <c r="Z8" s="5"/>
      <c r="AA8" s="5"/>
      <c r="AB8" s="5"/>
      <c r="AC8" s="5"/>
      <c r="AD8" s="5"/>
      <c r="AE8" s="5" t="n">
        <v>1</v>
      </c>
      <c r="AF8" s="5" t="n">
        <v>4</v>
      </c>
      <c r="AG8" s="5" t="n">
        <f aca="false">IF(AND(N(AE8)&gt;0,N(AF8)&gt;0),SQRT(2*AE8/AF8),"")</f>
        <v>0.707106781186548</v>
      </c>
      <c r="AH8" s="5"/>
      <c r="AI8" s="5"/>
      <c r="AJ8" s="5"/>
      <c r="AK8" s="5" t="n">
        <v>500</v>
      </c>
      <c r="AL8" s="5" t="n">
        <v>30.933</v>
      </c>
      <c r="AM8" s="5" t="n">
        <v>15</v>
      </c>
      <c r="AN8" s="5"/>
      <c r="AO8" s="5"/>
      <c r="AP8" s="5"/>
      <c r="AQ8" s="5" t="n">
        <v>3.1</v>
      </c>
      <c r="AR8" s="5"/>
      <c r="AS8" s="5"/>
      <c r="AT8" s="5"/>
      <c r="AU8" s="5" t="s">
        <v>672</v>
      </c>
      <c r="AV8" s="5" t="s">
        <v>2040</v>
      </c>
      <c r="AW8" s="5" t="s">
        <v>2041</v>
      </c>
      <c r="AX8" s="5" t="s">
        <v>2042</v>
      </c>
      <c r="AY8" s="5" t="s">
        <v>2043</v>
      </c>
      <c r="AZ8" s="23" t="s">
        <v>2044</v>
      </c>
      <c r="BA8" s="5" t="s">
        <v>807</v>
      </c>
      <c r="BB8" s="5" t="s">
        <v>2045</v>
      </c>
    </row>
    <row r="9" customFormat="false" ht="15" hidden="false" customHeight="true" outlineLevel="0" collapsed="false">
      <c r="A9" s="5" t="n">
        <v>164</v>
      </c>
      <c r="B9" s="5" t="n">
        <v>164</v>
      </c>
      <c r="C9" s="5" t="s">
        <v>791</v>
      </c>
      <c r="D9" s="5" t="n">
        <v>2000</v>
      </c>
      <c r="E9" s="5" t="s">
        <v>792</v>
      </c>
      <c r="F9" s="5" t="s">
        <v>1415</v>
      </c>
      <c r="G9" s="5" t="s">
        <v>2046</v>
      </c>
      <c r="H9" s="5" t="n">
        <v>29</v>
      </c>
      <c r="I9" s="5" t="n">
        <v>79.083</v>
      </c>
      <c r="J9" s="5" t="s">
        <v>83</v>
      </c>
      <c r="K9" s="5" t="s">
        <v>2039</v>
      </c>
      <c r="L9" s="5" t="s">
        <v>802</v>
      </c>
      <c r="M9" s="5" t="s">
        <v>85</v>
      </c>
      <c r="N9" s="5" t="s">
        <v>86</v>
      </c>
      <c r="O9" s="5" t="s">
        <v>1472</v>
      </c>
      <c r="P9" s="5"/>
      <c r="Q9" s="5" t="n">
        <v>5.78</v>
      </c>
      <c r="R9" s="5"/>
      <c r="S9" s="5"/>
      <c r="T9" s="5"/>
      <c r="U9" s="5"/>
      <c r="V9" s="5" t="n">
        <v>5.79</v>
      </c>
      <c r="W9" s="5"/>
      <c r="X9" s="5"/>
      <c r="Y9" s="5"/>
      <c r="Z9" s="5"/>
      <c r="AA9" s="5"/>
      <c r="AB9" s="5"/>
      <c r="AC9" s="5"/>
      <c r="AD9" s="5"/>
      <c r="AE9" s="5" t="n">
        <v>1</v>
      </c>
      <c r="AF9" s="5" t="n">
        <v>4</v>
      </c>
      <c r="AG9" s="5" t="n">
        <f aca="false">IF(AND(N(AE9)&gt;0,N(AF9)&gt;0),SQRT(2*AE9/AF9),"")</f>
        <v>0.707106781186548</v>
      </c>
      <c r="AH9" s="5"/>
      <c r="AI9" s="5"/>
      <c r="AJ9" s="5"/>
      <c r="AK9" s="5" t="n">
        <v>1350</v>
      </c>
      <c r="AL9" s="5" t="n">
        <v>29</v>
      </c>
      <c r="AM9" s="5" t="n">
        <v>15</v>
      </c>
      <c r="AN9" s="5"/>
      <c r="AO9" s="5"/>
      <c r="AP9" s="5"/>
      <c r="AQ9" s="5" t="n">
        <v>14.2</v>
      </c>
      <c r="AR9" s="5"/>
      <c r="AS9" s="5"/>
      <c r="AT9" s="5"/>
      <c r="AU9" s="5" t="s">
        <v>672</v>
      </c>
      <c r="AV9" s="5" t="s">
        <v>2040</v>
      </c>
      <c r="AW9" s="5" t="s">
        <v>2041</v>
      </c>
      <c r="AX9" s="5" t="s">
        <v>2047</v>
      </c>
      <c r="AY9" s="5" t="s">
        <v>2043</v>
      </c>
      <c r="AZ9" s="23" t="s">
        <v>2048</v>
      </c>
      <c r="BA9" s="5" t="s">
        <v>807</v>
      </c>
      <c r="BB9" s="5" t="s">
        <v>2045</v>
      </c>
    </row>
    <row r="10" customFormat="false" ht="15" hidden="false" customHeight="true" outlineLevel="0" collapsed="false">
      <c r="A10" s="5" t="n">
        <v>164</v>
      </c>
      <c r="B10" s="5" t="n">
        <v>164</v>
      </c>
      <c r="C10" s="5" t="s">
        <v>791</v>
      </c>
      <c r="D10" s="5" t="n">
        <v>2000</v>
      </c>
      <c r="E10" s="5" t="s">
        <v>792</v>
      </c>
      <c r="F10" s="5" t="s">
        <v>836</v>
      </c>
      <c r="G10" s="5" t="s">
        <v>2049</v>
      </c>
      <c r="H10" s="5" t="n">
        <v>26.967</v>
      </c>
      <c r="I10" s="5" t="n">
        <v>80.567</v>
      </c>
      <c r="J10" s="5" t="s">
        <v>83</v>
      </c>
      <c r="K10" s="5" t="s">
        <v>2039</v>
      </c>
      <c r="L10" s="5" t="s">
        <v>802</v>
      </c>
      <c r="M10" s="5"/>
      <c r="N10" s="5" t="s">
        <v>86</v>
      </c>
      <c r="O10" s="5" t="s">
        <v>1472</v>
      </c>
      <c r="P10" s="5"/>
      <c r="Q10" s="5" t="n">
        <v>4.62</v>
      </c>
      <c r="R10" s="5"/>
      <c r="S10" s="5"/>
      <c r="T10" s="5"/>
      <c r="U10" s="5"/>
      <c r="V10" s="5" t="n">
        <v>3.92</v>
      </c>
      <c r="W10" s="5"/>
      <c r="X10" s="5"/>
      <c r="Y10" s="5"/>
      <c r="Z10" s="5"/>
      <c r="AA10" s="5"/>
      <c r="AB10" s="5"/>
      <c r="AC10" s="5"/>
      <c r="AD10" s="5"/>
      <c r="AE10" s="5" t="n">
        <v>1</v>
      </c>
      <c r="AF10" s="5" t="n">
        <v>4</v>
      </c>
      <c r="AG10" s="5" t="n">
        <f aca="false">IF(AND(N(AE10)&gt;0,N(AF10)&gt;0),SQRT(2*AE10/AF10),"")</f>
        <v>0.707106781186548</v>
      </c>
      <c r="AH10" s="5"/>
      <c r="AI10" s="5"/>
      <c r="AJ10" s="5"/>
      <c r="AK10" s="5" t="n">
        <v>818</v>
      </c>
      <c r="AL10" s="5" t="n">
        <v>26.967</v>
      </c>
      <c r="AM10" s="5" t="n">
        <v>13</v>
      </c>
      <c r="AN10" s="5"/>
      <c r="AO10" s="5"/>
      <c r="AP10" s="5" t="n">
        <v>8</v>
      </c>
      <c r="AQ10" s="5" t="n">
        <v>2.9</v>
      </c>
      <c r="AR10" s="5"/>
      <c r="AS10" s="5"/>
      <c r="AT10" s="5"/>
      <c r="AU10" s="5" t="s">
        <v>672</v>
      </c>
      <c r="AV10" s="5" t="s">
        <v>2040</v>
      </c>
      <c r="AW10" s="5" t="s">
        <v>2041</v>
      </c>
      <c r="AX10" s="5" t="s">
        <v>2050</v>
      </c>
      <c r="AY10" s="5" t="s">
        <v>2043</v>
      </c>
      <c r="AZ10" s="23" t="s">
        <v>2051</v>
      </c>
      <c r="BA10" s="5" t="s">
        <v>807</v>
      </c>
      <c r="BB10" s="5" t="s">
        <v>2045</v>
      </c>
    </row>
    <row r="11" customFormat="false" ht="15" hidden="false" customHeight="true" outlineLevel="0" collapsed="false">
      <c r="A11" s="5" t="n">
        <v>164</v>
      </c>
      <c r="B11" s="5" t="n">
        <v>164</v>
      </c>
      <c r="C11" s="5" t="s">
        <v>791</v>
      </c>
      <c r="D11" s="5" t="n">
        <v>2000</v>
      </c>
      <c r="E11" s="5" t="s">
        <v>792</v>
      </c>
      <c r="F11" s="5" t="s">
        <v>836</v>
      </c>
      <c r="G11" s="5" t="s">
        <v>2052</v>
      </c>
      <c r="H11" s="5" t="n">
        <v>26.067</v>
      </c>
      <c r="I11" s="5" t="n">
        <v>82.133</v>
      </c>
      <c r="J11" s="5" t="s">
        <v>83</v>
      </c>
      <c r="K11" s="5" t="s">
        <v>2039</v>
      </c>
      <c r="L11" s="5" t="s">
        <v>802</v>
      </c>
      <c r="M11" s="5" t="s">
        <v>85</v>
      </c>
      <c r="N11" s="5" t="s">
        <v>86</v>
      </c>
      <c r="O11" s="5" t="s">
        <v>1472</v>
      </c>
      <c r="P11" s="5"/>
      <c r="Q11" s="5" t="n">
        <v>4.02</v>
      </c>
      <c r="R11" s="5"/>
      <c r="S11" s="5"/>
      <c r="T11" s="5"/>
      <c r="U11" s="5"/>
      <c r="V11" s="5" t="n">
        <v>3.43</v>
      </c>
      <c r="W11" s="5"/>
      <c r="X11" s="5"/>
      <c r="Y11" s="5"/>
      <c r="Z11" s="5"/>
      <c r="AA11" s="5"/>
      <c r="AB11" s="5"/>
      <c r="AC11" s="5"/>
      <c r="AD11" s="5"/>
      <c r="AE11" s="5" t="n">
        <v>1</v>
      </c>
      <c r="AF11" s="5" t="n">
        <v>4</v>
      </c>
      <c r="AG11" s="5" t="n">
        <f aca="false">IF(AND(N(AE11)&gt;0,N(AF11)&gt;0),SQRT(2*AE11/AF11),"")</f>
        <v>0.707106781186548</v>
      </c>
      <c r="AH11" s="5"/>
      <c r="AI11" s="5"/>
      <c r="AJ11" s="5"/>
      <c r="AK11" s="5" t="n">
        <v>1100</v>
      </c>
      <c r="AL11" s="5" t="n">
        <v>26.067</v>
      </c>
      <c r="AM11" s="5" t="n">
        <v>14</v>
      </c>
      <c r="AN11" s="5"/>
      <c r="AO11" s="5"/>
      <c r="AP11" s="5"/>
      <c r="AQ11" s="5" t="n">
        <v>3.7</v>
      </c>
      <c r="AR11" s="5"/>
      <c r="AS11" s="5"/>
      <c r="AT11" s="5"/>
      <c r="AU11" s="5" t="s">
        <v>672</v>
      </c>
      <c r="AV11" s="5" t="s">
        <v>2040</v>
      </c>
      <c r="AW11" s="5" t="s">
        <v>2041</v>
      </c>
      <c r="AX11" s="5" t="s">
        <v>2053</v>
      </c>
      <c r="AY11" s="5" t="s">
        <v>2043</v>
      </c>
      <c r="AZ11" s="23" t="s">
        <v>2054</v>
      </c>
      <c r="BA11" s="5" t="s">
        <v>807</v>
      </c>
      <c r="BB11" s="5" t="s">
        <v>2045</v>
      </c>
    </row>
    <row r="12" customFormat="false" ht="15" hidden="false" customHeight="true" outlineLevel="0" collapsed="false">
      <c r="A12" s="5" t="n">
        <v>164</v>
      </c>
      <c r="B12" s="5" t="n">
        <v>164</v>
      </c>
      <c r="C12" s="5" t="s">
        <v>791</v>
      </c>
      <c r="D12" s="5" t="n">
        <v>2000</v>
      </c>
      <c r="E12" s="5" t="s">
        <v>792</v>
      </c>
      <c r="F12" s="5" t="s">
        <v>1427</v>
      </c>
      <c r="G12" s="5" t="s">
        <v>2055</v>
      </c>
      <c r="H12" s="5" t="n">
        <v>25.233</v>
      </c>
      <c r="I12" s="5" t="n">
        <v>87.067</v>
      </c>
      <c r="J12" s="5" t="s">
        <v>83</v>
      </c>
      <c r="K12" s="5" t="s">
        <v>2039</v>
      </c>
      <c r="L12" s="5" t="s">
        <v>802</v>
      </c>
      <c r="M12" s="5" t="s">
        <v>2056</v>
      </c>
      <c r="N12" s="5" t="s">
        <v>86</v>
      </c>
      <c r="O12" s="5" t="s">
        <v>1472</v>
      </c>
      <c r="P12" s="5"/>
      <c r="Q12" s="5" t="n">
        <v>4.93</v>
      </c>
      <c r="R12" s="5"/>
      <c r="S12" s="5"/>
      <c r="T12" s="5"/>
      <c r="U12" s="5"/>
      <c r="V12" s="5" t="n">
        <v>5.52</v>
      </c>
      <c r="W12" s="5"/>
      <c r="X12" s="5"/>
      <c r="Y12" s="5"/>
      <c r="Z12" s="5"/>
      <c r="AA12" s="5"/>
      <c r="AB12" s="5"/>
      <c r="AC12" s="5"/>
      <c r="AD12" s="5"/>
      <c r="AE12" s="5" t="n">
        <v>1</v>
      </c>
      <c r="AF12" s="5" t="n">
        <v>4</v>
      </c>
      <c r="AG12" s="5" t="n">
        <f aca="false">IF(AND(N(AE12)&gt;0,N(AF12)&gt;0),SQRT(2*AE12/AF12),"")</f>
        <v>0.707106781186548</v>
      </c>
      <c r="AH12" s="5"/>
      <c r="AI12" s="5"/>
      <c r="AJ12" s="5"/>
      <c r="AK12" s="5" t="n">
        <v>1358</v>
      </c>
      <c r="AL12" s="5" t="n">
        <v>25.233</v>
      </c>
      <c r="AM12" s="5" t="n">
        <v>12</v>
      </c>
      <c r="AN12" s="5"/>
      <c r="AO12" s="5"/>
      <c r="AP12" s="5"/>
      <c r="AQ12" s="5" t="n">
        <v>4.6</v>
      </c>
      <c r="AR12" s="5"/>
      <c r="AS12" s="5"/>
      <c r="AT12" s="5"/>
      <c r="AU12" s="5" t="s">
        <v>672</v>
      </c>
      <c r="AV12" s="5" t="s">
        <v>2040</v>
      </c>
      <c r="AW12" s="5" t="s">
        <v>2041</v>
      </c>
      <c r="AX12" s="5" t="s">
        <v>2057</v>
      </c>
      <c r="AY12" s="5" t="s">
        <v>2043</v>
      </c>
      <c r="AZ12" s="23" t="s">
        <v>2058</v>
      </c>
      <c r="BA12" s="5" t="s">
        <v>807</v>
      </c>
      <c r="BB12" s="5" t="s">
        <v>2045</v>
      </c>
    </row>
    <row r="13" customFormat="false" ht="15" hidden="false" customHeight="true" outlineLevel="0" collapsed="false">
      <c r="A13" s="5" t="n">
        <v>164</v>
      </c>
      <c r="B13" s="5" t="n">
        <v>164</v>
      </c>
      <c r="C13" s="5" t="s">
        <v>791</v>
      </c>
      <c r="D13" s="5" t="n">
        <v>2000</v>
      </c>
      <c r="E13" s="5" t="s">
        <v>792</v>
      </c>
      <c r="F13" s="5" t="s">
        <v>1431</v>
      </c>
      <c r="G13" s="5" t="s">
        <v>2059</v>
      </c>
      <c r="H13" s="5" t="n">
        <v>23</v>
      </c>
      <c r="I13" s="5" t="n">
        <v>89</v>
      </c>
      <c r="J13" s="5" t="s">
        <v>83</v>
      </c>
      <c r="K13" s="5" t="s">
        <v>2060</v>
      </c>
      <c r="L13" s="5" t="s">
        <v>802</v>
      </c>
      <c r="M13" s="5"/>
      <c r="N13" s="5" t="s">
        <v>86</v>
      </c>
      <c r="O13" s="5" t="s">
        <v>1472</v>
      </c>
      <c r="P13" s="5"/>
      <c r="Q13" s="5" t="n">
        <v>6.91</v>
      </c>
      <c r="R13" s="5"/>
      <c r="S13" s="5"/>
      <c r="T13" s="5"/>
      <c r="U13" s="5"/>
      <c r="V13" s="5" t="n">
        <v>7.61</v>
      </c>
      <c r="W13" s="5"/>
      <c r="X13" s="5"/>
      <c r="Y13" s="5"/>
      <c r="Z13" s="5"/>
      <c r="AA13" s="5"/>
      <c r="AB13" s="5"/>
      <c r="AC13" s="5"/>
      <c r="AD13" s="5"/>
      <c r="AE13" s="5" t="n">
        <v>1</v>
      </c>
      <c r="AF13" s="5" t="n">
        <v>4</v>
      </c>
      <c r="AG13" s="5" t="n">
        <f aca="false">IF(AND(N(AE13)&gt;0,N(AF13)&gt;0),SQRT(2*AE13/AF13),"")</f>
        <v>0.707106781186548</v>
      </c>
      <c r="AH13" s="5"/>
      <c r="AI13" s="5"/>
      <c r="AJ13" s="5"/>
      <c r="AK13" s="5"/>
      <c r="AL13" s="5" t="n">
        <v>23</v>
      </c>
      <c r="AM13" s="5" t="n">
        <v>13</v>
      </c>
      <c r="AN13" s="5"/>
      <c r="AO13" s="5"/>
      <c r="AP13" s="5"/>
      <c r="AQ13" s="5" t="n">
        <v>9.2</v>
      </c>
      <c r="AR13" s="5"/>
      <c r="AS13" s="5"/>
      <c r="AT13" s="5"/>
      <c r="AU13" s="5" t="s">
        <v>672</v>
      </c>
      <c r="AV13" s="5" t="s">
        <v>2040</v>
      </c>
      <c r="AW13" s="5" t="s">
        <v>2061</v>
      </c>
      <c r="AX13" s="5" t="s">
        <v>2062</v>
      </c>
      <c r="AY13" s="5" t="s">
        <v>2043</v>
      </c>
      <c r="AZ13" s="23" t="s">
        <v>2063</v>
      </c>
      <c r="BA13" s="5" t="s">
        <v>807</v>
      </c>
      <c r="BB13" s="5" t="s">
        <v>2045</v>
      </c>
    </row>
    <row r="14" customFormat="false" ht="15" hidden="false" customHeight="true" outlineLevel="0" collapsed="false">
      <c r="A14" s="5" t="n">
        <v>164</v>
      </c>
      <c r="B14" s="5" t="n">
        <v>164</v>
      </c>
      <c r="C14" s="5" t="s">
        <v>791</v>
      </c>
      <c r="D14" s="5" t="n">
        <v>2000</v>
      </c>
      <c r="E14" s="5" t="s">
        <v>792</v>
      </c>
      <c r="F14" s="5" t="s">
        <v>1436</v>
      </c>
      <c r="G14" s="5" t="s">
        <v>2064</v>
      </c>
      <c r="H14" s="5" t="n">
        <v>23.167</v>
      </c>
      <c r="I14" s="5" t="n">
        <v>79.95</v>
      </c>
      <c r="J14" s="5" t="s">
        <v>83</v>
      </c>
      <c r="K14" s="5" t="s">
        <v>2039</v>
      </c>
      <c r="L14" s="5" t="s">
        <v>802</v>
      </c>
      <c r="M14" s="5" t="s">
        <v>2056</v>
      </c>
      <c r="N14" s="5" t="s">
        <v>86</v>
      </c>
      <c r="O14" s="5" t="s">
        <v>1472</v>
      </c>
      <c r="P14" s="5"/>
      <c r="Q14" s="5" t="n">
        <v>7.01</v>
      </c>
      <c r="R14" s="5"/>
      <c r="S14" s="5"/>
      <c r="T14" s="5"/>
      <c r="U14" s="5"/>
      <c r="V14" s="5" t="n">
        <v>7.61</v>
      </c>
      <c r="W14" s="5"/>
      <c r="X14" s="5"/>
      <c r="Y14" s="5"/>
      <c r="Z14" s="5"/>
      <c r="AA14" s="5"/>
      <c r="AB14" s="5"/>
      <c r="AC14" s="5"/>
      <c r="AD14" s="5"/>
      <c r="AE14" s="5" t="n">
        <v>1</v>
      </c>
      <c r="AF14" s="5" t="n">
        <v>4</v>
      </c>
      <c r="AG14" s="5" t="n">
        <f aca="false">IF(AND(N(AE14)&gt;0,N(AF14)&gt;0),SQRT(2*AE14/AF14),"")</f>
        <v>0.707106781186548</v>
      </c>
      <c r="AH14" s="5"/>
      <c r="AI14" s="5"/>
      <c r="AJ14" s="5"/>
      <c r="AK14" s="5" t="n">
        <v>850</v>
      </c>
      <c r="AL14" s="5" t="n">
        <v>23.167</v>
      </c>
      <c r="AM14" s="5" t="n">
        <v>12</v>
      </c>
      <c r="AN14" s="5"/>
      <c r="AO14" s="5"/>
      <c r="AP14" s="5"/>
      <c r="AQ14" s="5" t="n">
        <v>6.9</v>
      </c>
      <c r="AR14" s="5"/>
      <c r="AS14" s="5"/>
      <c r="AT14" s="5"/>
      <c r="AU14" s="5" t="s">
        <v>672</v>
      </c>
      <c r="AV14" s="5" t="s">
        <v>2040</v>
      </c>
      <c r="AW14" s="5" t="s">
        <v>2041</v>
      </c>
      <c r="AX14" s="5" t="s">
        <v>2065</v>
      </c>
      <c r="AY14" s="5" t="s">
        <v>2043</v>
      </c>
      <c r="AZ14" s="23" t="s">
        <v>2066</v>
      </c>
      <c r="BA14" s="5" t="s">
        <v>807</v>
      </c>
      <c r="BB14" s="5" t="s">
        <v>2045</v>
      </c>
    </row>
    <row r="15" customFormat="false" ht="15" hidden="false" customHeight="true" outlineLevel="0" collapsed="false">
      <c r="A15" s="5" t="s">
        <v>931</v>
      </c>
      <c r="B15" s="5" t="s">
        <v>931</v>
      </c>
      <c r="C15" s="5" t="s">
        <v>932</v>
      </c>
      <c r="D15" s="5" t="n">
        <v>2023</v>
      </c>
      <c r="E15" s="5" t="s">
        <v>933</v>
      </c>
      <c r="F15" s="5" t="s">
        <v>936</v>
      </c>
      <c r="G15" s="5" t="s">
        <v>937</v>
      </c>
      <c r="H15" s="5" t="n">
        <v>35.27</v>
      </c>
      <c r="I15" s="5" t="n">
        <v>119.38</v>
      </c>
      <c r="J15" s="5" t="s">
        <v>870</v>
      </c>
      <c r="K15" s="5" t="n">
        <v>2020</v>
      </c>
      <c r="L15" s="5" t="s">
        <v>821</v>
      </c>
      <c r="M15" s="5"/>
      <c r="N15" s="5" t="s">
        <v>86</v>
      </c>
      <c r="O15" s="5" t="s">
        <v>1491</v>
      </c>
      <c r="P15" s="5" t="n">
        <v>6.98</v>
      </c>
      <c r="Q15" s="5"/>
      <c r="R15" s="5"/>
      <c r="S15" s="5"/>
      <c r="T15" s="5"/>
      <c r="U15" s="5"/>
      <c r="V15" s="5"/>
      <c r="W15" s="5"/>
      <c r="X15" s="5" t="n">
        <v>6.32</v>
      </c>
      <c r="Y15" s="5"/>
      <c r="Z15" s="5"/>
      <c r="AA15" s="5"/>
      <c r="AB15" s="5"/>
      <c r="AC15" s="5"/>
      <c r="AD15" s="5"/>
      <c r="AE15" s="5" t="n">
        <v>1</v>
      </c>
      <c r="AF15" s="5" t="n">
        <v>3</v>
      </c>
      <c r="AG15" s="5" t="n">
        <f aca="false">IF(AND(N(AE15)&gt;0,N(AF15)&gt;0),SQRT(2*AE15/AF15),"")</f>
        <v>0.816496580927726</v>
      </c>
      <c r="AH15" s="5"/>
      <c r="AI15" s="5"/>
      <c r="AJ15" s="5"/>
      <c r="AK15" s="5" t="n">
        <v>916</v>
      </c>
      <c r="AL15" s="5" t="n">
        <v>35.27</v>
      </c>
      <c r="AM15" s="5" t="n">
        <v>3</v>
      </c>
      <c r="AN15" s="5" t="n">
        <v>12.6</v>
      </c>
      <c r="AO15" s="5"/>
      <c r="AP15" s="5" t="n">
        <v>6.8</v>
      </c>
      <c r="AQ15" s="5" t="n">
        <v>5.75</v>
      </c>
      <c r="AR15" s="5" t="n">
        <v>1.423</v>
      </c>
      <c r="AS15" s="5"/>
      <c r="AT15" s="5"/>
      <c r="AU15" s="5" t="s">
        <v>672</v>
      </c>
      <c r="AV15" s="5" t="s">
        <v>1492</v>
      </c>
      <c r="AW15" s="5" t="s">
        <v>1633</v>
      </c>
      <c r="AX15" s="5" t="s">
        <v>1494</v>
      </c>
      <c r="AY15" s="5" t="s">
        <v>91</v>
      </c>
      <c r="AZ15" s="23" t="s">
        <v>2067</v>
      </c>
      <c r="BA15" s="5" t="s">
        <v>947</v>
      </c>
      <c r="BB15" s="5" t="s">
        <v>2068</v>
      </c>
    </row>
    <row r="16" customFormat="false" ht="15" hidden="false" customHeight="true" outlineLevel="0" collapsed="false">
      <c r="A16" s="5" t="s">
        <v>931</v>
      </c>
      <c r="B16" s="5" t="s">
        <v>931</v>
      </c>
      <c r="C16" s="5" t="s">
        <v>932</v>
      </c>
      <c r="D16" s="5" t="n">
        <v>2023</v>
      </c>
      <c r="E16" s="5" t="s">
        <v>933</v>
      </c>
      <c r="F16" s="5" t="s">
        <v>936</v>
      </c>
      <c r="G16" s="5" t="s">
        <v>937</v>
      </c>
      <c r="H16" s="5" t="n">
        <v>35.27</v>
      </c>
      <c r="I16" s="5" t="n">
        <v>119.38</v>
      </c>
      <c r="J16" s="5" t="s">
        <v>870</v>
      </c>
      <c r="K16" s="5" t="n">
        <v>2020</v>
      </c>
      <c r="L16" s="5" t="s">
        <v>821</v>
      </c>
      <c r="M16" s="5"/>
      <c r="N16" s="5" t="s">
        <v>1479</v>
      </c>
      <c r="O16" s="5" t="s">
        <v>1500</v>
      </c>
      <c r="P16" s="5" t="n">
        <v>6.25</v>
      </c>
      <c r="Q16" s="5"/>
      <c r="R16" s="5"/>
      <c r="S16" s="5"/>
      <c r="T16" s="5"/>
      <c r="U16" s="5"/>
      <c r="V16" s="5"/>
      <c r="W16" s="5"/>
      <c r="X16" s="5" t="n">
        <v>6.92</v>
      </c>
      <c r="Y16" s="5"/>
      <c r="Z16" s="5"/>
      <c r="AA16" s="5"/>
      <c r="AB16" s="5"/>
      <c r="AC16" s="5"/>
      <c r="AD16" s="5"/>
      <c r="AE16" s="5" t="n">
        <v>2</v>
      </c>
      <c r="AF16" s="5" t="n">
        <v>3</v>
      </c>
      <c r="AG16" s="5" t="n">
        <f aca="false">IF(AND(N(AE16)&gt;0,N(AF16)&gt;0),SQRT(2*AE16/AF16),"")</f>
        <v>1.15470053837925</v>
      </c>
      <c r="AH16" s="5"/>
      <c r="AI16" s="5"/>
      <c r="AJ16" s="5"/>
      <c r="AK16" s="5" t="n">
        <v>916</v>
      </c>
      <c r="AL16" s="5" t="n">
        <v>35.27</v>
      </c>
      <c r="AM16" s="5" t="n">
        <v>3</v>
      </c>
      <c r="AN16" s="5" t="n">
        <v>12.6</v>
      </c>
      <c r="AO16" s="5"/>
      <c r="AP16" s="5" t="n">
        <v>6.8</v>
      </c>
      <c r="AQ16" s="5" t="n">
        <v>5.75</v>
      </c>
      <c r="AR16" s="5" t="n">
        <v>1.423</v>
      </c>
      <c r="AS16" s="5"/>
      <c r="AT16" s="5"/>
      <c r="AU16" s="5" t="s">
        <v>672</v>
      </c>
      <c r="AV16" s="5" t="s">
        <v>1492</v>
      </c>
      <c r="AW16" s="5" t="s">
        <v>1633</v>
      </c>
      <c r="AX16" s="5" t="s">
        <v>1494</v>
      </c>
      <c r="AY16" s="5" t="s">
        <v>91</v>
      </c>
      <c r="AZ16" s="23" t="s">
        <v>2067</v>
      </c>
      <c r="BA16" s="5" t="s">
        <v>947</v>
      </c>
      <c r="BB16" s="5" t="s">
        <v>2068</v>
      </c>
    </row>
    <row r="17" customFormat="false" ht="15" hidden="false" customHeight="true" outlineLevel="0" collapsed="false">
      <c r="A17" s="5" t="s">
        <v>931</v>
      </c>
      <c r="B17" s="5" t="s">
        <v>931</v>
      </c>
      <c r="C17" s="5" t="s">
        <v>932</v>
      </c>
      <c r="D17" s="5" t="n">
        <v>2023</v>
      </c>
      <c r="E17" s="5" t="s">
        <v>933</v>
      </c>
      <c r="F17" s="5" t="s">
        <v>936</v>
      </c>
      <c r="G17" s="5" t="s">
        <v>937</v>
      </c>
      <c r="H17" s="5" t="n">
        <v>35.27</v>
      </c>
      <c r="I17" s="5" t="n">
        <v>119.38</v>
      </c>
      <c r="J17" s="5" t="s">
        <v>870</v>
      </c>
      <c r="K17" s="5" t="n">
        <v>2020</v>
      </c>
      <c r="L17" s="5" t="s">
        <v>821</v>
      </c>
      <c r="M17" s="5"/>
      <c r="N17" s="5" t="s">
        <v>1479</v>
      </c>
      <c r="O17" s="5" t="s">
        <v>1502</v>
      </c>
      <c r="P17" s="5" t="n">
        <v>5.92</v>
      </c>
      <c r="Q17" s="5"/>
      <c r="R17" s="5"/>
      <c r="S17" s="5"/>
      <c r="T17" s="5"/>
      <c r="U17" s="5"/>
      <c r="V17" s="5"/>
      <c r="W17" s="5"/>
      <c r="X17" s="5" t="n">
        <v>5.65</v>
      </c>
      <c r="Y17" s="5"/>
      <c r="Z17" s="5"/>
      <c r="AA17" s="5"/>
      <c r="AB17" s="5"/>
      <c r="AC17" s="5"/>
      <c r="AD17" s="5"/>
      <c r="AE17" s="5" t="n">
        <v>2</v>
      </c>
      <c r="AF17" s="5" t="n">
        <v>3</v>
      </c>
      <c r="AG17" s="5" t="n">
        <f aca="false">IF(AND(N(AE17)&gt;0,N(AF17)&gt;0),SQRT(2*AE17/AF17),"")</f>
        <v>1.15470053837925</v>
      </c>
      <c r="AH17" s="5"/>
      <c r="AI17" s="5"/>
      <c r="AJ17" s="5"/>
      <c r="AK17" s="5" t="n">
        <v>916</v>
      </c>
      <c r="AL17" s="5" t="n">
        <v>35.27</v>
      </c>
      <c r="AM17" s="5" t="n">
        <v>3</v>
      </c>
      <c r="AN17" s="5" t="n">
        <v>12.6</v>
      </c>
      <c r="AO17" s="5"/>
      <c r="AP17" s="5" t="n">
        <v>6.8</v>
      </c>
      <c r="AQ17" s="5" t="n">
        <v>5.75</v>
      </c>
      <c r="AR17" s="5" t="n">
        <v>1.423</v>
      </c>
      <c r="AS17" s="5"/>
      <c r="AT17" s="5"/>
      <c r="AU17" s="5" t="s">
        <v>672</v>
      </c>
      <c r="AV17" s="5" t="s">
        <v>1492</v>
      </c>
      <c r="AW17" s="5" t="s">
        <v>1633</v>
      </c>
      <c r="AX17" s="5" t="s">
        <v>1494</v>
      </c>
      <c r="AY17" s="5" t="s">
        <v>91</v>
      </c>
      <c r="AZ17" s="23" t="s">
        <v>2067</v>
      </c>
      <c r="BA17" s="5" t="s">
        <v>947</v>
      </c>
      <c r="BB17" s="5" t="s">
        <v>2068</v>
      </c>
    </row>
    <row r="18" customFormat="false" ht="15" hidden="false" customHeight="true" outlineLevel="0" collapsed="false">
      <c r="A18" s="18" t="s">
        <v>887</v>
      </c>
      <c r="B18" s="18" t="s">
        <v>887</v>
      </c>
      <c r="C18" s="18" t="s">
        <v>888</v>
      </c>
      <c r="D18" s="18" t="n">
        <v>2019</v>
      </c>
      <c r="E18" s="18" t="s">
        <v>833</v>
      </c>
      <c r="F18" s="18" t="s">
        <v>891</v>
      </c>
      <c r="G18" s="18" t="s">
        <v>892</v>
      </c>
      <c r="H18" s="18" t="n">
        <v>29.7</v>
      </c>
      <c r="I18" s="18" t="n">
        <v>76.96</v>
      </c>
      <c r="J18" s="18" t="s">
        <v>83</v>
      </c>
      <c r="K18" s="18" t="n">
        <v>2013</v>
      </c>
      <c r="L18" s="18" t="s">
        <v>84</v>
      </c>
      <c r="M18" s="18" t="s">
        <v>85</v>
      </c>
      <c r="N18" s="18" t="s">
        <v>86</v>
      </c>
      <c r="O18" s="18" t="s">
        <v>1472</v>
      </c>
      <c r="P18" s="18" t="n">
        <v>7.5</v>
      </c>
      <c r="Q18" s="18" t="n">
        <v>4.5</v>
      </c>
      <c r="R18" s="18"/>
      <c r="S18" s="18"/>
      <c r="T18" s="18"/>
      <c r="U18" s="18"/>
      <c r="V18" s="18"/>
      <c r="W18" s="18"/>
      <c r="X18" s="18" t="n">
        <v>5.5</v>
      </c>
      <c r="Y18" s="18"/>
      <c r="Z18" s="18"/>
      <c r="AA18" s="18"/>
      <c r="AB18" s="18"/>
      <c r="AC18" s="18"/>
      <c r="AD18" s="18"/>
      <c r="AE18" s="18" t="n">
        <v>1</v>
      </c>
      <c r="AF18" s="18" t="n">
        <v>3</v>
      </c>
      <c r="AG18" s="18" t="n">
        <f aca="false">IF(AND(N(AE18)&gt;0,N(AF18)&gt;0),SQRT(2*AE18/AF18),"")</f>
        <v>0.816496580927726</v>
      </c>
      <c r="AH18" s="18"/>
      <c r="AI18" s="18" t="n">
        <v>2</v>
      </c>
      <c r="AJ18" s="18" t="n">
        <v>42.5</v>
      </c>
      <c r="AK18" s="18" t="n">
        <v>700</v>
      </c>
      <c r="AL18" s="18" t="n">
        <v>29.7</v>
      </c>
      <c r="AM18" s="18" t="n">
        <v>4</v>
      </c>
      <c r="AN18" s="18"/>
      <c r="AO18" s="18"/>
      <c r="AP18" s="18"/>
      <c r="AQ18" s="18"/>
      <c r="AR18" s="18"/>
      <c r="AS18" s="18"/>
      <c r="AT18" s="18"/>
      <c r="AU18" s="18" t="s">
        <v>2069</v>
      </c>
      <c r="AV18" s="18" t="s">
        <v>1639</v>
      </c>
      <c r="AW18" s="18" t="s">
        <v>1640</v>
      </c>
      <c r="AX18" s="18" t="s">
        <v>1641</v>
      </c>
      <c r="AY18" s="18" t="s">
        <v>1634</v>
      </c>
      <c r="AZ18" s="30" t="s">
        <v>2070</v>
      </c>
      <c r="BA18" s="18" t="s">
        <v>901</v>
      </c>
      <c r="BB18" s="18" t="s">
        <v>2071</v>
      </c>
    </row>
    <row r="19" customFormat="false" ht="15" hidden="false" customHeight="true" outlineLevel="0" collapsed="false">
      <c r="A19" s="18" t="s">
        <v>887</v>
      </c>
      <c r="B19" s="18" t="s">
        <v>887</v>
      </c>
      <c r="C19" s="18" t="s">
        <v>888</v>
      </c>
      <c r="D19" s="18" t="n">
        <v>2019</v>
      </c>
      <c r="E19" s="18" t="s">
        <v>833</v>
      </c>
      <c r="F19" s="18" t="s">
        <v>891</v>
      </c>
      <c r="G19" s="18" t="s">
        <v>892</v>
      </c>
      <c r="H19" s="18" t="n">
        <v>29.7</v>
      </c>
      <c r="I19" s="18" t="n">
        <v>76.96</v>
      </c>
      <c r="J19" s="18" t="s">
        <v>83</v>
      </c>
      <c r="K19" s="18" t="n">
        <v>2013</v>
      </c>
      <c r="L19" s="18" t="s">
        <v>84</v>
      </c>
      <c r="M19" s="18" t="s">
        <v>85</v>
      </c>
      <c r="N19" s="18" t="s">
        <v>1479</v>
      </c>
      <c r="O19" s="18" t="s">
        <v>1480</v>
      </c>
      <c r="P19" s="18" t="n">
        <v>3.6</v>
      </c>
      <c r="Q19" s="18" t="n">
        <v>3.5</v>
      </c>
      <c r="R19" s="18"/>
      <c r="S19" s="18"/>
      <c r="T19" s="18"/>
      <c r="U19" s="18"/>
      <c r="V19" s="18"/>
      <c r="W19" s="18"/>
      <c r="X19" s="18" t="n">
        <v>4.9</v>
      </c>
      <c r="Y19" s="18"/>
      <c r="Z19" s="18"/>
      <c r="AA19" s="18"/>
      <c r="AB19" s="18"/>
      <c r="AC19" s="18"/>
      <c r="AD19" s="18"/>
      <c r="AE19" s="18" t="n">
        <v>1</v>
      </c>
      <c r="AF19" s="18" t="n">
        <v>3</v>
      </c>
      <c r="AG19" s="18" t="n">
        <f aca="false">IF(AND(N(AE19)&gt;0,N(AF19)&gt;0),SQRT(2*AE19/AF19),"")</f>
        <v>0.816496580927726</v>
      </c>
      <c r="AH19" s="18"/>
      <c r="AI19" s="18" t="n">
        <v>2</v>
      </c>
      <c r="AJ19" s="18" t="n">
        <v>42.5</v>
      </c>
      <c r="AK19" s="18" t="n">
        <v>700</v>
      </c>
      <c r="AL19" s="18" t="n">
        <v>29.7</v>
      </c>
      <c r="AM19" s="18" t="n">
        <v>4</v>
      </c>
      <c r="AN19" s="18"/>
      <c r="AO19" s="18"/>
      <c r="AP19" s="18"/>
      <c r="AQ19" s="18"/>
      <c r="AR19" s="18"/>
      <c r="AS19" s="18"/>
      <c r="AT19" s="18"/>
      <c r="AU19" s="18" t="s">
        <v>2069</v>
      </c>
      <c r="AV19" s="18" t="s">
        <v>1639</v>
      </c>
      <c r="AW19" s="18" t="s">
        <v>1640</v>
      </c>
      <c r="AX19" s="18" t="s">
        <v>1641</v>
      </c>
      <c r="AY19" s="18" t="s">
        <v>1634</v>
      </c>
      <c r="AZ19" s="30" t="s">
        <v>2070</v>
      </c>
      <c r="BA19" s="18" t="s">
        <v>901</v>
      </c>
      <c r="BB19" s="18" t="s">
        <v>2071</v>
      </c>
    </row>
    <row r="20" customFormat="false" ht="14.25" hidden="false" customHeight="true" outlineLevel="0" collapsed="false">
      <c r="A20" s="18" t="s">
        <v>887</v>
      </c>
      <c r="B20" s="18" t="s">
        <v>887</v>
      </c>
      <c r="C20" s="18" t="s">
        <v>888</v>
      </c>
      <c r="D20" s="18" t="n">
        <v>2019</v>
      </c>
      <c r="E20" s="18" t="s">
        <v>833</v>
      </c>
      <c r="F20" s="18" t="s">
        <v>891</v>
      </c>
      <c r="G20" s="18" t="s">
        <v>892</v>
      </c>
      <c r="H20" s="18" t="n">
        <v>29.7</v>
      </c>
      <c r="I20" s="18" t="n">
        <v>76.96</v>
      </c>
      <c r="J20" s="18" t="s">
        <v>83</v>
      </c>
      <c r="K20" s="18" t="n">
        <v>2015</v>
      </c>
      <c r="L20" s="18" t="s">
        <v>84</v>
      </c>
      <c r="M20" s="18" t="s">
        <v>85</v>
      </c>
      <c r="N20" s="18" t="s">
        <v>86</v>
      </c>
      <c r="O20" s="18" t="s">
        <v>1472</v>
      </c>
      <c r="P20" s="18" t="n">
        <v>8.1</v>
      </c>
      <c r="Q20" s="18" t="n">
        <v>4.9</v>
      </c>
      <c r="R20" s="18"/>
      <c r="S20" s="18"/>
      <c r="T20" s="18"/>
      <c r="U20" s="18"/>
      <c r="V20" s="18"/>
      <c r="W20" s="18"/>
      <c r="X20" s="18" t="n">
        <v>6.8</v>
      </c>
      <c r="Y20" s="18"/>
      <c r="Z20" s="18"/>
      <c r="AA20" s="18"/>
      <c r="AB20" s="18"/>
      <c r="AC20" s="18"/>
      <c r="AD20" s="18"/>
      <c r="AE20" s="18" t="n">
        <v>1</v>
      </c>
      <c r="AF20" s="18" t="n">
        <v>3</v>
      </c>
      <c r="AG20" s="18" t="n">
        <f aca="false">IF(AND(N(AE20)&gt;0,N(AF20)&gt;0),SQRT(2*AE20/AF20),"")</f>
        <v>0.816496580927726</v>
      </c>
      <c r="AH20" s="18"/>
      <c r="AI20" s="18" t="n">
        <v>2</v>
      </c>
      <c r="AJ20" s="18" t="n">
        <v>42.5</v>
      </c>
      <c r="AK20" s="18" t="n">
        <v>700</v>
      </c>
      <c r="AL20" s="18" t="n">
        <v>29.7</v>
      </c>
      <c r="AM20" s="18" t="n">
        <v>6</v>
      </c>
      <c r="AN20" s="18"/>
      <c r="AO20" s="18"/>
      <c r="AP20" s="18"/>
      <c r="AQ20" s="18"/>
      <c r="AR20" s="18"/>
      <c r="AS20" s="18"/>
      <c r="AT20" s="18"/>
      <c r="AU20" s="18" t="s">
        <v>2069</v>
      </c>
      <c r="AV20" s="18" t="s">
        <v>1639</v>
      </c>
      <c r="AW20" s="18" t="s">
        <v>1645</v>
      </c>
      <c r="AX20" s="18" t="s">
        <v>1641</v>
      </c>
      <c r="AY20" s="18" t="s">
        <v>1634</v>
      </c>
      <c r="AZ20" s="30" t="s">
        <v>2072</v>
      </c>
      <c r="BA20" s="18" t="s">
        <v>901</v>
      </c>
      <c r="BB20" s="18" t="s">
        <v>2071</v>
      </c>
    </row>
    <row r="21" customFormat="false" ht="14.25" hidden="false" customHeight="true" outlineLevel="0" collapsed="false">
      <c r="A21" s="18" t="s">
        <v>887</v>
      </c>
      <c r="B21" s="18" t="s">
        <v>887</v>
      </c>
      <c r="C21" s="18" t="s">
        <v>888</v>
      </c>
      <c r="D21" s="18" t="n">
        <v>2019</v>
      </c>
      <c r="E21" s="18" t="s">
        <v>833</v>
      </c>
      <c r="F21" s="18" t="s">
        <v>891</v>
      </c>
      <c r="G21" s="18" t="s">
        <v>892</v>
      </c>
      <c r="H21" s="18" t="n">
        <v>29.7</v>
      </c>
      <c r="I21" s="18" t="n">
        <v>76.96</v>
      </c>
      <c r="J21" s="18" t="s">
        <v>83</v>
      </c>
      <c r="K21" s="18" t="n">
        <v>2015</v>
      </c>
      <c r="L21" s="18" t="s">
        <v>84</v>
      </c>
      <c r="M21" s="18" t="s">
        <v>85</v>
      </c>
      <c r="N21" s="18" t="s">
        <v>1479</v>
      </c>
      <c r="O21" s="18" t="s">
        <v>1480</v>
      </c>
      <c r="P21" s="18" t="n">
        <v>4</v>
      </c>
      <c r="Q21" s="18" t="n">
        <v>4.4</v>
      </c>
      <c r="R21" s="18"/>
      <c r="S21" s="18"/>
      <c r="T21" s="18"/>
      <c r="U21" s="18"/>
      <c r="V21" s="18"/>
      <c r="W21" s="18"/>
      <c r="X21" s="18" t="n">
        <v>5.5</v>
      </c>
      <c r="Y21" s="18"/>
      <c r="Z21" s="18"/>
      <c r="AA21" s="18"/>
      <c r="AB21" s="18"/>
      <c r="AC21" s="18"/>
      <c r="AD21" s="18"/>
      <c r="AE21" s="18" t="n">
        <v>1</v>
      </c>
      <c r="AF21" s="18" t="n">
        <v>3</v>
      </c>
      <c r="AG21" s="18" t="n">
        <f aca="false">IF(AND(N(AE21)&gt;0,N(AF21)&gt;0),SQRT(2*AE21/AF21),"")</f>
        <v>0.816496580927726</v>
      </c>
      <c r="AH21" s="18"/>
      <c r="AI21" s="18" t="n">
        <v>2</v>
      </c>
      <c r="AJ21" s="18" t="n">
        <v>42.5</v>
      </c>
      <c r="AK21" s="18" t="n">
        <v>700</v>
      </c>
      <c r="AL21" s="18" t="n">
        <v>29.7</v>
      </c>
      <c r="AM21" s="18" t="n">
        <v>6</v>
      </c>
      <c r="AN21" s="18"/>
      <c r="AO21" s="18"/>
      <c r="AP21" s="18"/>
      <c r="AQ21" s="18"/>
      <c r="AR21" s="18"/>
      <c r="AS21" s="18"/>
      <c r="AT21" s="18"/>
      <c r="AU21" s="18" t="s">
        <v>2069</v>
      </c>
      <c r="AV21" s="18" t="s">
        <v>1639</v>
      </c>
      <c r="AW21" s="18" t="s">
        <v>1645</v>
      </c>
      <c r="AX21" s="18" t="s">
        <v>1641</v>
      </c>
      <c r="AY21" s="18" t="s">
        <v>1634</v>
      </c>
      <c r="AZ21" s="30" t="s">
        <v>2072</v>
      </c>
      <c r="BA21" s="18" t="s">
        <v>901</v>
      </c>
      <c r="BB21" s="18" t="s">
        <v>2071</v>
      </c>
    </row>
    <row r="22" customFormat="false" ht="14.25" hidden="false" customHeight="true" outlineLevel="0" collapsed="false">
      <c r="A22" s="18" t="s">
        <v>914</v>
      </c>
      <c r="B22" s="18" t="s">
        <v>914</v>
      </c>
      <c r="C22" s="18" t="s">
        <v>915</v>
      </c>
      <c r="D22" s="18" t="n">
        <v>2020</v>
      </c>
      <c r="E22" s="18" t="s">
        <v>916</v>
      </c>
      <c r="F22" s="18" t="s">
        <v>815</v>
      </c>
      <c r="G22" s="18" t="s">
        <v>919</v>
      </c>
      <c r="H22" s="18" t="n">
        <v>28.4</v>
      </c>
      <c r="I22" s="18" t="n">
        <v>77.1</v>
      </c>
      <c r="J22" s="18" t="s">
        <v>83</v>
      </c>
      <c r="K22" s="18" t="s">
        <v>1504</v>
      </c>
      <c r="L22" s="18" t="s">
        <v>802</v>
      </c>
      <c r="M22" s="18" t="s">
        <v>85</v>
      </c>
      <c r="N22" s="18" t="s">
        <v>86</v>
      </c>
      <c r="O22" s="18" t="s">
        <v>1472</v>
      </c>
      <c r="P22" s="18"/>
      <c r="Q22" s="18" t="n">
        <v>5.04</v>
      </c>
      <c r="R22" s="18"/>
      <c r="S22" s="18"/>
      <c r="T22" s="18"/>
      <c r="U22" s="18"/>
      <c r="V22" s="18" t="n">
        <v>6.37</v>
      </c>
      <c r="W22" s="18"/>
      <c r="X22" s="18"/>
      <c r="Y22" s="18"/>
      <c r="Z22" s="18"/>
      <c r="AA22" s="18"/>
      <c r="AB22" s="18"/>
      <c r="AC22" s="18"/>
      <c r="AD22" s="18"/>
      <c r="AE22" s="18" t="n">
        <v>2</v>
      </c>
      <c r="AF22" s="18" t="n">
        <v>3</v>
      </c>
      <c r="AG22" s="18" t="n">
        <f aca="false">IF(AND(N(AE22)&gt;0,N(AF22)&gt;0),SQRT(2*AE22/AF22),"")</f>
        <v>1.15470053837925</v>
      </c>
      <c r="AH22" s="18" t="n">
        <v>25.4</v>
      </c>
      <c r="AI22" s="18" t="n">
        <v>18</v>
      </c>
      <c r="AJ22" s="18" t="n">
        <v>35.2</v>
      </c>
      <c r="AK22" s="18" t="n">
        <v>750</v>
      </c>
      <c r="AL22" s="18" t="n">
        <v>28.4</v>
      </c>
      <c r="AM22" s="18" t="n">
        <v>12</v>
      </c>
      <c r="AN22" s="18"/>
      <c r="AO22" s="18"/>
      <c r="AP22" s="18" t="n">
        <v>8.45</v>
      </c>
      <c r="AQ22" s="18" t="n">
        <v>5.1</v>
      </c>
      <c r="AR22" s="18" t="n">
        <v>1.5</v>
      </c>
      <c r="AS22" s="18" t="n">
        <v>52.1</v>
      </c>
      <c r="AT22" s="18" t="n">
        <v>22.5</v>
      </c>
      <c r="AU22" s="18" t="s">
        <v>672</v>
      </c>
      <c r="AV22" s="18" t="s">
        <v>1505</v>
      </c>
      <c r="AW22" s="18" t="s">
        <v>1506</v>
      </c>
      <c r="AX22" s="18" t="s">
        <v>1507</v>
      </c>
      <c r="AY22" s="18" t="s">
        <v>1476</v>
      </c>
      <c r="AZ22" s="30" t="s">
        <v>2073</v>
      </c>
      <c r="BA22" s="18" t="s">
        <v>928</v>
      </c>
      <c r="BB22" s="18" t="s">
        <v>2074</v>
      </c>
    </row>
    <row r="23" customFormat="false" ht="14.25" hidden="false" customHeight="true" outlineLevel="0" collapsed="false">
      <c r="A23" s="18" t="s">
        <v>914</v>
      </c>
      <c r="B23" s="18" t="s">
        <v>914</v>
      </c>
      <c r="C23" s="18" t="s">
        <v>915</v>
      </c>
      <c r="D23" s="18" t="n">
        <v>2020</v>
      </c>
      <c r="E23" s="18" t="s">
        <v>916</v>
      </c>
      <c r="F23" s="18" t="s">
        <v>815</v>
      </c>
      <c r="G23" s="18" t="s">
        <v>919</v>
      </c>
      <c r="H23" s="18" t="n">
        <v>28.4</v>
      </c>
      <c r="I23" s="18" t="n">
        <v>77.1</v>
      </c>
      <c r="J23" s="18" t="s">
        <v>83</v>
      </c>
      <c r="K23" s="18" t="s">
        <v>1504</v>
      </c>
      <c r="L23" s="18" t="s">
        <v>802</v>
      </c>
      <c r="M23" s="18" t="s">
        <v>85</v>
      </c>
      <c r="N23" s="18" t="s">
        <v>86</v>
      </c>
      <c r="O23" s="18" t="s">
        <v>1472</v>
      </c>
      <c r="P23" s="18"/>
      <c r="Q23" s="18" t="n">
        <v>5.04</v>
      </c>
      <c r="R23" s="18"/>
      <c r="S23" s="18"/>
      <c r="T23" s="18"/>
      <c r="U23" s="18"/>
      <c r="V23" s="18" t="n">
        <v>7.7</v>
      </c>
      <c r="W23" s="18"/>
      <c r="X23" s="18"/>
      <c r="Y23" s="18"/>
      <c r="Z23" s="18"/>
      <c r="AA23" s="18"/>
      <c r="AB23" s="18"/>
      <c r="AC23" s="18"/>
      <c r="AD23" s="18"/>
      <c r="AE23" s="18" t="n">
        <v>2</v>
      </c>
      <c r="AF23" s="18" t="n">
        <v>3</v>
      </c>
      <c r="AG23" s="18" t="n">
        <f aca="false">IF(AND(N(AE23)&gt;0,N(AF23)&gt;0),SQRT(2*AE23/AF23),"")</f>
        <v>1.15470053837925</v>
      </c>
      <c r="AH23" s="18" t="n">
        <v>25.4</v>
      </c>
      <c r="AI23" s="18" t="n">
        <v>18</v>
      </c>
      <c r="AJ23" s="18" t="n">
        <v>35.2</v>
      </c>
      <c r="AK23" s="18" t="n">
        <v>750</v>
      </c>
      <c r="AL23" s="18" t="n">
        <v>28.4</v>
      </c>
      <c r="AM23" s="18" t="n">
        <v>12</v>
      </c>
      <c r="AN23" s="18"/>
      <c r="AO23" s="18"/>
      <c r="AP23" s="18" t="n">
        <v>8.45</v>
      </c>
      <c r="AQ23" s="18" t="n">
        <v>5.1</v>
      </c>
      <c r="AR23" s="18" t="n">
        <v>1.5</v>
      </c>
      <c r="AS23" s="18" t="n">
        <v>52.1</v>
      </c>
      <c r="AT23" s="18" t="n">
        <v>22.5</v>
      </c>
      <c r="AU23" s="18" t="s">
        <v>672</v>
      </c>
      <c r="AV23" s="18" t="s">
        <v>1511</v>
      </c>
      <c r="AW23" s="18" t="s">
        <v>1506</v>
      </c>
      <c r="AX23" s="18" t="s">
        <v>1507</v>
      </c>
      <c r="AY23" s="18" t="s">
        <v>1476</v>
      </c>
      <c r="AZ23" s="30" t="s">
        <v>2075</v>
      </c>
      <c r="BA23" s="18" t="s">
        <v>928</v>
      </c>
      <c r="BB23" s="18" t="s">
        <v>2074</v>
      </c>
    </row>
    <row r="24" customFormat="false" ht="14.25" hidden="false" customHeight="true" outlineLevel="0" collapsed="false">
      <c r="A24" s="18" t="s">
        <v>914</v>
      </c>
      <c r="B24" s="18" t="s">
        <v>914</v>
      </c>
      <c r="C24" s="18" t="s">
        <v>915</v>
      </c>
      <c r="D24" s="18" t="n">
        <v>2020</v>
      </c>
      <c r="E24" s="18" t="s">
        <v>916</v>
      </c>
      <c r="F24" s="18" t="s">
        <v>815</v>
      </c>
      <c r="G24" s="18" t="s">
        <v>919</v>
      </c>
      <c r="H24" s="18" t="n">
        <v>28.4</v>
      </c>
      <c r="I24" s="18" t="n">
        <v>77.1</v>
      </c>
      <c r="J24" s="18" t="s">
        <v>83</v>
      </c>
      <c r="K24" s="18" t="s">
        <v>1504</v>
      </c>
      <c r="L24" s="18" t="s">
        <v>802</v>
      </c>
      <c r="M24" s="18" t="s">
        <v>85</v>
      </c>
      <c r="N24" s="18" t="s">
        <v>86</v>
      </c>
      <c r="O24" s="18" t="s">
        <v>1472</v>
      </c>
      <c r="P24" s="18"/>
      <c r="Q24" s="18" t="n">
        <v>4.88</v>
      </c>
      <c r="R24" s="18"/>
      <c r="S24" s="18"/>
      <c r="T24" s="18"/>
      <c r="U24" s="18"/>
      <c r="V24" s="18" t="n">
        <v>5.87</v>
      </c>
      <c r="W24" s="18"/>
      <c r="X24" s="18"/>
      <c r="Y24" s="18"/>
      <c r="Z24" s="18"/>
      <c r="AA24" s="18"/>
      <c r="AB24" s="18"/>
      <c r="AC24" s="18"/>
      <c r="AD24" s="18"/>
      <c r="AE24" s="18" t="n">
        <v>2</v>
      </c>
      <c r="AF24" s="18" t="n">
        <v>3</v>
      </c>
      <c r="AG24" s="18" t="n">
        <f aca="false">IF(AND(N(AE24)&gt;0,N(AF24)&gt;0),SQRT(2*AE24/AF24),"")</f>
        <v>1.15470053837925</v>
      </c>
      <c r="AH24" s="18" t="n">
        <v>25.4</v>
      </c>
      <c r="AI24" s="18" t="n">
        <v>18</v>
      </c>
      <c r="AJ24" s="18" t="n">
        <v>35.2</v>
      </c>
      <c r="AK24" s="18" t="n">
        <v>750</v>
      </c>
      <c r="AL24" s="18" t="n">
        <v>28.4</v>
      </c>
      <c r="AM24" s="18" t="n">
        <v>12</v>
      </c>
      <c r="AN24" s="18"/>
      <c r="AO24" s="18"/>
      <c r="AP24" s="18" t="n">
        <v>8.45</v>
      </c>
      <c r="AQ24" s="18" t="n">
        <v>5.1</v>
      </c>
      <c r="AR24" s="18" t="n">
        <v>1.5</v>
      </c>
      <c r="AS24" s="18" t="n">
        <v>52.1</v>
      </c>
      <c r="AT24" s="18" t="n">
        <v>22.5</v>
      </c>
      <c r="AU24" s="18" t="s">
        <v>672</v>
      </c>
      <c r="AV24" s="18" t="s">
        <v>1513</v>
      </c>
      <c r="AW24" s="18" t="s">
        <v>1506</v>
      </c>
      <c r="AX24" s="18" t="s">
        <v>1507</v>
      </c>
      <c r="AY24" s="18" t="s">
        <v>1476</v>
      </c>
      <c r="AZ24" s="30" t="s">
        <v>2076</v>
      </c>
      <c r="BA24" s="18" t="s">
        <v>928</v>
      </c>
      <c r="BB24" s="18" t="s">
        <v>2074</v>
      </c>
    </row>
    <row r="25" customFormat="false" ht="14.25" hidden="false" customHeight="true" outlineLevel="0" collapsed="false">
      <c r="A25" s="18" t="s">
        <v>914</v>
      </c>
      <c r="B25" s="18" t="s">
        <v>914</v>
      </c>
      <c r="C25" s="18" t="s">
        <v>915</v>
      </c>
      <c r="D25" s="18" t="n">
        <v>2020</v>
      </c>
      <c r="E25" s="18" t="s">
        <v>916</v>
      </c>
      <c r="F25" s="18" t="s">
        <v>815</v>
      </c>
      <c r="G25" s="18" t="s">
        <v>919</v>
      </c>
      <c r="H25" s="18" t="n">
        <v>28.4</v>
      </c>
      <c r="I25" s="18" t="n">
        <v>77.1</v>
      </c>
      <c r="J25" s="18" t="s">
        <v>83</v>
      </c>
      <c r="K25" s="18" t="s">
        <v>1504</v>
      </c>
      <c r="L25" s="18" t="s">
        <v>802</v>
      </c>
      <c r="M25" s="18" t="s">
        <v>85</v>
      </c>
      <c r="N25" s="18" t="s">
        <v>86</v>
      </c>
      <c r="O25" s="18" t="s">
        <v>1472</v>
      </c>
      <c r="P25" s="18"/>
      <c r="Q25" s="18" t="n">
        <v>4.88</v>
      </c>
      <c r="R25" s="18"/>
      <c r="S25" s="18"/>
      <c r="T25" s="18"/>
      <c r="U25" s="18"/>
      <c r="V25" s="18" t="n">
        <v>7.1</v>
      </c>
      <c r="W25" s="18"/>
      <c r="X25" s="18"/>
      <c r="Y25" s="18"/>
      <c r="Z25" s="18"/>
      <c r="AA25" s="18"/>
      <c r="AB25" s="18"/>
      <c r="AC25" s="18"/>
      <c r="AD25" s="18"/>
      <c r="AE25" s="18" t="n">
        <v>2</v>
      </c>
      <c r="AF25" s="18" t="n">
        <v>3</v>
      </c>
      <c r="AG25" s="18" t="n">
        <f aca="false">IF(AND(N(AE25)&gt;0,N(AF25)&gt;0),SQRT(2*AE25/AF25),"")</f>
        <v>1.15470053837925</v>
      </c>
      <c r="AH25" s="18" t="n">
        <v>25.4</v>
      </c>
      <c r="AI25" s="18" t="n">
        <v>18</v>
      </c>
      <c r="AJ25" s="18" t="n">
        <v>35.2</v>
      </c>
      <c r="AK25" s="18" t="n">
        <v>750</v>
      </c>
      <c r="AL25" s="18" t="n">
        <v>28.4</v>
      </c>
      <c r="AM25" s="18" t="n">
        <v>12</v>
      </c>
      <c r="AN25" s="18"/>
      <c r="AO25" s="18"/>
      <c r="AP25" s="18" t="n">
        <v>8.45</v>
      </c>
      <c r="AQ25" s="18" t="n">
        <v>5.1</v>
      </c>
      <c r="AR25" s="18" t="n">
        <v>1.5</v>
      </c>
      <c r="AS25" s="18" t="n">
        <v>52.1</v>
      </c>
      <c r="AT25" s="18" t="n">
        <v>22.5</v>
      </c>
      <c r="AU25" s="18" t="s">
        <v>672</v>
      </c>
      <c r="AV25" s="18" t="s">
        <v>1515</v>
      </c>
      <c r="AW25" s="18" t="s">
        <v>1506</v>
      </c>
      <c r="AX25" s="18" t="s">
        <v>1507</v>
      </c>
      <c r="AY25" s="18" t="s">
        <v>1476</v>
      </c>
      <c r="AZ25" s="30" t="s">
        <v>2077</v>
      </c>
      <c r="BA25" s="18" t="s">
        <v>928</v>
      </c>
      <c r="BB25" s="18" t="s">
        <v>2074</v>
      </c>
    </row>
    <row r="26" customFormat="false" ht="14.25" hidden="false" customHeight="true" outlineLevel="0" collapsed="false">
      <c r="A26" s="18" t="s">
        <v>914</v>
      </c>
      <c r="B26" s="18" t="s">
        <v>914</v>
      </c>
      <c r="C26" s="18" t="s">
        <v>915</v>
      </c>
      <c r="D26" s="18" t="n">
        <v>2020</v>
      </c>
      <c r="E26" s="18" t="s">
        <v>916</v>
      </c>
      <c r="F26" s="18" t="s">
        <v>815</v>
      </c>
      <c r="G26" s="18" t="s">
        <v>919</v>
      </c>
      <c r="H26" s="18" t="n">
        <v>28.4</v>
      </c>
      <c r="I26" s="18" t="n">
        <v>77.1</v>
      </c>
      <c r="J26" s="18" t="s">
        <v>83</v>
      </c>
      <c r="K26" s="18" t="s">
        <v>1504</v>
      </c>
      <c r="L26" s="18" t="s">
        <v>802</v>
      </c>
      <c r="M26" s="18" t="s">
        <v>85</v>
      </c>
      <c r="N26" s="18" t="s">
        <v>86</v>
      </c>
      <c r="O26" s="18" t="s">
        <v>1472</v>
      </c>
      <c r="P26" s="18"/>
      <c r="Q26" s="18" t="n">
        <v>4.72</v>
      </c>
      <c r="R26" s="18"/>
      <c r="S26" s="18"/>
      <c r="T26" s="18"/>
      <c r="U26" s="18"/>
      <c r="V26" s="18" t="n">
        <v>6.15</v>
      </c>
      <c r="W26" s="18"/>
      <c r="X26" s="18"/>
      <c r="Y26" s="18"/>
      <c r="Z26" s="18"/>
      <c r="AA26" s="18"/>
      <c r="AB26" s="18"/>
      <c r="AC26" s="18"/>
      <c r="AD26" s="18"/>
      <c r="AE26" s="18" t="n">
        <v>2</v>
      </c>
      <c r="AF26" s="18" t="n">
        <v>3</v>
      </c>
      <c r="AG26" s="18" t="n">
        <f aca="false">IF(AND(N(AE26)&gt;0,N(AF26)&gt;0),SQRT(2*AE26/AF26),"")</f>
        <v>1.15470053837925</v>
      </c>
      <c r="AH26" s="18" t="n">
        <v>25.4</v>
      </c>
      <c r="AI26" s="18" t="n">
        <v>18</v>
      </c>
      <c r="AJ26" s="18" t="n">
        <v>35.2</v>
      </c>
      <c r="AK26" s="18" t="n">
        <v>750</v>
      </c>
      <c r="AL26" s="18" t="n">
        <v>28.4</v>
      </c>
      <c r="AM26" s="18" t="n">
        <v>12</v>
      </c>
      <c r="AN26" s="18"/>
      <c r="AO26" s="18"/>
      <c r="AP26" s="18" t="n">
        <v>8.45</v>
      </c>
      <c r="AQ26" s="18" t="n">
        <v>5.1</v>
      </c>
      <c r="AR26" s="18" t="n">
        <v>1.5</v>
      </c>
      <c r="AS26" s="18" t="n">
        <v>52.1</v>
      </c>
      <c r="AT26" s="18" t="n">
        <v>22.5</v>
      </c>
      <c r="AU26" s="18" t="s">
        <v>672</v>
      </c>
      <c r="AV26" s="18" t="s">
        <v>1517</v>
      </c>
      <c r="AW26" s="18" t="s">
        <v>1506</v>
      </c>
      <c r="AX26" s="18" t="s">
        <v>1507</v>
      </c>
      <c r="AY26" s="18" t="s">
        <v>1476</v>
      </c>
      <c r="AZ26" s="30" t="s">
        <v>2078</v>
      </c>
      <c r="BA26" s="18" t="s">
        <v>928</v>
      </c>
      <c r="BB26" s="18" t="s">
        <v>2074</v>
      </c>
    </row>
    <row r="27" customFormat="false" ht="14.25" hidden="false" customHeight="true" outlineLevel="0" collapsed="false">
      <c r="A27" s="18" t="s">
        <v>914</v>
      </c>
      <c r="B27" s="18" t="s">
        <v>914</v>
      </c>
      <c r="C27" s="18" t="s">
        <v>915</v>
      </c>
      <c r="D27" s="18" t="n">
        <v>2020</v>
      </c>
      <c r="E27" s="18" t="s">
        <v>916</v>
      </c>
      <c r="F27" s="18" t="s">
        <v>815</v>
      </c>
      <c r="G27" s="18" t="s">
        <v>919</v>
      </c>
      <c r="H27" s="18" t="n">
        <v>28.4</v>
      </c>
      <c r="I27" s="18" t="n">
        <v>77.1</v>
      </c>
      <c r="J27" s="18" t="s">
        <v>83</v>
      </c>
      <c r="K27" s="18" t="s">
        <v>1504</v>
      </c>
      <c r="L27" s="18" t="s">
        <v>802</v>
      </c>
      <c r="M27" s="18" t="s">
        <v>85</v>
      </c>
      <c r="N27" s="18" t="s">
        <v>86</v>
      </c>
      <c r="O27" s="18" t="s">
        <v>1472</v>
      </c>
      <c r="P27" s="18"/>
      <c r="Q27" s="18" t="n">
        <v>4.72</v>
      </c>
      <c r="R27" s="18"/>
      <c r="S27" s="18"/>
      <c r="T27" s="18"/>
      <c r="U27" s="18"/>
      <c r="V27" s="18" t="n">
        <v>7.26</v>
      </c>
      <c r="W27" s="18"/>
      <c r="X27" s="18"/>
      <c r="Y27" s="18"/>
      <c r="Z27" s="18"/>
      <c r="AA27" s="18"/>
      <c r="AB27" s="18"/>
      <c r="AC27" s="18"/>
      <c r="AD27" s="18"/>
      <c r="AE27" s="18" t="n">
        <v>2</v>
      </c>
      <c r="AF27" s="18" t="n">
        <v>3</v>
      </c>
      <c r="AG27" s="18" t="n">
        <f aca="false">IF(AND(N(AE27)&gt;0,N(AF27)&gt;0),SQRT(2*AE27/AF27),"")</f>
        <v>1.15470053837925</v>
      </c>
      <c r="AH27" s="18" t="n">
        <v>25.4</v>
      </c>
      <c r="AI27" s="18" t="n">
        <v>18</v>
      </c>
      <c r="AJ27" s="18" t="n">
        <v>35.2</v>
      </c>
      <c r="AK27" s="18" t="n">
        <v>750</v>
      </c>
      <c r="AL27" s="18" t="n">
        <v>28.4</v>
      </c>
      <c r="AM27" s="18" t="n">
        <v>12</v>
      </c>
      <c r="AN27" s="18"/>
      <c r="AO27" s="18"/>
      <c r="AP27" s="18" t="n">
        <v>8.45</v>
      </c>
      <c r="AQ27" s="18" t="n">
        <v>5.1</v>
      </c>
      <c r="AR27" s="18" t="n">
        <v>1.5</v>
      </c>
      <c r="AS27" s="18" t="n">
        <v>52.1</v>
      </c>
      <c r="AT27" s="18" t="n">
        <v>22.5</v>
      </c>
      <c r="AU27" s="18" t="s">
        <v>672</v>
      </c>
      <c r="AV27" s="18" t="s">
        <v>1519</v>
      </c>
      <c r="AW27" s="18" t="s">
        <v>1506</v>
      </c>
      <c r="AX27" s="18" t="s">
        <v>1507</v>
      </c>
      <c r="AY27" s="18" t="s">
        <v>1476</v>
      </c>
      <c r="AZ27" s="30" t="s">
        <v>2079</v>
      </c>
      <c r="BA27" s="18" t="s">
        <v>928</v>
      </c>
      <c r="BB27" s="18" t="s">
        <v>2074</v>
      </c>
    </row>
    <row r="28" customFormat="false" ht="14.25" hidden="false" customHeight="true" outlineLevel="0" collapsed="false">
      <c r="A28" s="18" t="s">
        <v>914</v>
      </c>
      <c r="B28" s="18" t="s">
        <v>914</v>
      </c>
      <c r="C28" s="18" t="s">
        <v>915</v>
      </c>
      <c r="D28" s="18" t="n">
        <v>2020</v>
      </c>
      <c r="E28" s="18" t="s">
        <v>916</v>
      </c>
      <c r="F28" s="18" t="s">
        <v>815</v>
      </c>
      <c r="G28" s="18" t="s">
        <v>919</v>
      </c>
      <c r="H28" s="18" t="n">
        <v>28.4</v>
      </c>
      <c r="I28" s="18" t="n">
        <v>77.1</v>
      </c>
      <c r="J28" s="18" t="s">
        <v>83</v>
      </c>
      <c r="K28" s="18" t="s">
        <v>1504</v>
      </c>
      <c r="L28" s="18" t="s">
        <v>802</v>
      </c>
      <c r="M28" s="18" t="s">
        <v>85</v>
      </c>
      <c r="N28" s="18" t="s">
        <v>86</v>
      </c>
      <c r="O28" s="18" t="s">
        <v>1472</v>
      </c>
      <c r="P28" s="18"/>
      <c r="Q28" s="18" t="n">
        <v>4.42</v>
      </c>
      <c r="R28" s="18"/>
      <c r="S28" s="18"/>
      <c r="T28" s="18"/>
      <c r="U28" s="18"/>
      <c r="V28" s="18" t="n">
        <v>5.52</v>
      </c>
      <c r="W28" s="18"/>
      <c r="X28" s="18"/>
      <c r="Y28" s="18"/>
      <c r="Z28" s="18"/>
      <c r="AA28" s="18"/>
      <c r="AB28" s="18"/>
      <c r="AC28" s="18"/>
      <c r="AD28" s="18"/>
      <c r="AE28" s="18" t="n">
        <v>2</v>
      </c>
      <c r="AF28" s="18" t="n">
        <v>3</v>
      </c>
      <c r="AG28" s="18" t="n">
        <f aca="false">IF(AND(N(AE28)&gt;0,N(AF28)&gt;0),SQRT(2*AE28/AF28),"")</f>
        <v>1.15470053837925</v>
      </c>
      <c r="AH28" s="18" t="n">
        <v>25.4</v>
      </c>
      <c r="AI28" s="18" t="n">
        <v>18</v>
      </c>
      <c r="AJ28" s="18" t="n">
        <v>35.2</v>
      </c>
      <c r="AK28" s="18" t="n">
        <v>750</v>
      </c>
      <c r="AL28" s="18" t="n">
        <v>28.4</v>
      </c>
      <c r="AM28" s="18" t="n">
        <v>12</v>
      </c>
      <c r="AN28" s="18"/>
      <c r="AO28" s="18"/>
      <c r="AP28" s="18" t="n">
        <v>8.45</v>
      </c>
      <c r="AQ28" s="18" t="n">
        <v>5.1</v>
      </c>
      <c r="AR28" s="18" t="n">
        <v>1.5</v>
      </c>
      <c r="AS28" s="18" t="n">
        <v>52.1</v>
      </c>
      <c r="AT28" s="18" t="n">
        <v>22.5</v>
      </c>
      <c r="AU28" s="18" t="s">
        <v>672</v>
      </c>
      <c r="AV28" s="18" t="s">
        <v>1521</v>
      </c>
      <c r="AW28" s="18" t="s">
        <v>1506</v>
      </c>
      <c r="AX28" s="18" t="s">
        <v>1507</v>
      </c>
      <c r="AY28" s="18" t="s">
        <v>1476</v>
      </c>
      <c r="AZ28" s="30" t="s">
        <v>2080</v>
      </c>
      <c r="BA28" s="18" t="s">
        <v>928</v>
      </c>
      <c r="BB28" s="18" t="s">
        <v>2074</v>
      </c>
    </row>
    <row r="29" customFormat="false" ht="14.25" hidden="false" customHeight="true" outlineLevel="0" collapsed="false">
      <c r="A29" s="18" t="s">
        <v>914</v>
      </c>
      <c r="B29" s="18" t="s">
        <v>914</v>
      </c>
      <c r="C29" s="18" t="s">
        <v>915</v>
      </c>
      <c r="D29" s="18" t="n">
        <v>2020</v>
      </c>
      <c r="E29" s="18" t="s">
        <v>916</v>
      </c>
      <c r="F29" s="18" t="s">
        <v>815</v>
      </c>
      <c r="G29" s="18" t="s">
        <v>919</v>
      </c>
      <c r="H29" s="18" t="n">
        <v>28.4</v>
      </c>
      <c r="I29" s="18" t="n">
        <v>77.1</v>
      </c>
      <c r="J29" s="18" t="s">
        <v>83</v>
      </c>
      <c r="K29" s="18" t="s">
        <v>1504</v>
      </c>
      <c r="L29" s="18" t="s">
        <v>802</v>
      </c>
      <c r="M29" s="18" t="s">
        <v>85</v>
      </c>
      <c r="N29" s="18" t="s">
        <v>86</v>
      </c>
      <c r="O29" s="18" t="s">
        <v>1472</v>
      </c>
      <c r="P29" s="18"/>
      <c r="Q29" s="18" t="n">
        <v>4.42</v>
      </c>
      <c r="R29" s="18"/>
      <c r="S29" s="18"/>
      <c r="T29" s="18"/>
      <c r="U29" s="18"/>
      <c r="V29" s="18" t="n">
        <v>6.75</v>
      </c>
      <c r="W29" s="18"/>
      <c r="X29" s="18"/>
      <c r="Y29" s="18"/>
      <c r="Z29" s="18"/>
      <c r="AA29" s="18"/>
      <c r="AB29" s="18"/>
      <c r="AC29" s="18"/>
      <c r="AD29" s="18"/>
      <c r="AE29" s="18" t="n">
        <v>2</v>
      </c>
      <c r="AF29" s="18" t="n">
        <v>3</v>
      </c>
      <c r="AG29" s="18" t="n">
        <f aca="false">IF(AND(N(AE29)&gt;0,N(AF29)&gt;0),SQRT(2*AE29/AF29),"")</f>
        <v>1.15470053837925</v>
      </c>
      <c r="AH29" s="18" t="n">
        <v>25.4</v>
      </c>
      <c r="AI29" s="18" t="n">
        <v>18</v>
      </c>
      <c r="AJ29" s="18" t="n">
        <v>35.2</v>
      </c>
      <c r="AK29" s="18" t="n">
        <v>750</v>
      </c>
      <c r="AL29" s="18" t="n">
        <v>28.4</v>
      </c>
      <c r="AM29" s="18" t="n">
        <v>12</v>
      </c>
      <c r="AN29" s="18"/>
      <c r="AO29" s="18"/>
      <c r="AP29" s="18" t="n">
        <v>8.45</v>
      </c>
      <c r="AQ29" s="18" t="n">
        <v>5.1</v>
      </c>
      <c r="AR29" s="18" t="n">
        <v>1.5</v>
      </c>
      <c r="AS29" s="18" t="n">
        <v>52.1</v>
      </c>
      <c r="AT29" s="18" t="n">
        <v>22.5</v>
      </c>
      <c r="AU29" s="18" t="s">
        <v>672</v>
      </c>
      <c r="AV29" s="18" t="s">
        <v>1523</v>
      </c>
      <c r="AW29" s="18" t="s">
        <v>1506</v>
      </c>
      <c r="AX29" s="18" t="s">
        <v>1507</v>
      </c>
      <c r="AY29" s="18" t="s">
        <v>1476</v>
      </c>
      <c r="AZ29" s="30" t="s">
        <v>2081</v>
      </c>
      <c r="BA29" s="18" t="s">
        <v>928</v>
      </c>
      <c r="BB29" s="18" t="s">
        <v>2074</v>
      </c>
    </row>
  </sheetData>
  <autoFilter ref="A1:BB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2082</v>
      </c>
      <c r="Q1" s="25" t="s">
        <v>2083</v>
      </c>
      <c r="R1" s="25" t="s">
        <v>2084</v>
      </c>
      <c r="S1" s="25" t="s">
        <v>2085</v>
      </c>
      <c r="T1" s="25" t="s">
        <v>2086</v>
      </c>
      <c r="U1" s="25" t="s">
        <v>2087</v>
      </c>
      <c r="V1" s="25" t="s">
        <v>2088</v>
      </c>
      <c r="W1" s="25" t="s">
        <v>2089</v>
      </c>
      <c r="X1" s="28" t="s">
        <v>2090</v>
      </c>
      <c r="Y1" s="28" t="s">
        <v>2091</v>
      </c>
      <c r="Z1" s="28" t="s">
        <v>2092</v>
      </c>
      <c r="AA1" s="28" t="s">
        <v>2093</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A2" s="5" t="n">
        <v>166</v>
      </c>
      <c r="B2" s="5" t="n">
        <v>166</v>
      </c>
      <c r="C2" s="5" t="s">
        <v>832</v>
      </c>
      <c r="D2" s="5" t="n">
        <v>2014</v>
      </c>
      <c r="E2" s="5" t="s">
        <v>833</v>
      </c>
      <c r="F2" s="5" t="s">
        <v>836</v>
      </c>
      <c r="G2" s="5" t="s">
        <v>837</v>
      </c>
      <c r="H2" s="5" t="n">
        <v>29.067</v>
      </c>
      <c r="I2" s="5" t="n">
        <v>77.767</v>
      </c>
      <c r="J2" s="5" t="s">
        <v>83</v>
      </c>
      <c r="K2" s="5" t="n">
        <v>2011</v>
      </c>
      <c r="L2" s="5" t="s">
        <v>802</v>
      </c>
      <c r="M2" s="5" t="s">
        <v>85</v>
      </c>
      <c r="N2" s="5" t="s">
        <v>86</v>
      </c>
      <c r="O2" s="5" t="s">
        <v>1618</v>
      </c>
      <c r="P2" s="5"/>
      <c r="Q2" s="5" t="n">
        <v>7.25</v>
      </c>
      <c r="R2" s="5"/>
      <c r="S2" s="5"/>
      <c r="T2" s="5"/>
      <c r="U2" s="5"/>
      <c r="V2" s="5" t="n">
        <v>15.11</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2094</v>
      </c>
      <c r="AS2" s="5" t="s">
        <v>1620</v>
      </c>
      <c r="AT2" s="5" t="s">
        <v>1621</v>
      </c>
      <c r="AU2" s="5" t="s">
        <v>1622</v>
      </c>
      <c r="AV2" s="5" t="s">
        <v>1476</v>
      </c>
      <c r="AW2" s="23" t="s">
        <v>2095</v>
      </c>
      <c r="AX2" s="5" t="s">
        <v>848</v>
      </c>
      <c r="AY2" s="5" t="s">
        <v>2096</v>
      </c>
      <c r="BA2" s="31" t="s">
        <v>672</v>
      </c>
    </row>
    <row r="3" customFormat="false" ht="14.25" hidden="false" customHeight="true" outlineLevel="0" collapsed="false">
      <c r="A3" s="5" t="n">
        <v>166</v>
      </c>
      <c r="B3" s="5" t="n">
        <v>166</v>
      </c>
      <c r="C3" s="5" t="s">
        <v>832</v>
      </c>
      <c r="D3" s="5" t="n">
        <v>2014</v>
      </c>
      <c r="E3" s="5" t="s">
        <v>833</v>
      </c>
      <c r="F3" s="5" t="s">
        <v>836</v>
      </c>
      <c r="G3" s="5" t="s">
        <v>837</v>
      </c>
      <c r="H3" s="5" t="n">
        <v>29.067</v>
      </c>
      <c r="I3" s="5" t="n">
        <v>77.767</v>
      </c>
      <c r="J3" s="5" t="s">
        <v>83</v>
      </c>
      <c r="K3" s="5" t="n">
        <v>2011</v>
      </c>
      <c r="L3" s="5" t="s">
        <v>802</v>
      </c>
      <c r="M3" s="5" t="s">
        <v>85</v>
      </c>
      <c r="N3" s="5" t="s">
        <v>86</v>
      </c>
      <c r="O3" s="5" t="s">
        <v>1630</v>
      </c>
      <c r="P3" s="5"/>
      <c r="Q3" s="5" t="n">
        <v>6.53</v>
      </c>
      <c r="R3" s="5"/>
      <c r="S3" s="5"/>
      <c r="T3" s="5"/>
      <c r="U3" s="5"/>
      <c r="V3" s="5" t="n">
        <v>14.36</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2094</v>
      </c>
      <c r="AS3" s="5" t="s">
        <v>1620</v>
      </c>
      <c r="AT3" s="5" t="s">
        <v>1621</v>
      </c>
      <c r="AU3" s="5" t="s">
        <v>1622</v>
      </c>
      <c r="AV3" s="5" t="s">
        <v>1476</v>
      </c>
      <c r="AW3" s="23" t="s">
        <v>2095</v>
      </c>
      <c r="AX3" s="5" t="s">
        <v>848</v>
      </c>
      <c r="AY3" s="5" t="s">
        <v>2096</v>
      </c>
    </row>
    <row r="4" customFormat="false" ht="14.25" hidden="false" customHeight="true" outlineLevel="0" collapsed="false">
      <c r="A4" s="5" t="n">
        <v>166</v>
      </c>
      <c r="B4" s="5" t="n">
        <v>166</v>
      </c>
      <c r="C4" s="5" t="s">
        <v>832</v>
      </c>
      <c r="D4" s="5" t="n">
        <v>2014</v>
      </c>
      <c r="E4" s="5" t="s">
        <v>833</v>
      </c>
      <c r="F4" s="5" t="s">
        <v>836</v>
      </c>
      <c r="G4" s="5" t="s">
        <v>837</v>
      </c>
      <c r="H4" s="5" t="n">
        <v>29.067</v>
      </c>
      <c r="I4" s="5" t="n">
        <v>77.767</v>
      </c>
      <c r="J4" s="5" t="s">
        <v>83</v>
      </c>
      <c r="K4" s="5" t="n">
        <v>2011</v>
      </c>
      <c r="L4" s="5" t="s">
        <v>802</v>
      </c>
      <c r="M4" s="5" t="s">
        <v>85</v>
      </c>
      <c r="N4" s="5" t="s">
        <v>1479</v>
      </c>
      <c r="O4" s="5" t="s">
        <v>1480</v>
      </c>
      <c r="P4" s="5"/>
      <c r="Q4" s="5" t="n">
        <v>5.43</v>
      </c>
      <c r="R4" s="5"/>
      <c r="S4" s="5"/>
      <c r="T4" s="5"/>
      <c r="U4" s="5"/>
      <c r="V4" s="5" t="n">
        <v>12.38</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2094</v>
      </c>
      <c r="AS4" s="5" t="s">
        <v>1620</v>
      </c>
      <c r="AT4" s="5" t="s">
        <v>1621</v>
      </c>
      <c r="AU4" s="5" t="s">
        <v>1622</v>
      </c>
      <c r="AV4" s="5" t="s">
        <v>1476</v>
      </c>
      <c r="AW4" s="23" t="s">
        <v>2097</v>
      </c>
      <c r="AX4" s="5" t="s">
        <v>848</v>
      </c>
      <c r="AY4" s="5" t="s">
        <v>2096</v>
      </c>
    </row>
    <row r="5" customFormat="false" ht="14.25" hidden="false" customHeight="true" outlineLevel="0" collapsed="false">
      <c r="A5" s="18" t="s">
        <v>887</v>
      </c>
      <c r="B5" s="18" t="s">
        <v>887</v>
      </c>
      <c r="C5" s="18" t="s">
        <v>888</v>
      </c>
      <c r="D5" s="18" t="n">
        <v>2019</v>
      </c>
      <c r="E5" s="18" t="s">
        <v>833</v>
      </c>
      <c r="F5" s="18" t="s">
        <v>891</v>
      </c>
      <c r="G5" s="18" t="s">
        <v>892</v>
      </c>
      <c r="H5" s="18" t="n">
        <v>29.7</v>
      </c>
      <c r="I5" s="18" t="n">
        <v>76.96</v>
      </c>
      <c r="J5" s="18" t="s">
        <v>83</v>
      </c>
      <c r="K5" s="18" t="n">
        <v>2013</v>
      </c>
      <c r="L5" s="18" t="s">
        <v>84</v>
      </c>
      <c r="M5" s="18" t="s">
        <v>85</v>
      </c>
      <c r="N5" s="18" t="s">
        <v>86</v>
      </c>
      <c r="O5" s="18" t="s">
        <v>1472</v>
      </c>
      <c r="P5" s="18" t="n">
        <v>10.9</v>
      </c>
      <c r="Q5" s="18" t="n">
        <v>6.5</v>
      </c>
      <c r="R5" s="18"/>
      <c r="S5" s="18"/>
      <c r="T5" s="18"/>
      <c r="U5" s="18"/>
      <c r="V5" s="18"/>
      <c r="W5" s="18"/>
      <c r="X5" s="18" t="n">
        <v>8.1</v>
      </c>
      <c r="Y5" s="18"/>
      <c r="Z5" s="18"/>
      <c r="AA5" s="18"/>
      <c r="AB5" s="18" t="n">
        <v>1</v>
      </c>
      <c r="AC5" s="18" t="n">
        <v>3</v>
      </c>
      <c r="AD5" s="18" t="n">
        <f aca="false">IF(AND(N(AB5)&gt;0,N(AC5)&gt;0),SQRT(2*AB5/AC5),"")</f>
        <v>0.816496580927726</v>
      </c>
      <c r="AE5" s="18"/>
      <c r="AF5" s="18" t="n">
        <v>2</v>
      </c>
      <c r="AG5" s="18" t="n">
        <v>42.5</v>
      </c>
      <c r="AH5" s="18" t="n">
        <v>700</v>
      </c>
      <c r="AI5" s="18" t="n">
        <v>29.7</v>
      </c>
      <c r="AJ5" s="18" t="n">
        <v>4</v>
      </c>
      <c r="AK5" s="18"/>
      <c r="AL5" s="18"/>
      <c r="AM5" s="18"/>
      <c r="AN5" s="18"/>
      <c r="AO5" s="18"/>
      <c r="AP5" s="18"/>
      <c r="AQ5" s="18"/>
      <c r="AR5" s="18" t="s">
        <v>2098</v>
      </c>
      <c r="AS5" s="18" t="s">
        <v>1639</v>
      </c>
      <c r="AT5" s="18" t="s">
        <v>1640</v>
      </c>
      <c r="AU5" s="18" t="s">
        <v>1641</v>
      </c>
      <c r="AV5" s="18" t="s">
        <v>1634</v>
      </c>
      <c r="AW5" s="30" t="s">
        <v>2099</v>
      </c>
      <c r="AX5" s="18" t="s">
        <v>901</v>
      </c>
      <c r="AY5" s="18" t="s">
        <v>2100</v>
      </c>
    </row>
    <row r="6" customFormat="false" ht="14.25" hidden="false" customHeight="true" outlineLevel="0" collapsed="false">
      <c r="A6" s="18" t="s">
        <v>887</v>
      </c>
      <c r="B6" s="18" t="s">
        <v>887</v>
      </c>
      <c r="C6" s="18" t="s">
        <v>888</v>
      </c>
      <c r="D6" s="18" t="n">
        <v>2019</v>
      </c>
      <c r="E6" s="18" t="s">
        <v>833</v>
      </c>
      <c r="F6" s="18" t="s">
        <v>891</v>
      </c>
      <c r="G6" s="18" t="s">
        <v>892</v>
      </c>
      <c r="H6" s="18" t="n">
        <v>29.7</v>
      </c>
      <c r="I6" s="18" t="n">
        <v>76.96</v>
      </c>
      <c r="J6" s="18" t="s">
        <v>83</v>
      </c>
      <c r="K6" s="18" t="n">
        <v>2013</v>
      </c>
      <c r="L6" s="18" t="s">
        <v>84</v>
      </c>
      <c r="M6" s="18" t="s">
        <v>85</v>
      </c>
      <c r="N6" s="18" t="s">
        <v>1479</v>
      </c>
      <c r="O6" s="18" t="s">
        <v>1480</v>
      </c>
      <c r="P6" s="18" t="n">
        <v>3.6</v>
      </c>
      <c r="Q6" s="18" t="n">
        <v>3.8</v>
      </c>
      <c r="R6" s="18"/>
      <c r="S6" s="18"/>
      <c r="T6" s="18"/>
      <c r="U6" s="18"/>
      <c r="V6" s="18"/>
      <c r="W6" s="18"/>
      <c r="X6" s="18" t="n">
        <v>5.4</v>
      </c>
      <c r="Y6" s="18"/>
      <c r="Z6" s="18"/>
      <c r="AA6" s="18"/>
      <c r="AB6" s="18" t="n">
        <v>1</v>
      </c>
      <c r="AC6" s="18" t="n">
        <v>3</v>
      </c>
      <c r="AD6" s="18" t="n">
        <f aca="false">IF(AND(N(AB6)&gt;0,N(AC6)&gt;0),SQRT(2*AB6/AC6),"")</f>
        <v>0.816496580927726</v>
      </c>
      <c r="AE6" s="18"/>
      <c r="AF6" s="18" t="n">
        <v>2</v>
      </c>
      <c r="AG6" s="18" t="n">
        <v>42.5</v>
      </c>
      <c r="AH6" s="18" t="n">
        <v>700</v>
      </c>
      <c r="AI6" s="18" t="n">
        <v>29.7</v>
      </c>
      <c r="AJ6" s="18" t="n">
        <v>4</v>
      </c>
      <c r="AK6" s="18"/>
      <c r="AL6" s="18"/>
      <c r="AM6" s="18"/>
      <c r="AN6" s="18"/>
      <c r="AO6" s="18"/>
      <c r="AP6" s="18"/>
      <c r="AQ6" s="18"/>
      <c r="AR6" s="18" t="s">
        <v>2098</v>
      </c>
      <c r="AS6" s="18" t="s">
        <v>1639</v>
      </c>
      <c r="AT6" s="18" t="s">
        <v>1640</v>
      </c>
      <c r="AU6" s="18" t="s">
        <v>1641</v>
      </c>
      <c r="AV6" s="18" t="s">
        <v>1634</v>
      </c>
      <c r="AW6" s="30" t="s">
        <v>2099</v>
      </c>
      <c r="AX6" s="18" t="s">
        <v>901</v>
      </c>
      <c r="AY6" s="18" t="s">
        <v>2100</v>
      </c>
    </row>
    <row r="7" customFormat="false" ht="14.25" hidden="false" customHeight="true" outlineLevel="0" collapsed="false">
      <c r="A7" s="18" t="s">
        <v>887</v>
      </c>
      <c r="B7" s="18" t="s">
        <v>887</v>
      </c>
      <c r="C7" s="18" t="s">
        <v>888</v>
      </c>
      <c r="D7" s="18" t="n">
        <v>2019</v>
      </c>
      <c r="E7" s="18" t="s">
        <v>833</v>
      </c>
      <c r="F7" s="18" t="s">
        <v>891</v>
      </c>
      <c r="G7" s="18" t="s">
        <v>892</v>
      </c>
      <c r="H7" s="18" t="n">
        <v>29.7</v>
      </c>
      <c r="I7" s="18" t="n">
        <v>76.96</v>
      </c>
      <c r="J7" s="18" t="s">
        <v>83</v>
      </c>
      <c r="K7" s="18" t="n">
        <v>2015</v>
      </c>
      <c r="L7" s="18" t="s">
        <v>84</v>
      </c>
      <c r="M7" s="18" t="s">
        <v>85</v>
      </c>
      <c r="N7" s="18" t="s">
        <v>86</v>
      </c>
      <c r="O7" s="18" t="s">
        <v>1472</v>
      </c>
      <c r="P7" s="18" t="n">
        <v>11.4</v>
      </c>
      <c r="Q7" s="18" t="n">
        <v>6.3</v>
      </c>
      <c r="R7" s="18"/>
      <c r="S7" s="18"/>
      <c r="T7" s="18"/>
      <c r="U7" s="18"/>
      <c r="V7" s="18"/>
      <c r="W7" s="18"/>
      <c r="X7" s="18" t="n">
        <v>8.7</v>
      </c>
      <c r="Y7" s="18"/>
      <c r="Z7" s="18"/>
      <c r="AA7" s="18"/>
      <c r="AB7" s="18" t="n">
        <v>1</v>
      </c>
      <c r="AC7" s="18" t="n">
        <v>3</v>
      </c>
      <c r="AD7" s="18" t="n">
        <f aca="false">IF(AND(N(AB7)&gt;0,N(AC7)&gt;0),SQRT(2*AB7/AC7),"")</f>
        <v>0.816496580927726</v>
      </c>
      <c r="AE7" s="18"/>
      <c r="AF7" s="18" t="n">
        <v>2</v>
      </c>
      <c r="AG7" s="18" t="n">
        <v>42.5</v>
      </c>
      <c r="AH7" s="18" t="n">
        <v>700</v>
      </c>
      <c r="AI7" s="18" t="n">
        <v>29.7</v>
      </c>
      <c r="AJ7" s="18" t="n">
        <v>6</v>
      </c>
      <c r="AK7" s="18"/>
      <c r="AL7" s="18"/>
      <c r="AM7" s="18"/>
      <c r="AN7" s="18"/>
      <c r="AO7" s="18"/>
      <c r="AP7" s="18"/>
      <c r="AQ7" s="18"/>
      <c r="AR7" s="18" t="s">
        <v>2098</v>
      </c>
      <c r="AS7" s="18" t="s">
        <v>1639</v>
      </c>
      <c r="AT7" s="18" t="s">
        <v>1645</v>
      </c>
      <c r="AU7" s="18" t="s">
        <v>1641</v>
      </c>
      <c r="AV7" s="18" t="s">
        <v>1634</v>
      </c>
      <c r="AW7" s="30" t="s">
        <v>2099</v>
      </c>
      <c r="AX7" s="18" t="s">
        <v>901</v>
      </c>
      <c r="AY7" s="18" t="s">
        <v>2100</v>
      </c>
    </row>
    <row r="8" customFormat="false" ht="14.25" hidden="false" customHeight="true" outlineLevel="0" collapsed="false">
      <c r="A8" s="18" t="s">
        <v>887</v>
      </c>
      <c r="B8" s="18" t="s">
        <v>887</v>
      </c>
      <c r="C8" s="18" t="s">
        <v>888</v>
      </c>
      <c r="D8" s="18" t="n">
        <v>2019</v>
      </c>
      <c r="E8" s="18" t="s">
        <v>833</v>
      </c>
      <c r="F8" s="18" t="s">
        <v>891</v>
      </c>
      <c r="G8" s="18" t="s">
        <v>892</v>
      </c>
      <c r="H8" s="18" t="n">
        <v>29.7</v>
      </c>
      <c r="I8" s="18" t="n">
        <v>76.96</v>
      </c>
      <c r="J8" s="18" t="s">
        <v>83</v>
      </c>
      <c r="K8" s="18" t="n">
        <v>2015</v>
      </c>
      <c r="L8" s="18" t="s">
        <v>84</v>
      </c>
      <c r="M8" s="18" t="s">
        <v>85</v>
      </c>
      <c r="N8" s="18" t="s">
        <v>1479</v>
      </c>
      <c r="O8" s="18" t="s">
        <v>1480</v>
      </c>
      <c r="P8" s="18" t="n">
        <v>5.2</v>
      </c>
      <c r="Q8" s="18" t="n">
        <v>5.6</v>
      </c>
      <c r="R8" s="18"/>
      <c r="S8" s="18"/>
      <c r="T8" s="18"/>
      <c r="U8" s="18"/>
      <c r="V8" s="18"/>
      <c r="W8" s="18"/>
      <c r="X8" s="18" t="n">
        <v>7</v>
      </c>
      <c r="Y8" s="18"/>
      <c r="Z8" s="18"/>
      <c r="AA8" s="18"/>
      <c r="AB8" s="18" t="n">
        <v>1</v>
      </c>
      <c r="AC8" s="18" t="n">
        <v>3</v>
      </c>
      <c r="AD8" s="18" t="n">
        <f aca="false">IF(AND(N(AB8)&gt;0,N(AC8)&gt;0),SQRT(2*AB8/AC8),"")</f>
        <v>0.816496580927726</v>
      </c>
      <c r="AE8" s="18"/>
      <c r="AF8" s="18" t="n">
        <v>2</v>
      </c>
      <c r="AG8" s="18" t="n">
        <v>42.5</v>
      </c>
      <c r="AH8" s="18" t="n">
        <v>700</v>
      </c>
      <c r="AI8" s="18" t="n">
        <v>29.7</v>
      </c>
      <c r="AJ8" s="18" t="n">
        <v>6</v>
      </c>
      <c r="AK8" s="18"/>
      <c r="AL8" s="18"/>
      <c r="AM8" s="18"/>
      <c r="AN8" s="18"/>
      <c r="AO8" s="18"/>
      <c r="AP8" s="18"/>
      <c r="AQ8" s="18"/>
      <c r="AR8" s="18" t="s">
        <v>2098</v>
      </c>
      <c r="AS8" s="18" t="s">
        <v>1639</v>
      </c>
      <c r="AT8" s="18" t="s">
        <v>1645</v>
      </c>
      <c r="AU8" s="18" t="s">
        <v>1641</v>
      </c>
      <c r="AV8" s="18" t="s">
        <v>1634</v>
      </c>
      <c r="AW8" s="30" t="s">
        <v>2099</v>
      </c>
      <c r="AX8" s="18" t="s">
        <v>901</v>
      </c>
      <c r="AY8" s="18" t="s">
        <v>2100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2101</v>
      </c>
      <c r="Q1" s="25" t="s">
        <v>2102</v>
      </c>
      <c r="R1" s="25" t="s">
        <v>2103</v>
      </c>
      <c r="S1" s="25" t="s">
        <v>2104</v>
      </c>
      <c r="T1" s="25" t="s">
        <v>2105</v>
      </c>
      <c r="U1" s="25" t="s">
        <v>2106</v>
      </c>
      <c r="V1" s="25" t="s">
        <v>2107</v>
      </c>
      <c r="W1" s="25" t="s">
        <v>2108</v>
      </c>
      <c r="X1" s="28" t="s">
        <v>2109</v>
      </c>
      <c r="Y1" s="28" t="s">
        <v>2110</v>
      </c>
      <c r="Z1" s="28" t="s">
        <v>2111</v>
      </c>
      <c r="AA1" s="28" t="s">
        <v>2112</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BA2" s="31" t="s">
        <v>672</v>
      </c>
    </row>
    <row r="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2113</v>
      </c>
      <c r="Q1" s="25" t="s">
        <v>2114</v>
      </c>
      <c r="R1" s="25" t="s">
        <v>2115</v>
      </c>
      <c r="S1" s="25" t="s">
        <v>2116</v>
      </c>
      <c r="T1" s="25" t="s">
        <v>2117</v>
      </c>
      <c r="U1" s="25" t="s">
        <v>2118</v>
      </c>
      <c r="V1" s="25" t="s">
        <v>2119</v>
      </c>
      <c r="W1" s="25" t="s">
        <v>2120</v>
      </c>
      <c r="X1" s="28" t="s">
        <v>2121</v>
      </c>
      <c r="Y1" s="28" t="s">
        <v>2122</v>
      </c>
      <c r="Z1" s="28" t="s">
        <v>2123</v>
      </c>
      <c r="AA1" s="28" t="s">
        <v>2124</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BA2" s="31" t="s">
        <v>672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2125</v>
      </c>
      <c r="Q1" s="25" t="s">
        <v>2126</v>
      </c>
      <c r="R1" s="25" t="s">
        <v>2127</v>
      </c>
      <c r="S1" s="25" t="s">
        <v>2128</v>
      </c>
      <c r="T1" s="25" t="s">
        <v>2129</v>
      </c>
      <c r="U1" s="25" t="s">
        <v>2130</v>
      </c>
      <c r="V1" s="25" t="s">
        <v>2131</v>
      </c>
      <c r="W1" s="25" t="s">
        <v>2132</v>
      </c>
      <c r="X1" s="28" t="s">
        <v>2133</v>
      </c>
      <c r="Y1" s="28" t="s">
        <v>2134</v>
      </c>
      <c r="Z1" s="28" t="s">
        <v>2135</v>
      </c>
      <c r="AA1" s="28" t="s">
        <v>2136</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A2" s="18" t="s">
        <v>887</v>
      </c>
      <c r="B2" s="18" t="s">
        <v>887</v>
      </c>
      <c r="C2" s="18" t="s">
        <v>888</v>
      </c>
      <c r="D2" s="18" t="n">
        <v>2019</v>
      </c>
      <c r="E2" s="18" t="s">
        <v>833</v>
      </c>
      <c r="F2" s="18" t="s">
        <v>891</v>
      </c>
      <c r="G2" s="18" t="s">
        <v>892</v>
      </c>
      <c r="H2" s="18" t="n">
        <v>29.7</v>
      </c>
      <c r="I2" s="18" t="n">
        <v>76.96</v>
      </c>
      <c r="J2" s="18" t="s">
        <v>83</v>
      </c>
      <c r="K2" s="18" t="n">
        <v>2013</v>
      </c>
      <c r="L2" s="18" t="s">
        <v>84</v>
      </c>
      <c r="M2" s="18" t="s">
        <v>85</v>
      </c>
      <c r="N2" s="18" t="s">
        <v>86</v>
      </c>
      <c r="O2" s="18" t="s">
        <v>1472</v>
      </c>
      <c r="P2" s="18" t="n">
        <v>6.08</v>
      </c>
      <c r="Q2" s="18" t="n">
        <v>5.27</v>
      </c>
      <c r="R2" s="18"/>
      <c r="S2" s="18"/>
      <c r="T2" s="18"/>
      <c r="U2" s="18"/>
      <c r="V2" s="18"/>
      <c r="W2" s="18"/>
      <c r="X2" s="18" t="n">
        <v>6.78</v>
      </c>
      <c r="Y2" s="18"/>
      <c r="Z2" s="18"/>
      <c r="AA2" s="18"/>
      <c r="AB2" s="18" t="n">
        <v>1</v>
      </c>
      <c r="AC2" s="18" t="n">
        <v>3</v>
      </c>
      <c r="AD2" s="18" t="n">
        <f aca="false">IF(AND(N(AB2)&gt;0,N(AC2)&gt;0),SQRT(2*AB2/AC2),"")</f>
        <v>0.816496580927726</v>
      </c>
      <c r="AE2" s="18"/>
      <c r="AF2" s="18" t="n">
        <v>2</v>
      </c>
      <c r="AG2" s="18" t="n">
        <v>42.5</v>
      </c>
      <c r="AH2" s="18" t="n">
        <v>700</v>
      </c>
      <c r="AI2" s="18" t="n">
        <v>29.7</v>
      </c>
      <c r="AJ2" s="18" t="n">
        <v>4</v>
      </c>
      <c r="AK2" s="18"/>
      <c r="AL2" s="18"/>
      <c r="AM2" s="18"/>
      <c r="AN2" s="18"/>
      <c r="AO2" s="18"/>
      <c r="AP2" s="18"/>
      <c r="AQ2" s="18"/>
      <c r="AR2" s="18" t="s">
        <v>2137</v>
      </c>
      <c r="AS2" s="18" t="s">
        <v>1639</v>
      </c>
      <c r="AT2" s="18" t="s">
        <v>1776</v>
      </c>
      <c r="AU2" s="18" t="s">
        <v>1641</v>
      </c>
      <c r="AV2" s="18" t="s">
        <v>2138</v>
      </c>
      <c r="AW2" s="30" t="s">
        <v>2139</v>
      </c>
      <c r="AX2" s="18" t="s">
        <v>901</v>
      </c>
      <c r="AY2" s="18" t="s">
        <v>2140</v>
      </c>
      <c r="BA2" s="31" t="s">
        <v>1032</v>
      </c>
    </row>
    <row r="3" customFormat="false" ht="15" hidden="false" customHeight="true" outlineLevel="0" collapsed="false">
      <c r="A3" s="18" t="s">
        <v>887</v>
      </c>
      <c r="B3" s="18" t="s">
        <v>887</v>
      </c>
      <c r="C3" s="18" t="s">
        <v>888</v>
      </c>
      <c r="D3" s="18" t="n">
        <v>2019</v>
      </c>
      <c r="E3" s="18" t="s">
        <v>833</v>
      </c>
      <c r="F3" s="18" t="s">
        <v>891</v>
      </c>
      <c r="G3" s="18" t="s">
        <v>892</v>
      </c>
      <c r="H3" s="18" t="n">
        <v>29.7</v>
      </c>
      <c r="I3" s="18" t="n">
        <v>76.96</v>
      </c>
      <c r="J3" s="18" t="s">
        <v>83</v>
      </c>
      <c r="K3" s="18" t="n">
        <v>2015</v>
      </c>
      <c r="L3" s="18" t="s">
        <v>84</v>
      </c>
      <c r="M3" s="18" t="s">
        <v>85</v>
      </c>
      <c r="N3" s="18" t="s">
        <v>86</v>
      </c>
      <c r="O3" s="18" t="s">
        <v>1472</v>
      </c>
      <c r="P3" s="18" t="n">
        <v>8.55</v>
      </c>
      <c r="Q3" s="18" t="n">
        <v>4.66</v>
      </c>
      <c r="R3" s="18"/>
      <c r="S3" s="18"/>
      <c r="T3" s="18"/>
      <c r="U3" s="18"/>
      <c r="V3" s="18"/>
      <c r="W3" s="18"/>
      <c r="X3" s="18" t="n">
        <v>10.01</v>
      </c>
      <c r="Y3" s="18"/>
      <c r="Z3" s="18"/>
      <c r="AA3" s="18"/>
      <c r="AB3" s="18" t="n">
        <v>1</v>
      </c>
      <c r="AC3" s="18" t="n">
        <v>3</v>
      </c>
      <c r="AD3" s="18" t="n">
        <f aca="false">IF(AND(N(AB3)&gt;0,N(AC3)&gt;0),SQRT(2*AB3/AC3),"")</f>
        <v>0.816496580927726</v>
      </c>
      <c r="AE3" s="18"/>
      <c r="AF3" s="18" t="n">
        <v>2</v>
      </c>
      <c r="AG3" s="18" t="n">
        <v>42.5</v>
      </c>
      <c r="AH3" s="18" t="n">
        <v>700</v>
      </c>
      <c r="AI3" s="18" t="n">
        <v>29.7</v>
      </c>
      <c r="AJ3" s="18" t="n">
        <v>6</v>
      </c>
      <c r="AK3" s="18"/>
      <c r="AL3" s="18"/>
      <c r="AM3" s="18"/>
      <c r="AN3" s="18"/>
      <c r="AO3" s="18"/>
      <c r="AP3" s="18"/>
      <c r="AQ3" s="18"/>
      <c r="AR3" s="18" t="s">
        <v>2137</v>
      </c>
      <c r="AS3" s="18" t="s">
        <v>1639</v>
      </c>
      <c r="AT3" s="18" t="s">
        <v>1780</v>
      </c>
      <c r="AU3" s="18" t="s">
        <v>1641</v>
      </c>
      <c r="AV3" s="18" t="s">
        <v>2141</v>
      </c>
      <c r="AW3" s="30" t="s">
        <v>2142</v>
      </c>
      <c r="AX3" s="18" t="s">
        <v>901</v>
      </c>
      <c r="AY3" s="18" t="s">
        <v>2140</v>
      </c>
    </row>
    <row r="4" customFormat="false" ht="15" hidden="false" customHeight="true" outlineLevel="0" collapsed="false">
      <c r="A4" s="18" t="s">
        <v>887</v>
      </c>
      <c r="B4" s="18" t="s">
        <v>887</v>
      </c>
      <c r="C4" s="18" t="s">
        <v>888</v>
      </c>
      <c r="D4" s="18" t="n">
        <v>2019</v>
      </c>
      <c r="E4" s="18" t="s">
        <v>833</v>
      </c>
      <c r="F4" s="18" t="s">
        <v>891</v>
      </c>
      <c r="G4" s="18" t="s">
        <v>892</v>
      </c>
      <c r="H4" s="18" t="n">
        <v>29.7</v>
      </c>
      <c r="I4" s="18" t="n">
        <v>76.96</v>
      </c>
      <c r="J4" s="18" t="s">
        <v>83</v>
      </c>
      <c r="K4" s="18" t="n">
        <v>2013</v>
      </c>
      <c r="L4" s="18" t="s">
        <v>84</v>
      </c>
      <c r="M4" s="18" t="s">
        <v>85</v>
      </c>
      <c r="N4" s="18" t="s">
        <v>1479</v>
      </c>
      <c r="O4" s="18" t="s">
        <v>1480</v>
      </c>
      <c r="P4" s="18" t="n">
        <v>3.88</v>
      </c>
      <c r="Q4" s="18" t="n">
        <v>3.02</v>
      </c>
      <c r="R4" s="18"/>
      <c r="S4" s="18"/>
      <c r="T4" s="18"/>
      <c r="U4" s="18"/>
      <c r="V4" s="18"/>
      <c r="W4" s="18"/>
      <c r="X4" s="18" t="n">
        <v>1.58</v>
      </c>
      <c r="Y4" s="18"/>
      <c r="Z4" s="18"/>
      <c r="AA4" s="18"/>
      <c r="AB4" s="18" t="n">
        <v>1</v>
      </c>
      <c r="AC4" s="18" t="n">
        <v>3</v>
      </c>
      <c r="AD4" s="18" t="n">
        <f aca="false">IF(AND(N(AB4)&gt;0,N(AC4)&gt;0),SQRT(2*AB4/AC4),"")</f>
        <v>0.816496580927726</v>
      </c>
      <c r="AE4" s="18"/>
      <c r="AF4" s="18" t="n">
        <v>2</v>
      </c>
      <c r="AG4" s="18" t="n">
        <v>42.5</v>
      </c>
      <c r="AH4" s="18" t="n">
        <v>700</v>
      </c>
      <c r="AI4" s="18" t="n">
        <v>29.7</v>
      </c>
      <c r="AJ4" s="18" t="n">
        <v>4</v>
      </c>
      <c r="AK4" s="18"/>
      <c r="AL4" s="18"/>
      <c r="AM4" s="18"/>
      <c r="AN4" s="18"/>
      <c r="AO4" s="18"/>
      <c r="AP4" s="18"/>
      <c r="AQ4" s="18"/>
      <c r="AR4" s="18" t="s">
        <v>2137</v>
      </c>
      <c r="AS4" s="18" t="s">
        <v>1639</v>
      </c>
      <c r="AT4" s="18" t="s">
        <v>1776</v>
      </c>
      <c r="AU4" s="18" t="s">
        <v>1641</v>
      </c>
      <c r="AV4" s="18" t="s">
        <v>2138</v>
      </c>
      <c r="AW4" s="30" t="s">
        <v>2143</v>
      </c>
      <c r="AX4" s="18" t="s">
        <v>901</v>
      </c>
      <c r="AY4" s="18" t="s">
        <v>2140</v>
      </c>
    </row>
    <row r="5" customFormat="false" ht="15" hidden="false" customHeight="true" outlineLevel="0" collapsed="false">
      <c r="A5" s="18" t="s">
        <v>887</v>
      </c>
      <c r="B5" s="18" t="s">
        <v>887</v>
      </c>
      <c r="C5" s="18" t="s">
        <v>888</v>
      </c>
      <c r="D5" s="18" t="n">
        <v>2019</v>
      </c>
      <c r="E5" s="18" t="s">
        <v>833</v>
      </c>
      <c r="F5" s="18" t="s">
        <v>891</v>
      </c>
      <c r="G5" s="18" t="s">
        <v>892</v>
      </c>
      <c r="H5" s="18" t="n">
        <v>29.7</v>
      </c>
      <c r="I5" s="18" t="n">
        <v>76.96</v>
      </c>
      <c r="J5" s="18" t="s">
        <v>83</v>
      </c>
      <c r="K5" s="18" t="n">
        <v>2015</v>
      </c>
      <c r="L5" s="18" t="s">
        <v>84</v>
      </c>
      <c r="M5" s="18" t="s">
        <v>85</v>
      </c>
      <c r="N5" s="18" t="s">
        <v>1479</v>
      </c>
      <c r="O5" s="18" t="s">
        <v>1480</v>
      </c>
      <c r="P5" s="18" t="n">
        <v>3.07</v>
      </c>
      <c r="Q5" s="18" t="n">
        <v>1.81</v>
      </c>
      <c r="R5" s="18"/>
      <c r="S5" s="18"/>
      <c r="T5" s="18"/>
      <c r="U5" s="18"/>
      <c r="V5" s="18"/>
      <c r="W5" s="18"/>
      <c r="X5" s="18" t="n">
        <v>3.46</v>
      </c>
      <c r="Y5" s="18"/>
      <c r="Z5" s="18"/>
      <c r="AA5" s="18"/>
      <c r="AB5" s="18" t="n">
        <v>1</v>
      </c>
      <c r="AC5" s="18" t="n">
        <v>3</v>
      </c>
      <c r="AD5" s="18" t="n">
        <f aca="false">IF(AND(N(AB5)&gt;0,N(AC5)&gt;0),SQRT(2*AB5/AC5),"")</f>
        <v>0.816496580927726</v>
      </c>
      <c r="AE5" s="18"/>
      <c r="AF5" s="18" t="n">
        <v>2</v>
      </c>
      <c r="AG5" s="18" t="n">
        <v>42.5</v>
      </c>
      <c r="AH5" s="18" t="n">
        <v>700</v>
      </c>
      <c r="AI5" s="18" t="n">
        <v>29.7</v>
      </c>
      <c r="AJ5" s="18" t="n">
        <v>6</v>
      </c>
      <c r="AK5" s="18"/>
      <c r="AL5" s="18"/>
      <c r="AM5" s="18"/>
      <c r="AN5" s="18"/>
      <c r="AO5" s="18"/>
      <c r="AP5" s="18"/>
      <c r="AQ5" s="18"/>
      <c r="AR5" s="18" t="s">
        <v>2137</v>
      </c>
      <c r="AS5" s="18" t="s">
        <v>1639</v>
      </c>
      <c r="AT5" s="18" t="s">
        <v>1780</v>
      </c>
      <c r="AU5" s="18" t="s">
        <v>1641</v>
      </c>
      <c r="AV5" s="18" t="s">
        <v>2141</v>
      </c>
      <c r="AW5" s="30" t="s">
        <v>2144</v>
      </c>
      <c r="AX5" s="18" t="s">
        <v>901</v>
      </c>
      <c r="AY5" s="18" t="s">
        <v>2140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2145</v>
      </c>
      <c r="Q1" s="25" t="s">
        <v>2146</v>
      </c>
      <c r="R1" s="25" t="s">
        <v>2147</v>
      </c>
      <c r="S1" s="25" t="s">
        <v>2148</v>
      </c>
      <c r="T1" s="25" t="s">
        <v>2149</v>
      </c>
      <c r="U1" s="25" t="s">
        <v>2150</v>
      </c>
      <c r="V1" s="25" t="s">
        <v>2151</v>
      </c>
      <c r="W1" s="25" t="s">
        <v>2152</v>
      </c>
      <c r="X1" s="28" t="s">
        <v>2153</v>
      </c>
      <c r="Y1" s="28" t="s">
        <v>2154</v>
      </c>
      <c r="Z1" s="28" t="s">
        <v>2155</v>
      </c>
      <c r="AA1" s="28" t="s">
        <v>2156</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BA2" s="31" t="s">
        <v>1035</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2157</v>
      </c>
      <c r="Q1" s="25" t="s">
        <v>2158</v>
      </c>
      <c r="R1" s="25" t="s">
        <v>2159</v>
      </c>
      <c r="S1" s="25" t="s">
        <v>2160</v>
      </c>
      <c r="T1" s="25" t="s">
        <v>2161</v>
      </c>
      <c r="U1" s="25" t="s">
        <v>2162</v>
      </c>
      <c r="V1" s="25" t="s">
        <v>2163</v>
      </c>
      <c r="W1" s="25" t="s">
        <v>2164</v>
      </c>
      <c r="X1" s="28" t="s">
        <v>2165</v>
      </c>
      <c r="Y1" s="28" t="s">
        <v>2166</v>
      </c>
      <c r="Z1" s="28" t="s">
        <v>2167</v>
      </c>
      <c r="AA1" s="28" t="s">
        <v>2168</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BA2" s="31" t="s">
        <v>1037</v>
      </c>
    </row>
    <row r="3" customFormat="false" ht="15" hidden="false" customHeight="true" outlineLevel="0" collapsed="false"/>
    <row r="4" customFormat="false" ht="15" hidden="false" customHeight="true" outlineLevel="0" collapsed="false">
      <c r="BA4" s="33" t="s">
        <v>2169</v>
      </c>
    </row>
    <row r="5" customFormat="false" ht="15" hidden="false" customHeight="true" outlineLevel="0" collapsed="false">
      <c r="BA5" s="34" t="s">
        <v>2170</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2171</v>
      </c>
      <c r="Q1" s="25" t="s">
        <v>2172</v>
      </c>
      <c r="R1" s="25" t="s">
        <v>2173</v>
      </c>
      <c r="S1" s="25" t="s">
        <v>2174</v>
      </c>
      <c r="T1" s="25" t="s">
        <v>2175</v>
      </c>
      <c r="U1" s="25" t="s">
        <v>2176</v>
      </c>
      <c r="V1" s="25" t="s">
        <v>2177</v>
      </c>
      <c r="W1" s="25" t="s">
        <v>2178</v>
      </c>
      <c r="X1" s="28" t="s">
        <v>2179</v>
      </c>
      <c r="Y1" s="28" t="s">
        <v>2180</v>
      </c>
      <c r="Z1" s="28" t="s">
        <v>2181</v>
      </c>
      <c r="AA1" s="28" t="s">
        <v>2182</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BA2" s="31" t="s">
        <v>1039</v>
      </c>
    </row>
    <row r="3" customFormat="false" ht="15" hidden="false" customHeight="true" outlineLevel="0" collapsed="false"/>
    <row r="4" customFormat="false" ht="15" hidden="false" customHeight="true" outlineLevel="0" collapsed="false">
      <c r="BA4" s="33" t="s">
        <v>2169</v>
      </c>
    </row>
    <row r="5" customFormat="false" ht="15" hidden="false" customHeight="true" outlineLevel="0" collapsed="false">
      <c r="BA5" s="34" t="s">
        <v>2170</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2183</v>
      </c>
      <c r="Q1" s="25" t="s">
        <v>2184</v>
      </c>
      <c r="R1" s="25" t="s">
        <v>2185</v>
      </c>
      <c r="S1" s="25" t="s">
        <v>2186</v>
      </c>
      <c r="T1" s="25" t="s">
        <v>2187</v>
      </c>
      <c r="U1" s="25" t="s">
        <v>2188</v>
      </c>
      <c r="V1" s="25" t="s">
        <v>2189</v>
      </c>
      <c r="W1" s="25" t="s">
        <v>2190</v>
      </c>
      <c r="X1" s="28" t="s">
        <v>2191</v>
      </c>
      <c r="Y1" s="28" t="s">
        <v>2192</v>
      </c>
      <c r="Z1" s="28" t="s">
        <v>2193</v>
      </c>
      <c r="AA1" s="28" t="s">
        <v>2194</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BA2" s="31" t="s">
        <v>1041</v>
      </c>
    </row>
    <row r="3" customFormat="false" ht="15" hidden="false" customHeight="true" outlineLevel="0" collapsed="false"/>
    <row r="4" customFormat="false" ht="15" hidden="false" customHeight="true" outlineLevel="0" collapsed="false">
      <c r="BA4" s="33" t="s">
        <v>2169</v>
      </c>
    </row>
    <row r="5" customFormat="false" ht="15" hidden="false" customHeight="true" outlineLevel="0" collapsed="false">
      <c r="BA5" s="34" t="s">
        <v>2195</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2196</v>
      </c>
      <c r="Q1" s="25" t="s">
        <v>2197</v>
      </c>
      <c r="R1" s="25" t="s">
        <v>2198</v>
      </c>
      <c r="S1" s="25" t="s">
        <v>2199</v>
      </c>
      <c r="T1" s="25" t="s">
        <v>2200</v>
      </c>
      <c r="U1" s="25" t="s">
        <v>2201</v>
      </c>
      <c r="V1" s="25" t="s">
        <v>2202</v>
      </c>
      <c r="W1" s="25" t="s">
        <v>2203</v>
      </c>
      <c r="X1" s="28" t="s">
        <v>2204</v>
      </c>
      <c r="Y1" s="28" t="s">
        <v>2205</v>
      </c>
      <c r="Z1" s="28" t="s">
        <v>2206</v>
      </c>
      <c r="AA1" s="28" t="s">
        <v>2207</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BA2" s="31" t="s">
        <v>1043</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2208</v>
      </c>
      <c r="Q1" s="25" t="s">
        <v>2209</v>
      </c>
      <c r="R1" s="25" t="s">
        <v>2210</v>
      </c>
      <c r="S1" s="25" t="s">
        <v>2211</v>
      </c>
      <c r="T1" s="25" t="s">
        <v>2212</v>
      </c>
      <c r="U1" s="25" t="s">
        <v>2213</v>
      </c>
      <c r="V1" s="25" t="s">
        <v>2214</v>
      </c>
      <c r="W1" s="25" t="s">
        <v>2215</v>
      </c>
      <c r="X1" s="28" t="s">
        <v>2216</v>
      </c>
      <c r="Y1" s="28" t="s">
        <v>2217</v>
      </c>
      <c r="Z1" s="28" t="s">
        <v>2218</v>
      </c>
      <c r="AA1" s="28" t="s">
        <v>2219</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BA2" s="31" t="s">
        <v>1045</v>
      </c>
    </row>
    <row r="3" customFormat="false" ht="15" hidden="false" customHeight="true" outlineLevel="0" collapsed="false"/>
    <row r="4" customFormat="false" ht="15" hidden="false" customHeight="true" outlineLevel="0" collapsed="false">
      <c r="BA4" s="33" t="s">
        <v>2169</v>
      </c>
    </row>
    <row r="5" customFormat="false" ht="15" hidden="false" customHeight="true" outlineLevel="0" collapsed="false">
      <c r="BA5" s="34" t="s">
        <v>2220</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2221</v>
      </c>
      <c r="Q1" s="25" t="s">
        <v>2222</v>
      </c>
      <c r="R1" s="25" t="s">
        <v>2223</v>
      </c>
      <c r="S1" s="25" t="s">
        <v>2224</v>
      </c>
      <c r="T1" s="25" t="s">
        <v>2225</v>
      </c>
      <c r="U1" s="25" t="s">
        <v>2226</v>
      </c>
      <c r="V1" s="25" t="s">
        <v>2227</v>
      </c>
      <c r="W1" s="25" t="s">
        <v>2228</v>
      </c>
      <c r="X1" s="28" t="s">
        <v>2229</v>
      </c>
      <c r="Y1" s="28" t="s">
        <v>2230</v>
      </c>
      <c r="Z1" s="28" t="s">
        <v>2231</v>
      </c>
      <c r="AA1" s="28" t="s">
        <v>2232</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BA2" s="31" t="s">
        <v>1047</v>
      </c>
    </row>
    <row r="3" customFormat="false" ht="15" hidden="false" customHeight="true" outlineLevel="0" collapsed="false"/>
    <row r="4" customFormat="false" ht="15" hidden="false" customHeight="true" outlineLevel="0" collapsed="false">
      <c r="BA4" s="33" t="s">
        <v>2169</v>
      </c>
    </row>
    <row r="5" customFormat="false" ht="15" hidden="false" customHeight="true" outlineLevel="0" collapsed="false">
      <c r="BA5" s="34" t="s">
        <v>2233</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2234</v>
      </c>
      <c r="Q1" s="25" t="s">
        <v>2235</v>
      </c>
      <c r="R1" s="25" t="s">
        <v>2236</v>
      </c>
      <c r="S1" s="25" t="s">
        <v>2237</v>
      </c>
      <c r="T1" s="25" t="s">
        <v>2238</v>
      </c>
      <c r="U1" s="25" t="s">
        <v>2239</v>
      </c>
      <c r="V1" s="25" t="s">
        <v>2240</v>
      </c>
      <c r="W1" s="25" t="s">
        <v>2241</v>
      </c>
      <c r="X1" s="28" t="s">
        <v>2242</v>
      </c>
      <c r="Y1" s="28" t="s">
        <v>2243</v>
      </c>
      <c r="Z1" s="28" t="s">
        <v>2244</v>
      </c>
      <c r="AA1" s="28" t="s">
        <v>2245</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A2" s="5" t="n">
        <v>166</v>
      </c>
      <c r="B2" s="5" t="n">
        <v>166</v>
      </c>
      <c r="C2" s="5" t="s">
        <v>832</v>
      </c>
      <c r="D2" s="5" t="n">
        <v>2014</v>
      </c>
      <c r="E2" s="5" t="s">
        <v>833</v>
      </c>
      <c r="F2" s="5" t="s">
        <v>836</v>
      </c>
      <c r="G2" s="5" t="s">
        <v>837</v>
      </c>
      <c r="H2" s="5" t="n">
        <v>29.067</v>
      </c>
      <c r="I2" s="5" t="n">
        <v>77.767</v>
      </c>
      <c r="J2" s="5" t="s">
        <v>83</v>
      </c>
      <c r="K2" s="5" t="n">
        <v>2011</v>
      </c>
      <c r="L2" s="5" t="s">
        <v>802</v>
      </c>
      <c r="M2" s="5" t="s">
        <v>85</v>
      </c>
      <c r="N2" s="5" t="s">
        <v>86</v>
      </c>
      <c r="O2" s="5" t="s">
        <v>1618</v>
      </c>
      <c r="P2" s="5"/>
      <c r="Q2" s="5" t="n">
        <v>14.93</v>
      </c>
      <c r="R2" s="5"/>
      <c r="S2" s="5"/>
      <c r="T2" s="5"/>
      <c r="U2" s="5"/>
      <c r="V2" s="5" t="n">
        <v>22.36</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2246</v>
      </c>
      <c r="AS2" s="5" t="s">
        <v>1620</v>
      </c>
      <c r="AT2" s="5" t="s">
        <v>1621</v>
      </c>
      <c r="AU2" s="5" t="s">
        <v>1622</v>
      </c>
      <c r="AV2" s="5" t="s">
        <v>1476</v>
      </c>
      <c r="AW2" s="23" t="s">
        <v>2247</v>
      </c>
      <c r="AX2" s="5" t="s">
        <v>848</v>
      </c>
      <c r="AY2" s="5" t="s">
        <v>2248</v>
      </c>
      <c r="BA2" s="31" t="s">
        <v>1049</v>
      </c>
    </row>
    <row r="3" customFormat="false" ht="15" hidden="false" customHeight="true" outlineLevel="0" collapsed="false">
      <c r="A3" s="5" t="n">
        <v>166</v>
      </c>
      <c r="B3" s="5" t="n">
        <v>166</v>
      </c>
      <c r="C3" s="5" t="s">
        <v>832</v>
      </c>
      <c r="D3" s="5" t="n">
        <v>2014</v>
      </c>
      <c r="E3" s="5" t="s">
        <v>833</v>
      </c>
      <c r="F3" s="5" t="s">
        <v>836</v>
      </c>
      <c r="G3" s="5" t="s">
        <v>837</v>
      </c>
      <c r="H3" s="5" t="n">
        <v>29.067</v>
      </c>
      <c r="I3" s="5" t="n">
        <v>77.767</v>
      </c>
      <c r="J3" s="5" t="s">
        <v>83</v>
      </c>
      <c r="K3" s="5" t="n">
        <v>2011</v>
      </c>
      <c r="L3" s="5" t="s">
        <v>802</v>
      </c>
      <c r="M3" s="5" t="s">
        <v>85</v>
      </c>
      <c r="N3" s="5" t="s">
        <v>86</v>
      </c>
      <c r="O3" s="5" t="s">
        <v>1630</v>
      </c>
      <c r="P3" s="5"/>
      <c r="Q3" s="5" t="n">
        <v>6.91</v>
      </c>
      <c r="R3" s="5"/>
      <c r="S3" s="5"/>
      <c r="T3" s="5"/>
      <c r="U3" s="5"/>
      <c r="V3" s="5" t="n">
        <v>19.85</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2246</v>
      </c>
      <c r="AS3" s="5" t="s">
        <v>1620</v>
      </c>
      <c r="AT3" s="5" t="s">
        <v>1621</v>
      </c>
      <c r="AU3" s="5" t="s">
        <v>1622</v>
      </c>
      <c r="AV3" s="5" t="s">
        <v>1476</v>
      </c>
      <c r="AW3" s="23" t="s">
        <v>2247</v>
      </c>
      <c r="AX3" s="5" t="s">
        <v>848</v>
      </c>
      <c r="AY3" s="5" t="s">
        <v>2248</v>
      </c>
    </row>
    <row r="4" customFormat="false" ht="15" hidden="false" customHeight="true" outlineLevel="0" collapsed="false">
      <c r="A4" s="5" t="n">
        <v>166</v>
      </c>
      <c r="B4" s="5" t="n">
        <v>166</v>
      </c>
      <c r="C4" s="5" t="s">
        <v>832</v>
      </c>
      <c r="D4" s="5" t="n">
        <v>2014</v>
      </c>
      <c r="E4" s="5" t="s">
        <v>833</v>
      </c>
      <c r="F4" s="5" t="s">
        <v>836</v>
      </c>
      <c r="G4" s="5" t="s">
        <v>837</v>
      </c>
      <c r="H4" s="5" t="n">
        <v>29.067</v>
      </c>
      <c r="I4" s="5" t="n">
        <v>77.767</v>
      </c>
      <c r="J4" s="5" t="s">
        <v>83</v>
      </c>
      <c r="K4" s="5" t="n">
        <v>2011</v>
      </c>
      <c r="L4" s="5" t="s">
        <v>802</v>
      </c>
      <c r="M4" s="5" t="s">
        <v>85</v>
      </c>
      <c r="N4" s="5" t="s">
        <v>1479</v>
      </c>
      <c r="O4" s="5" t="s">
        <v>1480</v>
      </c>
      <c r="P4" s="5"/>
      <c r="Q4" s="5" t="n">
        <v>5.82</v>
      </c>
      <c r="R4" s="5"/>
      <c r="S4" s="5"/>
      <c r="T4" s="5"/>
      <c r="U4" s="5"/>
      <c r="V4" s="5" t="n">
        <v>7.27</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2246</v>
      </c>
      <c r="AS4" s="5" t="s">
        <v>1620</v>
      </c>
      <c r="AT4" s="5" t="s">
        <v>1621</v>
      </c>
      <c r="AU4" s="5" t="s">
        <v>1622</v>
      </c>
      <c r="AV4" s="5" t="s">
        <v>1476</v>
      </c>
      <c r="AW4" s="23" t="s">
        <v>2249</v>
      </c>
      <c r="AX4" s="5" t="s">
        <v>848</v>
      </c>
      <c r="AY4" s="5" t="s">
        <v>2248</v>
      </c>
      <c r="BA4" s="33" t="s">
        <v>2169</v>
      </c>
    </row>
    <row r="5" customFormat="false" ht="15" hidden="false" customHeight="true" outlineLevel="0" collapsed="false">
      <c r="BA5" s="34" t="s">
        <v>2250</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2251</v>
      </c>
      <c r="Q1" s="25" t="s">
        <v>2252</v>
      </c>
      <c r="R1" s="25" t="s">
        <v>2253</v>
      </c>
      <c r="S1" s="25" t="s">
        <v>2254</v>
      </c>
      <c r="T1" s="25" t="s">
        <v>2255</v>
      </c>
      <c r="U1" s="25" t="s">
        <v>2256</v>
      </c>
      <c r="V1" s="25" t="s">
        <v>2257</v>
      </c>
      <c r="W1" s="25" t="s">
        <v>2258</v>
      </c>
      <c r="X1" s="28" t="s">
        <v>2259</v>
      </c>
      <c r="Y1" s="28" t="s">
        <v>2260</v>
      </c>
      <c r="Z1" s="28" t="s">
        <v>2261</v>
      </c>
      <c r="AA1" s="28" t="s">
        <v>2262</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BA2" s="31" t="s">
        <v>1052</v>
      </c>
    </row>
    <row r="3" customFormat="false" ht="15" hidden="false" customHeight="true" outlineLevel="0" collapsed="false"/>
    <row r="4" customFormat="false" ht="15" hidden="false" customHeight="true" outlineLevel="0" collapsed="false">
      <c r="BA4" s="33" t="s">
        <v>2169</v>
      </c>
    </row>
    <row r="5" customFormat="false" ht="15" hidden="false" customHeight="true" outlineLevel="0" collapsed="false">
      <c r="BA5" s="34" t="s">
        <v>2263</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2264</v>
      </c>
      <c r="Q1" s="25" t="s">
        <v>2265</v>
      </c>
      <c r="R1" s="25" t="s">
        <v>2266</v>
      </c>
      <c r="S1" s="25" t="s">
        <v>2267</v>
      </c>
      <c r="T1" s="25" t="s">
        <v>2268</v>
      </c>
      <c r="U1" s="25" t="s">
        <v>2269</v>
      </c>
      <c r="V1" s="25" t="s">
        <v>2270</v>
      </c>
      <c r="W1" s="25" t="s">
        <v>2271</v>
      </c>
      <c r="X1" s="28" t="s">
        <v>2272</v>
      </c>
      <c r="Y1" s="28" t="s">
        <v>2273</v>
      </c>
      <c r="Z1" s="28" t="s">
        <v>2274</v>
      </c>
      <c r="AA1" s="28" t="s">
        <v>2275</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BA2" s="31" t="s">
        <v>1053</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2276</v>
      </c>
      <c r="Q1" s="25" t="s">
        <v>2277</v>
      </c>
      <c r="R1" s="25" t="s">
        <v>2278</v>
      </c>
      <c r="S1" s="25" t="s">
        <v>2279</v>
      </c>
      <c r="T1" s="25" t="s">
        <v>2280</v>
      </c>
      <c r="U1" s="25" t="s">
        <v>2281</v>
      </c>
      <c r="V1" s="25" t="s">
        <v>2282</v>
      </c>
      <c r="W1" s="25" t="s">
        <v>2283</v>
      </c>
      <c r="X1" s="28" t="s">
        <v>2284</v>
      </c>
      <c r="Y1" s="28" t="s">
        <v>2285</v>
      </c>
      <c r="Z1" s="28" t="s">
        <v>2286</v>
      </c>
      <c r="AA1" s="28" t="s">
        <v>2287</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A2" s="18" t="s">
        <v>904</v>
      </c>
      <c r="B2" s="18" t="s">
        <v>904</v>
      </c>
      <c r="C2" s="18" t="s">
        <v>905</v>
      </c>
      <c r="D2" s="18" t="n">
        <v>2019</v>
      </c>
      <c r="E2" s="18" t="s">
        <v>2288</v>
      </c>
      <c r="F2" s="18" t="s">
        <v>891</v>
      </c>
      <c r="G2" s="18" t="s">
        <v>892</v>
      </c>
      <c r="H2" s="18" t="n">
        <v>29.7</v>
      </c>
      <c r="I2" s="18" t="n">
        <v>76.96</v>
      </c>
      <c r="J2" s="18" t="s">
        <v>83</v>
      </c>
      <c r="K2" s="18" t="n">
        <v>2013</v>
      </c>
      <c r="L2" s="18" t="s">
        <v>84</v>
      </c>
      <c r="M2" s="18" t="s">
        <v>85</v>
      </c>
      <c r="N2" s="18" t="s">
        <v>86</v>
      </c>
      <c r="O2" s="18" t="s">
        <v>1472</v>
      </c>
      <c r="P2" s="18" t="n">
        <f aca="false">ROUND(10.73/22.91*TOC!P5,2)</f>
        <v>5.11</v>
      </c>
      <c r="Q2" s="18" t="n">
        <f aca="false">ROUND(6.97/16.35*TOC!Q5,2)</f>
        <v>2.77</v>
      </c>
      <c r="R2" s="18"/>
      <c r="S2" s="18"/>
      <c r="T2" s="18"/>
      <c r="U2" s="18"/>
      <c r="V2" s="18"/>
      <c r="W2" s="18"/>
      <c r="X2" s="18" t="n">
        <f aca="false">ROUND(7.64/17.96*TOC!X5,2)</f>
        <v>3.45</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2289</v>
      </c>
      <c r="AS2" s="18" t="s">
        <v>1639</v>
      </c>
      <c r="AT2" s="18" t="s">
        <v>2290</v>
      </c>
      <c r="AU2" s="18" t="s">
        <v>1641</v>
      </c>
      <c r="AV2" s="18" t="s">
        <v>2291</v>
      </c>
      <c r="AW2" s="30" t="s">
        <v>2292</v>
      </c>
      <c r="AX2" s="18" t="s">
        <v>911</v>
      </c>
      <c r="AY2" s="18" t="s">
        <v>2293</v>
      </c>
      <c r="BA2" s="31" t="s">
        <v>1055</v>
      </c>
    </row>
    <row r="3" customFormat="false" ht="14.25" hidden="false" customHeight="true" outlineLevel="0" collapsed="false">
      <c r="A3" s="18" t="s">
        <v>904</v>
      </c>
      <c r="B3" s="18" t="s">
        <v>904</v>
      </c>
      <c r="C3" s="18" t="s">
        <v>905</v>
      </c>
      <c r="D3" s="18" t="n">
        <v>2019</v>
      </c>
      <c r="E3" s="18" t="s">
        <v>2288</v>
      </c>
      <c r="F3" s="18" t="s">
        <v>891</v>
      </c>
      <c r="G3" s="18" t="s">
        <v>892</v>
      </c>
      <c r="H3" s="18" t="n">
        <v>29.7</v>
      </c>
      <c r="I3" s="18" t="n">
        <v>76.96</v>
      </c>
      <c r="J3" s="18" t="s">
        <v>83</v>
      </c>
      <c r="K3" s="18" t="n">
        <v>2013</v>
      </c>
      <c r="L3" s="18" t="s">
        <v>84</v>
      </c>
      <c r="M3" s="18" t="s">
        <v>85</v>
      </c>
      <c r="N3" s="18" t="s">
        <v>1479</v>
      </c>
      <c r="O3" s="18" t="s">
        <v>1480</v>
      </c>
      <c r="P3" s="18" t="n">
        <f aca="false">ROUND(5.64/10.27*TOC!P6,2)</f>
        <v>1.98</v>
      </c>
      <c r="Q3" s="18" t="n">
        <f aca="false">ROUND(5.79/10.13*TOC!Q6,2)</f>
        <v>2.17</v>
      </c>
      <c r="R3" s="18"/>
      <c r="S3" s="18"/>
      <c r="T3" s="18"/>
      <c r="U3" s="18"/>
      <c r="V3" s="18"/>
      <c r="W3" s="18"/>
      <c r="X3" s="18" t="n">
        <f aca="false">ROUND(7.67/12.51*TOC!X6,2)</f>
        <v>3.31</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2289</v>
      </c>
      <c r="AS3" s="18" t="s">
        <v>1639</v>
      </c>
      <c r="AT3" s="18" t="s">
        <v>2290</v>
      </c>
      <c r="AU3" s="18" t="s">
        <v>1641</v>
      </c>
      <c r="AV3" s="18" t="s">
        <v>2294</v>
      </c>
      <c r="AW3" s="30" t="s">
        <v>2295</v>
      </c>
      <c r="AX3" s="18" t="s">
        <v>911</v>
      </c>
      <c r="AY3" s="18" t="s">
        <v>2293</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2296</v>
      </c>
      <c r="Q1" s="25" t="s">
        <v>2297</v>
      </c>
      <c r="R1" s="25" t="s">
        <v>2298</v>
      </c>
      <c r="S1" s="25" t="s">
        <v>2299</v>
      </c>
      <c r="T1" s="25" t="s">
        <v>2300</v>
      </c>
      <c r="U1" s="25" t="s">
        <v>2301</v>
      </c>
      <c r="V1" s="25" t="s">
        <v>2302</v>
      </c>
      <c r="W1" s="25" t="s">
        <v>2303</v>
      </c>
      <c r="X1" s="28" t="s">
        <v>2304</v>
      </c>
      <c r="Y1" s="28" t="s">
        <v>2305</v>
      </c>
      <c r="Z1" s="28" t="s">
        <v>2306</v>
      </c>
      <c r="AA1" s="28" t="s">
        <v>2307</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A2" s="18" t="s">
        <v>904</v>
      </c>
      <c r="B2" s="18" t="s">
        <v>904</v>
      </c>
      <c r="C2" s="18" t="s">
        <v>905</v>
      </c>
      <c r="D2" s="18" t="n">
        <v>2019</v>
      </c>
      <c r="E2" s="18" t="s">
        <v>2288</v>
      </c>
      <c r="F2" s="18" t="s">
        <v>891</v>
      </c>
      <c r="G2" s="18" t="s">
        <v>892</v>
      </c>
      <c r="H2" s="18" t="n">
        <v>29.7</v>
      </c>
      <c r="I2" s="18" t="n">
        <v>76.96</v>
      </c>
      <c r="J2" s="18" t="s">
        <v>83</v>
      </c>
      <c r="K2" s="18" t="n">
        <v>2013</v>
      </c>
      <c r="L2" s="18" t="s">
        <v>84</v>
      </c>
      <c r="M2" s="18" t="s">
        <v>85</v>
      </c>
      <c r="N2" s="18" t="s">
        <v>86</v>
      </c>
      <c r="O2" s="18" t="s">
        <v>1472</v>
      </c>
      <c r="P2" s="18" t="n">
        <f aca="false">ROUND(5.77/22.91*TOC!P5,2)</f>
        <v>2.75</v>
      </c>
      <c r="Q2" s="18" t="n">
        <f aca="false">ROUND(3.09/16.35*TOC!Q5,2)</f>
        <v>1.23</v>
      </c>
      <c r="R2" s="18"/>
      <c r="S2" s="18"/>
      <c r="T2" s="18"/>
      <c r="U2" s="18"/>
      <c r="V2" s="18"/>
      <c r="W2" s="18"/>
      <c r="X2" s="18" t="n">
        <f aca="false">ROUND(2.42/17.96*TOC!X5,2)</f>
        <v>1.09</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2308</v>
      </c>
      <c r="AS2" s="18" t="s">
        <v>1639</v>
      </c>
      <c r="AT2" s="18" t="s">
        <v>2290</v>
      </c>
      <c r="AU2" s="18" t="s">
        <v>1641</v>
      </c>
      <c r="AV2" s="18" t="s">
        <v>2291</v>
      </c>
      <c r="AW2" s="30" t="s">
        <v>2309</v>
      </c>
      <c r="AX2" s="18" t="s">
        <v>911</v>
      </c>
      <c r="AY2" s="18" t="s">
        <v>2293</v>
      </c>
      <c r="BA2" s="31" t="s">
        <v>1058</v>
      </c>
    </row>
    <row r="3" customFormat="false" ht="14.25" hidden="false" customHeight="true" outlineLevel="0" collapsed="false">
      <c r="A3" s="18" t="s">
        <v>904</v>
      </c>
      <c r="B3" s="18" t="s">
        <v>904</v>
      </c>
      <c r="C3" s="18" t="s">
        <v>905</v>
      </c>
      <c r="D3" s="18" t="n">
        <v>2019</v>
      </c>
      <c r="E3" s="18" t="s">
        <v>2288</v>
      </c>
      <c r="F3" s="18" t="s">
        <v>891</v>
      </c>
      <c r="G3" s="18" t="s">
        <v>892</v>
      </c>
      <c r="H3" s="18" t="n">
        <v>29.7</v>
      </c>
      <c r="I3" s="18" t="n">
        <v>76.96</v>
      </c>
      <c r="J3" s="18" t="s">
        <v>83</v>
      </c>
      <c r="K3" s="18" t="n">
        <v>2013</v>
      </c>
      <c r="L3" s="18" t="s">
        <v>84</v>
      </c>
      <c r="M3" s="18" t="s">
        <v>85</v>
      </c>
      <c r="N3" s="18" t="s">
        <v>1479</v>
      </c>
      <c r="O3" s="18" t="s">
        <v>1480</v>
      </c>
      <c r="P3" s="18" t="n">
        <f aca="false">ROUND(1.67/10.27*TOC!P6,2)</f>
        <v>0.59</v>
      </c>
      <c r="Q3" s="18" t="n">
        <f aca="false">ROUND(1.88/10.13*TOC!Q6,2)</f>
        <v>0.71</v>
      </c>
      <c r="R3" s="18"/>
      <c r="S3" s="18"/>
      <c r="T3" s="18"/>
      <c r="U3" s="18"/>
      <c r="V3" s="18"/>
      <c r="W3" s="18"/>
      <c r="X3" s="18" t="n">
        <f aca="false">ROUND(1.23/12.51*TOC!X6,2)</f>
        <v>0.53</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2308</v>
      </c>
      <c r="AS3" s="18" t="s">
        <v>1639</v>
      </c>
      <c r="AT3" s="18" t="s">
        <v>2290</v>
      </c>
      <c r="AU3" s="18" t="s">
        <v>1641</v>
      </c>
      <c r="AV3" s="18" t="s">
        <v>2294</v>
      </c>
      <c r="AW3" s="30" t="s">
        <v>2310</v>
      </c>
      <c r="AX3" s="18" t="s">
        <v>911</v>
      </c>
      <c r="AY3" s="18" t="s">
        <v>2293</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2311</v>
      </c>
      <c r="Q1" s="25" t="s">
        <v>2312</v>
      </c>
      <c r="R1" s="25" t="s">
        <v>2313</v>
      </c>
      <c r="S1" s="25" t="s">
        <v>2314</v>
      </c>
      <c r="T1" s="25" t="s">
        <v>2315</v>
      </c>
      <c r="U1" s="25" t="s">
        <v>2316</v>
      </c>
      <c r="V1" s="25" t="s">
        <v>2317</v>
      </c>
      <c r="W1" s="25" t="s">
        <v>2318</v>
      </c>
      <c r="X1" s="28" t="s">
        <v>2319</v>
      </c>
      <c r="Y1" s="28" t="s">
        <v>2320</v>
      </c>
      <c r="Z1" s="28" t="s">
        <v>2321</v>
      </c>
      <c r="AA1" s="28" t="s">
        <v>2322</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A2" s="18" t="s">
        <v>904</v>
      </c>
      <c r="B2" s="18" t="s">
        <v>904</v>
      </c>
      <c r="C2" s="18" t="s">
        <v>905</v>
      </c>
      <c r="D2" s="18" t="n">
        <v>2019</v>
      </c>
      <c r="E2" s="18" t="s">
        <v>2288</v>
      </c>
      <c r="F2" s="18" t="s">
        <v>891</v>
      </c>
      <c r="G2" s="18" t="s">
        <v>892</v>
      </c>
      <c r="H2" s="18" t="n">
        <v>29.7</v>
      </c>
      <c r="I2" s="18" t="n">
        <v>76.96</v>
      </c>
      <c r="J2" s="18" t="s">
        <v>83</v>
      </c>
      <c r="K2" s="18" t="n">
        <v>2013</v>
      </c>
      <c r="L2" s="18" t="s">
        <v>84</v>
      </c>
      <c r="M2" s="18" t="s">
        <v>85</v>
      </c>
      <c r="N2" s="18" t="s">
        <v>86</v>
      </c>
      <c r="O2" s="18" t="s">
        <v>1472</v>
      </c>
      <c r="P2" s="18" t="n">
        <f aca="false">ROUND(1.74/22.91*TOC!P5,2)</f>
        <v>0.83</v>
      </c>
      <c r="Q2" s="18" t="n">
        <f aca="false">ROUND(2.42/16.35*TOC!Q5,2)</f>
        <v>0.96</v>
      </c>
      <c r="R2" s="18"/>
      <c r="S2" s="18"/>
      <c r="T2" s="18"/>
      <c r="U2" s="18"/>
      <c r="V2" s="18"/>
      <c r="W2" s="18"/>
      <c r="X2" s="18" t="n">
        <f aca="false">ROUND(3.22/17.96*TOC!X5,2)</f>
        <v>1.45</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2323</v>
      </c>
      <c r="AS2" s="18" t="s">
        <v>1639</v>
      </c>
      <c r="AT2" s="18" t="s">
        <v>2290</v>
      </c>
      <c r="AU2" s="18" t="s">
        <v>1641</v>
      </c>
      <c r="AV2" s="18" t="s">
        <v>2291</v>
      </c>
      <c r="AW2" s="30" t="s">
        <v>2324</v>
      </c>
      <c r="AX2" s="18" t="s">
        <v>911</v>
      </c>
      <c r="AY2" s="18" t="s">
        <v>2293</v>
      </c>
      <c r="BA2" s="31" t="s">
        <v>1060</v>
      </c>
    </row>
    <row r="3" customFormat="false" ht="14.25" hidden="false" customHeight="true" outlineLevel="0" collapsed="false">
      <c r="A3" s="18" t="s">
        <v>904</v>
      </c>
      <c r="B3" s="18" t="s">
        <v>904</v>
      </c>
      <c r="C3" s="18" t="s">
        <v>905</v>
      </c>
      <c r="D3" s="18" t="n">
        <v>2019</v>
      </c>
      <c r="E3" s="18" t="s">
        <v>2288</v>
      </c>
      <c r="F3" s="18" t="s">
        <v>891</v>
      </c>
      <c r="G3" s="18" t="s">
        <v>892</v>
      </c>
      <c r="H3" s="18" t="n">
        <v>29.7</v>
      </c>
      <c r="I3" s="18" t="n">
        <v>76.96</v>
      </c>
      <c r="J3" s="18" t="s">
        <v>83</v>
      </c>
      <c r="K3" s="18" t="n">
        <v>2013</v>
      </c>
      <c r="L3" s="18" t="s">
        <v>84</v>
      </c>
      <c r="M3" s="18" t="s">
        <v>85</v>
      </c>
      <c r="N3" s="18" t="s">
        <v>1479</v>
      </c>
      <c r="O3" s="18" t="s">
        <v>1480</v>
      </c>
      <c r="P3" s="18" t="n">
        <f aca="false">ROUND(1.74/10.27*TOC!P6,2)</f>
        <v>0.61</v>
      </c>
      <c r="Q3" s="18" t="n">
        <f aca="false">ROUND(1.38/10.13*TOC!Q6,2)</f>
        <v>0.52</v>
      </c>
      <c r="R3" s="18"/>
      <c r="S3" s="18"/>
      <c r="T3" s="18"/>
      <c r="U3" s="18"/>
      <c r="V3" s="18"/>
      <c r="W3" s="18"/>
      <c r="X3" s="18" t="n">
        <f aca="false">ROUND(2.1/12.51*TOC!X6,2)</f>
        <v>0.91</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2323</v>
      </c>
      <c r="AS3" s="18" t="s">
        <v>1639</v>
      </c>
      <c r="AT3" s="18" t="s">
        <v>2290</v>
      </c>
      <c r="AU3" s="18" t="s">
        <v>1641</v>
      </c>
      <c r="AV3" s="18" t="s">
        <v>2294</v>
      </c>
      <c r="AW3" s="30" t="s">
        <v>2325</v>
      </c>
      <c r="AX3" s="18" t="s">
        <v>911</v>
      </c>
      <c r="AY3" s="18" t="s">
        <v>2293</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2326</v>
      </c>
      <c r="Q1" s="25" t="s">
        <v>2327</v>
      </c>
      <c r="R1" s="25" t="s">
        <v>2328</v>
      </c>
      <c r="S1" s="25" t="s">
        <v>2329</v>
      </c>
      <c r="T1" s="25" t="s">
        <v>2330</v>
      </c>
      <c r="U1" s="25" t="s">
        <v>2331</v>
      </c>
      <c r="V1" s="25" t="s">
        <v>2332</v>
      </c>
      <c r="W1" s="25" t="s">
        <v>2333</v>
      </c>
      <c r="X1" s="28" t="s">
        <v>2334</v>
      </c>
      <c r="Y1" s="28" t="s">
        <v>2335</v>
      </c>
      <c r="Z1" s="28" t="s">
        <v>2336</v>
      </c>
      <c r="AA1" s="28" t="s">
        <v>2337</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A2" s="18" t="s">
        <v>904</v>
      </c>
      <c r="B2" s="18" t="s">
        <v>904</v>
      </c>
      <c r="C2" s="18" t="s">
        <v>905</v>
      </c>
      <c r="D2" s="18" t="n">
        <v>2019</v>
      </c>
      <c r="E2" s="18" t="s">
        <v>2288</v>
      </c>
      <c r="F2" s="18" t="s">
        <v>891</v>
      </c>
      <c r="G2" s="18" t="s">
        <v>892</v>
      </c>
      <c r="H2" s="18" t="n">
        <v>29.7</v>
      </c>
      <c r="I2" s="18" t="n">
        <v>76.96</v>
      </c>
      <c r="J2" s="18" t="s">
        <v>83</v>
      </c>
      <c r="K2" s="18" t="n">
        <v>2013</v>
      </c>
      <c r="L2" s="18" t="s">
        <v>84</v>
      </c>
      <c r="M2" s="18" t="s">
        <v>85</v>
      </c>
      <c r="N2" s="18" t="s">
        <v>86</v>
      </c>
      <c r="O2" s="18" t="s">
        <v>1472</v>
      </c>
      <c r="P2" s="18" t="n">
        <f aca="false">ROUND(4.83/22.91*TOC!P5,2)</f>
        <v>2.3</v>
      </c>
      <c r="Q2" s="18" t="n">
        <f aca="false">ROUND(4.16/16.35*TOC!Q5,2)</f>
        <v>1.65</v>
      </c>
      <c r="R2" s="18"/>
      <c r="S2" s="18"/>
      <c r="T2" s="18"/>
      <c r="U2" s="18"/>
      <c r="V2" s="18"/>
      <c r="W2" s="18"/>
      <c r="X2" s="18" t="n">
        <f aca="false">ROUND(5.23/17.96*TOC!X5,2)</f>
        <v>2.36</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2338</v>
      </c>
      <c r="AS2" s="18" t="s">
        <v>1639</v>
      </c>
      <c r="AT2" s="18" t="s">
        <v>2290</v>
      </c>
      <c r="AU2" s="18" t="s">
        <v>1641</v>
      </c>
      <c r="AV2" s="18" t="s">
        <v>2291</v>
      </c>
      <c r="AW2" s="30" t="s">
        <v>2339</v>
      </c>
      <c r="AX2" s="18" t="s">
        <v>911</v>
      </c>
      <c r="AY2" s="18" t="s">
        <v>2293</v>
      </c>
      <c r="BA2" s="31" t="s">
        <v>1062</v>
      </c>
    </row>
    <row r="3" customFormat="false" ht="14.25" hidden="false" customHeight="true" outlineLevel="0" collapsed="false">
      <c r="A3" s="18" t="s">
        <v>904</v>
      </c>
      <c r="B3" s="18" t="s">
        <v>904</v>
      </c>
      <c r="C3" s="18" t="s">
        <v>905</v>
      </c>
      <c r="D3" s="18" t="n">
        <v>2019</v>
      </c>
      <c r="E3" s="18" t="s">
        <v>2288</v>
      </c>
      <c r="F3" s="18" t="s">
        <v>891</v>
      </c>
      <c r="G3" s="18" t="s">
        <v>892</v>
      </c>
      <c r="H3" s="18" t="n">
        <v>29.7</v>
      </c>
      <c r="I3" s="18" t="n">
        <v>76.96</v>
      </c>
      <c r="J3" s="18" t="s">
        <v>83</v>
      </c>
      <c r="K3" s="18" t="n">
        <v>2013</v>
      </c>
      <c r="L3" s="18" t="s">
        <v>84</v>
      </c>
      <c r="M3" s="18" t="s">
        <v>85</v>
      </c>
      <c r="N3" s="18" t="s">
        <v>1479</v>
      </c>
      <c r="O3" s="18" t="s">
        <v>1480</v>
      </c>
      <c r="P3" s="18" t="n">
        <f aca="false">ROUND(1.38/10.27*TOC!P6,2)</f>
        <v>0.48</v>
      </c>
      <c r="Q3" s="18" t="n">
        <f aca="false">ROUND(1.16/10.13*TOC!Q6,2)</f>
        <v>0.44</v>
      </c>
      <c r="R3" s="18"/>
      <c r="S3" s="18"/>
      <c r="T3" s="18"/>
      <c r="U3" s="18"/>
      <c r="V3" s="18"/>
      <c r="W3" s="18"/>
      <c r="X3" s="18" t="n">
        <f aca="false">ROUND(1.81/12.51*TOC!X6,2)</f>
        <v>0.78</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2338</v>
      </c>
      <c r="AS3" s="18" t="s">
        <v>1639</v>
      </c>
      <c r="AT3" s="18" t="s">
        <v>2290</v>
      </c>
      <c r="AU3" s="18" t="s">
        <v>1641</v>
      </c>
      <c r="AV3" s="18" t="s">
        <v>2294</v>
      </c>
      <c r="AW3" s="30" t="s">
        <v>2340</v>
      </c>
      <c r="AX3" s="18" t="s">
        <v>911</v>
      </c>
      <c r="AY3" s="18" t="s">
        <v>2293</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7" min="47" style="1" width="26"/>
    <col collapsed="false" customWidth="true" hidden="false" outlineLevel="0" max="54" min="53"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2341</v>
      </c>
      <c r="Q1" s="25" t="s">
        <v>2342</v>
      </c>
      <c r="R1" s="25" t="s">
        <v>2343</v>
      </c>
      <c r="S1" s="25" t="s">
        <v>2344</v>
      </c>
      <c r="T1" s="25" t="s">
        <v>2345</v>
      </c>
      <c r="U1" s="25" t="s">
        <v>2346</v>
      </c>
      <c r="V1" s="25" t="s">
        <v>2347</v>
      </c>
      <c r="W1" s="25" t="s">
        <v>2348</v>
      </c>
      <c r="X1" s="28" t="s">
        <v>2349</v>
      </c>
      <c r="Y1" s="28" t="s">
        <v>2350</v>
      </c>
      <c r="Z1" s="28" t="s">
        <v>2351</v>
      </c>
      <c r="AA1" s="28" t="s">
        <v>2352</v>
      </c>
      <c r="AB1" s="25" t="s">
        <v>2353</v>
      </c>
      <c r="AC1" s="25" t="s">
        <v>2354</v>
      </c>
      <c r="AD1" s="25" t="s">
        <v>2355</v>
      </c>
      <c r="AE1" s="26" t="s">
        <v>35</v>
      </c>
      <c r="AF1" s="26" t="s">
        <v>33</v>
      </c>
      <c r="AG1" s="26" t="s">
        <v>37</v>
      </c>
      <c r="AH1" s="21" t="s">
        <v>73</v>
      </c>
      <c r="AI1" s="21" t="s">
        <v>775</v>
      </c>
      <c r="AJ1" s="21" t="s">
        <v>776</v>
      </c>
      <c r="AK1" s="21" t="s">
        <v>74</v>
      </c>
      <c r="AL1" s="21" t="s">
        <v>1465</v>
      </c>
      <c r="AM1" s="21" t="s">
        <v>1466</v>
      </c>
      <c r="AN1" s="21" t="s">
        <v>777</v>
      </c>
      <c r="AO1" s="21" t="s">
        <v>778</v>
      </c>
      <c r="AP1" s="21" t="s">
        <v>75</v>
      </c>
      <c r="AQ1" s="21" t="s">
        <v>773</v>
      </c>
      <c r="AR1" s="21" t="s">
        <v>774</v>
      </c>
      <c r="AS1" s="21" t="s">
        <v>771</v>
      </c>
      <c r="AT1" s="21" t="s">
        <v>772</v>
      </c>
      <c r="AU1" s="22" t="s">
        <v>76</v>
      </c>
      <c r="AV1" s="22" t="s">
        <v>77</v>
      </c>
      <c r="AW1" s="22" t="s">
        <v>1467</v>
      </c>
      <c r="AX1" s="22" t="s">
        <v>1468</v>
      </c>
      <c r="AY1" s="22" t="s">
        <v>78</v>
      </c>
      <c r="AZ1" s="22" t="s">
        <v>790</v>
      </c>
      <c r="BA1" s="22" t="s">
        <v>1469</v>
      </c>
      <c r="BB1" s="22" t="s">
        <v>1470</v>
      </c>
      <c r="BD1" s="29" t="s">
        <v>1471</v>
      </c>
    </row>
    <row r="2" customFormat="false" ht="15" hidden="false" customHeight="true" outlineLevel="0" collapsed="false">
      <c r="A2" s="18" t="n">
        <v>168</v>
      </c>
      <c r="B2" s="18" t="n">
        <v>168</v>
      </c>
      <c r="C2" s="18" t="s">
        <v>862</v>
      </c>
      <c r="D2" s="18" t="n">
        <v>2020</v>
      </c>
      <c r="E2" s="18" t="s">
        <v>863</v>
      </c>
      <c r="F2" s="18" t="s">
        <v>866</v>
      </c>
      <c r="G2" s="18" t="s">
        <v>867</v>
      </c>
      <c r="H2" s="18" t="n">
        <v>30.933</v>
      </c>
      <c r="I2" s="18" t="n">
        <v>75.867</v>
      </c>
      <c r="J2" s="18" t="s">
        <v>870</v>
      </c>
      <c r="K2" s="18" t="n">
        <v>2016</v>
      </c>
      <c r="L2" s="18" t="s">
        <v>84</v>
      </c>
      <c r="M2" s="18" t="s">
        <v>85</v>
      </c>
      <c r="N2" s="18" t="s">
        <v>2356</v>
      </c>
      <c r="O2" s="18" t="s">
        <v>2357</v>
      </c>
      <c r="P2" s="18" t="n">
        <v>14.1</v>
      </c>
      <c r="Q2" s="18" t="n">
        <v>10.3</v>
      </c>
      <c r="R2" s="18" t="n">
        <v>11.9</v>
      </c>
      <c r="S2" s="18"/>
      <c r="T2" s="18"/>
      <c r="U2" s="18"/>
      <c r="V2" s="18" t="n">
        <v>12.2</v>
      </c>
      <c r="W2" s="18"/>
      <c r="X2" s="18"/>
      <c r="Y2" s="18"/>
      <c r="Z2" s="18"/>
      <c r="AA2" s="18"/>
      <c r="AB2" s="18"/>
      <c r="AC2" s="18"/>
      <c r="AD2" s="18"/>
      <c r="AE2" s="18" t="n">
        <v>1</v>
      </c>
      <c r="AF2" s="18" t="n">
        <v>3</v>
      </c>
      <c r="AG2" s="18" t="n">
        <f aca="false">IF(AND(N(AE2)&gt;0,N(AF2)&gt;0),SQRT(2*AE2/AF2),"")</f>
        <v>0.816496580927726</v>
      </c>
      <c r="AH2" s="18"/>
      <c r="AI2" s="18"/>
      <c r="AJ2" s="18"/>
      <c r="AK2" s="18" t="n">
        <v>734</v>
      </c>
      <c r="AL2" s="18" t="n">
        <v>30.933</v>
      </c>
      <c r="AM2" s="18" t="n">
        <v>5</v>
      </c>
      <c r="AN2" s="18"/>
      <c r="AO2" s="18"/>
      <c r="AP2" s="18" t="n">
        <v>7.4</v>
      </c>
      <c r="AQ2" s="18"/>
      <c r="AR2" s="18"/>
      <c r="AS2" s="18"/>
      <c r="AT2" s="18"/>
      <c r="AU2" s="18" t="s">
        <v>678</v>
      </c>
      <c r="AV2" s="18" t="s">
        <v>1473</v>
      </c>
      <c r="AW2" s="18" t="s">
        <v>1474</v>
      </c>
      <c r="AX2" s="18" t="s">
        <v>1475</v>
      </c>
      <c r="AY2" s="18" t="s">
        <v>1634</v>
      </c>
      <c r="AZ2" s="30" t="s">
        <v>2358</v>
      </c>
      <c r="BA2" s="18" t="s">
        <v>877</v>
      </c>
      <c r="BB2" s="18" t="s">
        <v>2359</v>
      </c>
      <c r="BD2" s="31" t="s">
        <v>1063</v>
      </c>
    </row>
    <row r="3" customFormat="false" ht="15" hidden="false" customHeight="true" outlineLevel="0" collapsed="false">
      <c r="A3" s="18" t="n">
        <v>168</v>
      </c>
      <c r="B3" s="18" t="n">
        <v>168</v>
      </c>
      <c r="C3" s="18" t="s">
        <v>862</v>
      </c>
      <c r="D3" s="18" t="n">
        <v>2020</v>
      </c>
      <c r="E3" s="18" t="s">
        <v>863</v>
      </c>
      <c r="F3" s="18" t="s">
        <v>866</v>
      </c>
      <c r="G3" s="18" t="s">
        <v>867</v>
      </c>
      <c r="H3" s="18" t="n">
        <v>30.933</v>
      </c>
      <c r="I3" s="18" t="n">
        <v>75.867</v>
      </c>
      <c r="J3" s="18" t="s">
        <v>870</v>
      </c>
      <c r="K3" s="18" t="n">
        <v>2016</v>
      </c>
      <c r="L3" s="18" t="s">
        <v>84</v>
      </c>
      <c r="M3" s="18" t="s">
        <v>85</v>
      </c>
      <c r="N3" s="18" t="s">
        <v>2360</v>
      </c>
      <c r="O3" s="18" t="s">
        <v>2361</v>
      </c>
      <c r="P3" s="18" t="n">
        <f aca="false">ROUND('stock-SOC'!P2+9.6,2)</f>
        <v>23.7</v>
      </c>
      <c r="Q3" s="18" t="n">
        <f aca="false">ROUND('stock-SOC'!Q2+7.86,2)</f>
        <v>18.16</v>
      </c>
      <c r="R3" s="18" t="n">
        <f aca="false">ROUND('stock-SOC'!R2+8.8,2)</f>
        <v>20.7</v>
      </c>
      <c r="S3" s="18"/>
      <c r="T3" s="18"/>
      <c r="U3" s="18"/>
      <c r="V3" s="18" t="n">
        <f aca="false">ROUND('stock-SOC'!V2+6.88,2)</f>
        <v>19.08</v>
      </c>
      <c r="W3" s="18"/>
      <c r="X3" s="18"/>
      <c r="Y3" s="18"/>
      <c r="Z3" s="18"/>
      <c r="AA3" s="18"/>
      <c r="AB3" s="18"/>
      <c r="AC3" s="18"/>
      <c r="AD3" s="18"/>
      <c r="AE3" s="18" t="n">
        <v>1</v>
      </c>
      <c r="AF3" s="18" t="n">
        <v>3</v>
      </c>
      <c r="AG3" s="18" t="n">
        <f aca="false">IF(AND(N(AE3)&gt;0,N(AF3)&gt;0),SQRT(2*AE3/AF3),"")</f>
        <v>0.816496580927726</v>
      </c>
      <c r="AH3" s="18"/>
      <c r="AI3" s="18"/>
      <c r="AJ3" s="18"/>
      <c r="AK3" s="18" t="n">
        <v>734</v>
      </c>
      <c r="AL3" s="18" t="n">
        <v>30.933</v>
      </c>
      <c r="AM3" s="18" t="n">
        <v>5</v>
      </c>
      <c r="AN3" s="18"/>
      <c r="AO3" s="18"/>
      <c r="AP3" s="18" t="n">
        <v>7.4</v>
      </c>
      <c r="AQ3" s="18"/>
      <c r="AR3" s="18"/>
      <c r="AS3" s="18"/>
      <c r="AT3" s="18"/>
      <c r="AU3" s="18" t="s">
        <v>678</v>
      </c>
      <c r="AV3" s="18" t="s">
        <v>1473</v>
      </c>
      <c r="AW3" s="18" t="s">
        <v>1474</v>
      </c>
      <c r="AX3" s="18" t="s">
        <v>1475</v>
      </c>
      <c r="AY3" s="18" t="s">
        <v>2362</v>
      </c>
      <c r="AZ3" s="30" t="s">
        <v>2363</v>
      </c>
      <c r="BA3" s="18" t="s">
        <v>877</v>
      </c>
      <c r="BB3" s="18" t="s">
        <v>2364</v>
      </c>
    </row>
    <row r="4" customFormat="false" ht="15" hidden="false" customHeight="true" outlineLevel="0" collapsed="false">
      <c r="A4" s="5" t="s">
        <v>931</v>
      </c>
      <c r="B4" s="5" t="s">
        <v>931</v>
      </c>
      <c r="C4" s="5" t="s">
        <v>932</v>
      </c>
      <c r="D4" s="5" t="n">
        <v>2023</v>
      </c>
      <c r="E4" s="5" t="s">
        <v>933</v>
      </c>
      <c r="F4" s="5" t="s">
        <v>936</v>
      </c>
      <c r="G4" s="5" t="s">
        <v>937</v>
      </c>
      <c r="H4" s="5" t="n">
        <v>35.27</v>
      </c>
      <c r="I4" s="5" t="n">
        <v>119.38</v>
      </c>
      <c r="J4" s="5" t="s">
        <v>870</v>
      </c>
      <c r="K4" s="5" t="n">
        <v>2020</v>
      </c>
      <c r="L4" s="5" t="s">
        <v>821</v>
      </c>
      <c r="M4" s="5"/>
      <c r="N4" s="5" t="s">
        <v>2365</v>
      </c>
      <c r="O4" s="5" t="s">
        <v>2366</v>
      </c>
      <c r="P4" s="5" t="n">
        <f aca="false">ROUND('SOC(active C pool)'!P15*BD!P8*10*0.1,2)</f>
        <v>9.65</v>
      </c>
      <c r="Q4" s="5"/>
      <c r="R4" s="5"/>
      <c r="S4" s="5"/>
      <c r="T4" s="5"/>
      <c r="U4" s="5"/>
      <c r="V4" s="5"/>
      <c r="W4" s="5"/>
      <c r="X4" s="5" t="n">
        <f aca="false">ROUND('SOC(active C pool)'!X15*BD!X8*10*0.1,2)</f>
        <v>8.9</v>
      </c>
      <c r="Y4" s="5"/>
      <c r="Z4" s="5"/>
      <c r="AA4" s="5"/>
      <c r="AB4" s="5" t="n">
        <f aca="false">ROUND(5.75*1.423*10*0.1,2)</f>
        <v>8.18</v>
      </c>
      <c r="AC4" s="5"/>
      <c r="AD4" s="5"/>
      <c r="AE4" s="5" t="n">
        <v>1</v>
      </c>
      <c r="AF4" s="5" t="n">
        <v>3</v>
      </c>
      <c r="AG4" s="5" t="n">
        <f aca="false">IF(AND(N(AE4)&gt;0,N(AF4)&gt;0),SQRT(2*AE4/AF4),"")</f>
        <v>0.816496580927726</v>
      </c>
      <c r="AH4" s="5"/>
      <c r="AI4" s="5"/>
      <c r="AJ4" s="5"/>
      <c r="AK4" s="5" t="n">
        <v>916</v>
      </c>
      <c r="AL4" s="5" t="n">
        <v>35.27</v>
      </c>
      <c r="AM4" s="5" t="n">
        <v>3</v>
      </c>
      <c r="AN4" s="5" t="n">
        <v>12.6</v>
      </c>
      <c r="AO4" s="5"/>
      <c r="AP4" s="5" t="n">
        <v>6.8</v>
      </c>
      <c r="AQ4" s="5" t="n">
        <v>5.75</v>
      </c>
      <c r="AR4" s="5" t="n">
        <v>1.423</v>
      </c>
      <c r="AS4" s="5"/>
      <c r="AT4" s="5"/>
      <c r="AU4" s="5" t="s">
        <v>678</v>
      </c>
      <c r="AV4" s="5" t="s">
        <v>1492</v>
      </c>
      <c r="AW4" s="5" t="s">
        <v>2367</v>
      </c>
      <c r="AX4" s="5" t="s">
        <v>1494</v>
      </c>
      <c r="AY4" s="5" t="s">
        <v>2368</v>
      </c>
      <c r="AZ4" s="23" t="s">
        <v>2369</v>
      </c>
      <c r="BA4" s="5" t="s">
        <v>947</v>
      </c>
      <c r="BB4" s="5" t="s">
        <v>2370</v>
      </c>
    </row>
    <row r="5" customFormat="false" ht="15" hidden="false" customHeight="true" outlineLevel="0" collapsed="false">
      <c r="A5" s="5" t="s">
        <v>931</v>
      </c>
      <c r="B5" s="5" t="s">
        <v>931</v>
      </c>
      <c r="C5" s="5" t="s">
        <v>932</v>
      </c>
      <c r="D5" s="5" t="n">
        <v>2023</v>
      </c>
      <c r="E5" s="5" t="s">
        <v>933</v>
      </c>
      <c r="F5" s="5" t="s">
        <v>936</v>
      </c>
      <c r="G5" s="5" t="s">
        <v>937</v>
      </c>
      <c r="H5" s="5" t="n">
        <v>35.27</v>
      </c>
      <c r="I5" s="5" t="n">
        <v>119.38</v>
      </c>
      <c r="J5" s="5" t="s">
        <v>870</v>
      </c>
      <c r="K5" s="5" t="n">
        <v>2020</v>
      </c>
      <c r="L5" s="5" t="s">
        <v>821</v>
      </c>
      <c r="M5" s="5"/>
      <c r="N5" s="5" t="s">
        <v>2356</v>
      </c>
      <c r="O5" s="5" t="s">
        <v>2371</v>
      </c>
      <c r="P5" s="5" t="n">
        <f aca="false">ROUND('SOC(active C pool)'!P15*BD!P8*10*0.1+'SOC(active C pool)'!P16*BD!P11*10*0.1,2)</f>
        <v>18.74</v>
      </c>
      <c r="Q5" s="5"/>
      <c r="R5" s="5"/>
      <c r="S5" s="5"/>
      <c r="T5" s="5"/>
      <c r="U5" s="5"/>
      <c r="V5" s="5"/>
      <c r="W5" s="5"/>
      <c r="X5" s="5" t="n">
        <f aca="false">ROUND('SOC(active C pool)'!X15*BD!X8*10*0.1+'SOC(active C pool)'!X16*BD!X11*10*0.1,2)</f>
        <v>18.87</v>
      </c>
      <c r="Y5" s="5"/>
      <c r="Z5" s="5"/>
      <c r="AA5" s="5"/>
      <c r="AB5" s="5" t="n">
        <f aca="false">ROUND(5.75*1.423*20*0.1,2)</f>
        <v>16.36</v>
      </c>
      <c r="AC5" s="5"/>
      <c r="AD5" s="5"/>
      <c r="AE5" s="5" t="n">
        <v>1</v>
      </c>
      <c r="AF5" s="5" t="n">
        <v>3</v>
      </c>
      <c r="AG5" s="5" t="n">
        <f aca="false">IF(AND(N(AE5)&gt;0,N(AF5)&gt;0),SQRT(2*AE5/AF5),"")</f>
        <v>0.816496580927726</v>
      </c>
      <c r="AH5" s="5"/>
      <c r="AI5" s="5"/>
      <c r="AJ5" s="5"/>
      <c r="AK5" s="5" t="n">
        <v>916</v>
      </c>
      <c r="AL5" s="5" t="n">
        <v>35.27</v>
      </c>
      <c r="AM5" s="5" t="n">
        <v>3</v>
      </c>
      <c r="AN5" s="5" t="n">
        <v>12.6</v>
      </c>
      <c r="AO5" s="5"/>
      <c r="AP5" s="5" t="n">
        <v>6.8</v>
      </c>
      <c r="AQ5" s="5" t="n">
        <v>5.75</v>
      </c>
      <c r="AR5" s="5" t="n">
        <v>1.423</v>
      </c>
      <c r="AS5" s="5"/>
      <c r="AT5" s="5"/>
      <c r="AU5" s="5" t="s">
        <v>678</v>
      </c>
      <c r="AV5" s="5" t="s">
        <v>1492</v>
      </c>
      <c r="AW5" s="5" t="s">
        <v>2367</v>
      </c>
      <c r="AX5" s="5" t="s">
        <v>1494</v>
      </c>
      <c r="AY5" s="5" t="s">
        <v>2368</v>
      </c>
      <c r="AZ5" s="23" t="s">
        <v>2369</v>
      </c>
      <c r="BA5" s="5" t="s">
        <v>947</v>
      </c>
      <c r="BB5" s="5" t="s">
        <v>2370</v>
      </c>
    </row>
    <row r="6" customFormat="false" ht="15" hidden="false" customHeight="true" outlineLevel="0" collapsed="false">
      <c r="A6" s="5" t="s">
        <v>931</v>
      </c>
      <c r="B6" s="5" t="s">
        <v>931</v>
      </c>
      <c r="C6" s="5" t="s">
        <v>932</v>
      </c>
      <c r="D6" s="5" t="n">
        <v>2023</v>
      </c>
      <c r="E6" s="5" t="s">
        <v>933</v>
      </c>
      <c r="F6" s="5" t="s">
        <v>936</v>
      </c>
      <c r="G6" s="5" t="s">
        <v>937</v>
      </c>
      <c r="H6" s="5" t="n">
        <v>35.27</v>
      </c>
      <c r="I6" s="5" t="n">
        <v>119.38</v>
      </c>
      <c r="J6" s="5" t="s">
        <v>870</v>
      </c>
      <c r="K6" s="5" t="n">
        <v>2020</v>
      </c>
      <c r="L6" s="5" t="s">
        <v>821</v>
      </c>
      <c r="M6" s="5"/>
      <c r="N6" s="5" t="s">
        <v>2360</v>
      </c>
      <c r="O6" s="5" t="s">
        <v>2372</v>
      </c>
      <c r="P6" s="5" t="n">
        <f aca="false">ROUND('SOC(active C pool)'!P15*BD!P8*10*0.1+'SOC(active C pool)'!P16*BD!P11*10*0.1+'SOC(active C pool)'!P17*BD!P14*10*0.1,2)</f>
        <v>27.52</v>
      </c>
      <c r="Q6" s="5"/>
      <c r="R6" s="5"/>
      <c r="S6" s="5"/>
      <c r="T6" s="5"/>
      <c r="U6" s="5"/>
      <c r="V6" s="5"/>
      <c r="W6" s="5"/>
      <c r="X6" s="5" t="n">
        <f aca="false">ROUND('SOC(active C pool)'!X15*BD!X8*10*0.1+'SOC(active C pool)'!X16*BD!X11*10*0.1+'SOC(active C pool)'!X17*BD!X14*10*0.1,2)</f>
        <v>27.53</v>
      </c>
      <c r="Y6" s="5"/>
      <c r="Z6" s="5"/>
      <c r="AA6" s="5"/>
      <c r="AB6" s="5" t="n">
        <f aca="false">ROUND(5.75*1.423*30*0.1,2)</f>
        <v>24.55</v>
      </c>
      <c r="AC6" s="5"/>
      <c r="AD6" s="5"/>
      <c r="AE6" s="5" t="n">
        <v>1</v>
      </c>
      <c r="AF6" s="5" t="n">
        <v>3</v>
      </c>
      <c r="AG6" s="5" t="n">
        <f aca="false">IF(AND(N(AE6)&gt;0,N(AF6)&gt;0),SQRT(2*AE6/AF6),"")</f>
        <v>0.816496580927726</v>
      </c>
      <c r="AH6" s="5"/>
      <c r="AI6" s="5"/>
      <c r="AJ6" s="5"/>
      <c r="AK6" s="5" t="n">
        <v>916</v>
      </c>
      <c r="AL6" s="5" t="n">
        <v>35.27</v>
      </c>
      <c r="AM6" s="5" t="n">
        <v>3</v>
      </c>
      <c r="AN6" s="5" t="n">
        <v>12.6</v>
      </c>
      <c r="AO6" s="5"/>
      <c r="AP6" s="5" t="n">
        <v>6.8</v>
      </c>
      <c r="AQ6" s="5" t="n">
        <v>5.75</v>
      </c>
      <c r="AR6" s="5" t="n">
        <v>1.423</v>
      </c>
      <c r="AS6" s="5"/>
      <c r="AT6" s="5"/>
      <c r="AU6" s="5" t="s">
        <v>678</v>
      </c>
      <c r="AV6" s="5" t="s">
        <v>1492</v>
      </c>
      <c r="AW6" s="5" t="s">
        <v>2367</v>
      </c>
      <c r="AX6" s="5" t="s">
        <v>1494</v>
      </c>
      <c r="AY6" s="5" t="s">
        <v>2368</v>
      </c>
      <c r="AZ6" s="23" t="s">
        <v>2369</v>
      </c>
      <c r="BA6" s="5" t="s">
        <v>947</v>
      </c>
      <c r="BB6" s="5" t="s">
        <v>2370</v>
      </c>
    </row>
    <row r="7" customFormat="false" ht="14.25" hidden="false" customHeight="true" outlineLevel="0" collapsed="false">
      <c r="A7" s="18" t="s">
        <v>904</v>
      </c>
      <c r="B7" s="18" t="s">
        <v>904</v>
      </c>
      <c r="C7" s="18" t="s">
        <v>905</v>
      </c>
      <c r="D7" s="18" t="n">
        <v>2019</v>
      </c>
      <c r="E7" s="18" t="s">
        <v>2288</v>
      </c>
      <c r="F7" s="18" t="s">
        <v>891</v>
      </c>
      <c r="G7" s="18" t="s">
        <v>892</v>
      </c>
      <c r="H7" s="18" t="n">
        <v>29.7</v>
      </c>
      <c r="I7" s="18" t="n">
        <v>76.96</v>
      </c>
      <c r="J7" s="18" t="s">
        <v>83</v>
      </c>
      <c r="K7" s="18" t="n">
        <v>2013</v>
      </c>
      <c r="L7" s="18" t="s">
        <v>84</v>
      </c>
      <c r="M7" s="18" t="s">
        <v>85</v>
      </c>
      <c r="N7" s="18" t="s">
        <v>2356</v>
      </c>
      <c r="O7" s="18" t="s">
        <v>2373</v>
      </c>
      <c r="P7" s="18" t="n">
        <v>22.66</v>
      </c>
      <c r="Q7" s="18" t="n">
        <v>16.17</v>
      </c>
      <c r="R7" s="18"/>
      <c r="S7" s="18"/>
      <c r="T7" s="18"/>
      <c r="U7" s="18"/>
      <c r="V7" s="18"/>
      <c r="W7" s="18"/>
      <c r="X7" s="18" t="n">
        <v>17.76</v>
      </c>
      <c r="Y7" s="18"/>
      <c r="Z7" s="18"/>
      <c r="AA7" s="18"/>
      <c r="AB7" s="18"/>
      <c r="AC7" s="18"/>
      <c r="AD7" s="18"/>
      <c r="AE7" s="18" t="n">
        <v>1</v>
      </c>
      <c r="AF7" s="18" t="n">
        <v>3</v>
      </c>
      <c r="AG7" s="18" t="n">
        <f aca="false">IF(AND(N(AE7)&gt;0,N(AF7)&gt;0),SQRT(2*AE7/AF7),"")</f>
        <v>0.816496580927726</v>
      </c>
      <c r="AH7" s="18"/>
      <c r="AI7" s="18" t="n">
        <v>11.62</v>
      </c>
      <c r="AJ7" s="18" t="n">
        <v>31.68</v>
      </c>
      <c r="AK7" s="18" t="n">
        <v>670</v>
      </c>
      <c r="AL7" s="18" t="n">
        <v>29.7</v>
      </c>
      <c r="AM7" s="18" t="n">
        <v>4</v>
      </c>
      <c r="AN7" s="18"/>
      <c r="AO7" s="18"/>
      <c r="AP7" s="18"/>
      <c r="AQ7" s="18" t="n">
        <v>4.5</v>
      </c>
      <c r="AR7" s="18"/>
      <c r="AS7" s="18"/>
      <c r="AT7" s="18"/>
      <c r="AU7" s="18" t="s">
        <v>678</v>
      </c>
      <c r="AV7" s="18" t="s">
        <v>1639</v>
      </c>
      <c r="AW7" s="18" t="s">
        <v>2290</v>
      </c>
      <c r="AX7" s="18" t="s">
        <v>1641</v>
      </c>
      <c r="AY7" s="18" t="s">
        <v>2374</v>
      </c>
      <c r="AZ7" s="30" t="s">
        <v>2375</v>
      </c>
      <c r="BA7" s="18" t="s">
        <v>911</v>
      </c>
      <c r="BB7" s="18" t="s">
        <v>2376</v>
      </c>
    </row>
    <row r="8" customFormat="false" ht="14.25" hidden="false" customHeight="true" outlineLevel="0" collapsed="false">
      <c r="A8" s="18" t="s">
        <v>904</v>
      </c>
      <c r="B8" s="18" t="s">
        <v>904</v>
      </c>
      <c r="C8" s="18" t="s">
        <v>905</v>
      </c>
      <c r="D8" s="18" t="n">
        <v>2019</v>
      </c>
      <c r="E8" s="18" t="s">
        <v>2288</v>
      </c>
      <c r="F8" s="18" t="s">
        <v>891</v>
      </c>
      <c r="G8" s="18" t="s">
        <v>892</v>
      </c>
      <c r="H8" s="18" t="n">
        <v>29.7</v>
      </c>
      <c r="I8" s="18" t="n">
        <v>76.96</v>
      </c>
      <c r="J8" s="18" t="s">
        <v>83</v>
      </c>
      <c r="K8" s="18" t="n">
        <v>2013</v>
      </c>
      <c r="L8" s="18" t="s">
        <v>84</v>
      </c>
      <c r="M8" s="18" t="s">
        <v>85</v>
      </c>
      <c r="N8" s="18" t="s">
        <v>2360</v>
      </c>
      <c r="O8" s="18" t="s">
        <v>2361</v>
      </c>
      <c r="P8" s="18" t="n">
        <f aca="false">ROUND('stock-SOC'!P7+10.27,2)</f>
        <v>32.93</v>
      </c>
      <c r="Q8" s="18" t="n">
        <f aca="false">ROUND('stock-SOC'!Q7+10.13,2)</f>
        <v>26.3</v>
      </c>
      <c r="R8" s="18"/>
      <c r="S8" s="18"/>
      <c r="T8" s="18"/>
      <c r="U8" s="18"/>
      <c r="V8" s="18"/>
      <c r="W8" s="18"/>
      <c r="X8" s="18" t="n">
        <f aca="false">ROUND('stock-SOC'!X7+12.51,2)</f>
        <v>30.27</v>
      </c>
      <c r="Y8" s="18"/>
      <c r="Z8" s="18"/>
      <c r="AA8" s="18"/>
      <c r="AB8" s="18"/>
      <c r="AC8" s="18"/>
      <c r="AD8" s="18"/>
      <c r="AE8" s="18" t="n">
        <v>1</v>
      </c>
      <c r="AF8" s="18" t="n">
        <v>3</v>
      </c>
      <c r="AG8" s="18" t="n">
        <f aca="false">IF(AND(N(AE8)&gt;0,N(AF8)&gt;0),SQRT(2*AE8/AF8),"")</f>
        <v>0.816496580927726</v>
      </c>
      <c r="AH8" s="18"/>
      <c r="AI8" s="18" t="n">
        <v>11.62</v>
      </c>
      <c r="AJ8" s="18" t="n">
        <v>31.68</v>
      </c>
      <c r="AK8" s="18" t="n">
        <v>670</v>
      </c>
      <c r="AL8" s="18" t="n">
        <v>29.7</v>
      </c>
      <c r="AM8" s="18" t="n">
        <v>4</v>
      </c>
      <c r="AN8" s="18"/>
      <c r="AO8" s="18"/>
      <c r="AP8" s="18"/>
      <c r="AQ8" s="18" t="n">
        <v>4.5</v>
      </c>
      <c r="AR8" s="18"/>
      <c r="AS8" s="18"/>
      <c r="AT8" s="18"/>
      <c r="AU8" s="18" t="s">
        <v>678</v>
      </c>
      <c r="AV8" s="18" t="s">
        <v>1639</v>
      </c>
      <c r="AW8" s="18" t="s">
        <v>2290</v>
      </c>
      <c r="AX8" s="18" t="s">
        <v>1641</v>
      </c>
      <c r="AY8" s="18" t="s">
        <v>2377</v>
      </c>
      <c r="AZ8" s="30" t="s">
        <v>2378</v>
      </c>
      <c r="BA8" s="18" t="s">
        <v>911</v>
      </c>
      <c r="BB8" s="18" t="s">
        <v>2379</v>
      </c>
    </row>
    <row r="9" customFormat="false" ht="14.25" hidden="false" customHeight="true" outlineLevel="0" collapsed="false">
      <c r="A9" s="18" t="s">
        <v>914</v>
      </c>
      <c r="B9" s="18" t="s">
        <v>914</v>
      </c>
      <c r="C9" s="18" t="s">
        <v>915</v>
      </c>
      <c r="D9" s="18" t="n">
        <v>2020</v>
      </c>
      <c r="E9" s="18" t="s">
        <v>916</v>
      </c>
      <c r="F9" s="18" t="s">
        <v>815</v>
      </c>
      <c r="G9" s="18" t="s">
        <v>919</v>
      </c>
      <c r="H9" s="18" t="n">
        <v>28.4</v>
      </c>
      <c r="I9" s="18" t="n">
        <v>77.1</v>
      </c>
      <c r="J9" s="18" t="s">
        <v>83</v>
      </c>
      <c r="K9" s="18" t="s">
        <v>1504</v>
      </c>
      <c r="L9" s="18" t="s">
        <v>802</v>
      </c>
      <c r="M9" s="18" t="s">
        <v>85</v>
      </c>
      <c r="N9" s="18" t="s">
        <v>2356</v>
      </c>
      <c r="O9" s="18" t="s">
        <v>2373</v>
      </c>
      <c r="P9" s="18"/>
      <c r="Q9" s="18" t="n">
        <v>18.9</v>
      </c>
      <c r="R9" s="18"/>
      <c r="S9" s="18"/>
      <c r="T9" s="18"/>
      <c r="U9" s="18"/>
      <c r="V9" s="18" t="n">
        <v>23.8</v>
      </c>
      <c r="W9" s="18"/>
      <c r="X9" s="18"/>
      <c r="Y9" s="18"/>
      <c r="Z9" s="18"/>
      <c r="AA9" s="18"/>
      <c r="AB9" s="18"/>
      <c r="AC9" s="18"/>
      <c r="AD9" s="18"/>
      <c r="AE9" s="18" t="n">
        <v>2</v>
      </c>
      <c r="AF9" s="18" t="n">
        <v>3</v>
      </c>
      <c r="AG9" s="18" t="n">
        <f aca="false">IF(AND(N(AE9)&gt;0,N(AF9)&gt;0),SQRT(2*AE9/AF9),"")</f>
        <v>1.15470053837925</v>
      </c>
      <c r="AH9" s="18" t="n">
        <v>25.4</v>
      </c>
      <c r="AI9" s="18" t="n">
        <v>18</v>
      </c>
      <c r="AJ9" s="18" t="n">
        <v>35.2</v>
      </c>
      <c r="AK9" s="18" t="n">
        <v>750</v>
      </c>
      <c r="AL9" s="18" t="n">
        <v>28.4</v>
      </c>
      <c r="AM9" s="18" t="n">
        <v>12</v>
      </c>
      <c r="AN9" s="18"/>
      <c r="AO9" s="18"/>
      <c r="AP9" s="18" t="n">
        <v>8.45</v>
      </c>
      <c r="AQ9" s="18" t="n">
        <v>5.1</v>
      </c>
      <c r="AR9" s="18" t="n">
        <v>1.5</v>
      </c>
      <c r="AS9" s="18" t="n">
        <v>52.1</v>
      </c>
      <c r="AT9" s="18" t="n">
        <v>22.5</v>
      </c>
      <c r="AU9" s="18" t="s">
        <v>678</v>
      </c>
      <c r="AV9" s="18" t="s">
        <v>1505</v>
      </c>
      <c r="AW9" s="18" t="s">
        <v>1506</v>
      </c>
      <c r="AX9" s="18" t="s">
        <v>1507</v>
      </c>
      <c r="AY9" s="18" t="s">
        <v>1476</v>
      </c>
      <c r="AZ9" s="30" t="s">
        <v>2380</v>
      </c>
      <c r="BA9" s="18" t="s">
        <v>928</v>
      </c>
      <c r="BB9" s="18" t="s">
        <v>2381</v>
      </c>
    </row>
    <row r="10" customFormat="false" ht="14.25" hidden="false" customHeight="true" outlineLevel="0" collapsed="false">
      <c r="A10" s="18" t="s">
        <v>914</v>
      </c>
      <c r="B10" s="18" t="s">
        <v>914</v>
      </c>
      <c r="C10" s="18" t="s">
        <v>915</v>
      </c>
      <c r="D10" s="18" t="n">
        <v>2020</v>
      </c>
      <c r="E10" s="18" t="s">
        <v>916</v>
      </c>
      <c r="F10" s="18" t="s">
        <v>815</v>
      </c>
      <c r="G10" s="18" t="s">
        <v>919</v>
      </c>
      <c r="H10" s="18" t="n">
        <v>28.4</v>
      </c>
      <c r="I10" s="18" t="n">
        <v>77.1</v>
      </c>
      <c r="J10" s="18" t="s">
        <v>83</v>
      </c>
      <c r="K10" s="18" t="s">
        <v>1504</v>
      </c>
      <c r="L10" s="18" t="s">
        <v>802</v>
      </c>
      <c r="M10" s="18" t="s">
        <v>85</v>
      </c>
      <c r="N10" s="18" t="s">
        <v>2356</v>
      </c>
      <c r="O10" s="18" t="s">
        <v>2373</v>
      </c>
      <c r="P10" s="18"/>
      <c r="Q10" s="18" t="n">
        <v>18.9</v>
      </c>
      <c r="R10" s="18"/>
      <c r="S10" s="18"/>
      <c r="T10" s="18"/>
      <c r="U10" s="18"/>
      <c r="V10" s="18" t="n">
        <v>28.8</v>
      </c>
      <c r="W10" s="18"/>
      <c r="X10" s="18"/>
      <c r="Y10" s="18"/>
      <c r="Z10" s="18"/>
      <c r="AA10" s="18"/>
      <c r="AB10" s="18"/>
      <c r="AC10" s="18"/>
      <c r="AD10" s="18"/>
      <c r="AE10" s="18" t="n">
        <v>2</v>
      </c>
      <c r="AF10" s="18" t="n">
        <v>3</v>
      </c>
      <c r="AG10" s="18" t="n">
        <f aca="false">IF(AND(N(AE10)&gt;0,N(AF10)&gt;0),SQRT(2*AE10/AF10),"")</f>
        <v>1.15470053837925</v>
      </c>
      <c r="AH10" s="18" t="n">
        <v>25.4</v>
      </c>
      <c r="AI10" s="18" t="n">
        <v>18</v>
      </c>
      <c r="AJ10" s="18" t="n">
        <v>35.2</v>
      </c>
      <c r="AK10" s="18" t="n">
        <v>750</v>
      </c>
      <c r="AL10" s="18" t="n">
        <v>28.4</v>
      </c>
      <c r="AM10" s="18" t="n">
        <v>12</v>
      </c>
      <c r="AN10" s="18"/>
      <c r="AO10" s="18"/>
      <c r="AP10" s="18" t="n">
        <v>8.45</v>
      </c>
      <c r="AQ10" s="18" t="n">
        <v>5.1</v>
      </c>
      <c r="AR10" s="18" t="n">
        <v>1.5</v>
      </c>
      <c r="AS10" s="18" t="n">
        <v>52.1</v>
      </c>
      <c r="AT10" s="18" t="n">
        <v>22.5</v>
      </c>
      <c r="AU10" s="18" t="s">
        <v>678</v>
      </c>
      <c r="AV10" s="18" t="s">
        <v>1511</v>
      </c>
      <c r="AW10" s="18" t="s">
        <v>1506</v>
      </c>
      <c r="AX10" s="18" t="s">
        <v>1507</v>
      </c>
      <c r="AY10" s="18" t="s">
        <v>1476</v>
      </c>
      <c r="AZ10" s="30" t="s">
        <v>2382</v>
      </c>
      <c r="BA10" s="18" t="s">
        <v>928</v>
      </c>
      <c r="BB10" s="18" t="s">
        <v>2381</v>
      </c>
    </row>
    <row r="11" customFormat="false" ht="14.25" hidden="false" customHeight="true" outlineLevel="0" collapsed="false">
      <c r="A11" s="18" t="s">
        <v>914</v>
      </c>
      <c r="B11" s="18" t="s">
        <v>914</v>
      </c>
      <c r="C11" s="18" t="s">
        <v>915</v>
      </c>
      <c r="D11" s="18" t="n">
        <v>2020</v>
      </c>
      <c r="E11" s="18" t="s">
        <v>916</v>
      </c>
      <c r="F11" s="18" t="s">
        <v>815</v>
      </c>
      <c r="G11" s="18" t="s">
        <v>919</v>
      </c>
      <c r="H11" s="18" t="n">
        <v>28.4</v>
      </c>
      <c r="I11" s="18" t="n">
        <v>77.1</v>
      </c>
      <c r="J11" s="18" t="s">
        <v>83</v>
      </c>
      <c r="K11" s="18" t="s">
        <v>1504</v>
      </c>
      <c r="L11" s="18" t="s">
        <v>802</v>
      </c>
      <c r="M11" s="18" t="s">
        <v>85</v>
      </c>
      <c r="N11" s="18" t="s">
        <v>2356</v>
      </c>
      <c r="O11" s="18" t="s">
        <v>2373</v>
      </c>
      <c r="P11" s="18"/>
      <c r="Q11" s="18" t="n">
        <v>21.4</v>
      </c>
      <c r="R11" s="18"/>
      <c r="S11" s="18"/>
      <c r="T11" s="18"/>
      <c r="U11" s="18"/>
      <c r="V11" s="18" t="n">
        <v>26.5</v>
      </c>
      <c r="W11" s="18"/>
      <c r="X11" s="18"/>
      <c r="Y11" s="18"/>
      <c r="Z11" s="18"/>
      <c r="AA11" s="18"/>
      <c r="AB11" s="18"/>
      <c r="AC11" s="18"/>
      <c r="AD11" s="18"/>
      <c r="AE11" s="18" t="n">
        <v>2</v>
      </c>
      <c r="AF11" s="18" t="n">
        <v>3</v>
      </c>
      <c r="AG11" s="18" t="n">
        <f aca="false">IF(AND(N(AE11)&gt;0,N(AF11)&gt;0),SQRT(2*AE11/AF11),"")</f>
        <v>1.15470053837925</v>
      </c>
      <c r="AH11" s="18" t="n">
        <v>25.4</v>
      </c>
      <c r="AI11" s="18" t="n">
        <v>18</v>
      </c>
      <c r="AJ11" s="18" t="n">
        <v>35.2</v>
      </c>
      <c r="AK11" s="18" t="n">
        <v>750</v>
      </c>
      <c r="AL11" s="18" t="n">
        <v>28.4</v>
      </c>
      <c r="AM11" s="18" t="n">
        <v>12</v>
      </c>
      <c r="AN11" s="18"/>
      <c r="AO11" s="18"/>
      <c r="AP11" s="18" t="n">
        <v>8.45</v>
      </c>
      <c r="AQ11" s="18" t="n">
        <v>5.1</v>
      </c>
      <c r="AR11" s="18" t="n">
        <v>1.5</v>
      </c>
      <c r="AS11" s="18" t="n">
        <v>52.1</v>
      </c>
      <c r="AT11" s="18" t="n">
        <v>22.5</v>
      </c>
      <c r="AU11" s="18" t="s">
        <v>678</v>
      </c>
      <c r="AV11" s="18" t="s">
        <v>1513</v>
      </c>
      <c r="AW11" s="18" t="s">
        <v>1506</v>
      </c>
      <c r="AX11" s="18" t="s">
        <v>1507</v>
      </c>
      <c r="AY11" s="18" t="s">
        <v>1476</v>
      </c>
      <c r="AZ11" s="30" t="s">
        <v>2383</v>
      </c>
      <c r="BA11" s="18" t="s">
        <v>928</v>
      </c>
      <c r="BB11" s="18" t="s">
        <v>2381</v>
      </c>
    </row>
    <row r="12" customFormat="false" ht="14.25" hidden="false" customHeight="true" outlineLevel="0" collapsed="false">
      <c r="A12" s="18" t="s">
        <v>914</v>
      </c>
      <c r="B12" s="18" t="s">
        <v>914</v>
      </c>
      <c r="C12" s="18" t="s">
        <v>915</v>
      </c>
      <c r="D12" s="18" t="n">
        <v>2020</v>
      </c>
      <c r="E12" s="18" t="s">
        <v>916</v>
      </c>
      <c r="F12" s="18" t="s">
        <v>815</v>
      </c>
      <c r="G12" s="18" t="s">
        <v>919</v>
      </c>
      <c r="H12" s="18" t="n">
        <v>28.4</v>
      </c>
      <c r="I12" s="18" t="n">
        <v>77.1</v>
      </c>
      <c r="J12" s="18" t="s">
        <v>83</v>
      </c>
      <c r="K12" s="18" t="s">
        <v>1504</v>
      </c>
      <c r="L12" s="18" t="s">
        <v>802</v>
      </c>
      <c r="M12" s="18" t="s">
        <v>85</v>
      </c>
      <c r="N12" s="18" t="s">
        <v>2356</v>
      </c>
      <c r="O12" s="18" t="s">
        <v>2373</v>
      </c>
      <c r="P12" s="18"/>
      <c r="Q12" s="18" t="n">
        <v>21.4</v>
      </c>
      <c r="R12" s="18"/>
      <c r="S12" s="18"/>
      <c r="T12" s="18"/>
      <c r="U12" s="18"/>
      <c r="V12" s="18" t="n">
        <v>32</v>
      </c>
      <c r="W12" s="18"/>
      <c r="X12" s="18"/>
      <c r="Y12" s="18"/>
      <c r="Z12" s="18"/>
      <c r="AA12" s="18"/>
      <c r="AB12" s="18"/>
      <c r="AC12" s="18"/>
      <c r="AD12" s="18"/>
      <c r="AE12" s="18" t="n">
        <v>2</v>
      </c>
      <c r="AF12" s="18" t="n">
        <v>3</v>
      </c>
      <c r="AG12" s="18" t="n">
        <f aca="false">IF(AND(N(AE12)&gt;0,N(AF12)&gt;0),SQRT(2*AE12/AF12),"")</f>
        <v>1.15470053837925</v>
      </c>
      <c r="AH12" s="18" t="n">
        <v>25.4</v>
      </c>
      <c r="AI12" s="18" t="n">
        <v>18</v>
      </c>
      <c r="AJ12" s="18" t="n">
        <v>35.2</v>
      </c>
      <c r="AK12" s="18" t="n">
        <v>750</v>
      </c>
      <c r="AL12" s="18" t="n">
        <v>28.4</v>
      </c>
      <c r="AM12" s="18" t="n">
        <v>12</v>
      </c>
      <c r="AN12" s="18"/>
      <c r="AO12" s="18"/>
      <c r="AP12" s="18" t="n">
        <v>8.45</v>
      </c>
      <c r="AQ12" s="18" t="n">
        <v>5.1</v>
      </c>
      <c r="AR12" s="18" t="n">
        <v>1.5</v>
      </c>
      <c r="AS12" s="18" t="n">
        <v>52.1</v>
      </c>
      <c r="AT12" s="18" t="n">
        <v>22.5</v>
      </c>
      <c r="AU12" s="18" t="s">
        <v>678</v>
      </c>
      <c r="AV12" s="18" t="s">
        <v>1515</v>
      </c>
      <c r="AW12" s="18" t="s">
        <v>1506</v>
      </c>
      <c r="AX12" s="18" t="s">
        <v>1507</v>
      </c>
      <c r="AY12" s="18" t="s">
        <v>1476</v>
      </c>
      <c r="AZ12" s="30" t="s">
        <v>2384</v>
      </c>
      <c r="BA12" s="18" t="s">
        <v>928</v>
      </c>
      <c r="BB12" s="18" t="s">
        <v>2381</v>
      </c>
    </row>
    <row r="13" customFormat="false" ht="14.25" hidden="false" customHeight="true" outlineLevel="0" collapsed="false">
      <c r="A13" s="18" t="s">
        <v>914</v>
      </c>
      <c r="B13" s="18" t="s">
        <v>914</v>
      </c>
      <c r="C13" s="18" t="s">
        <v>915</v>
      </c>
      <c r="D13" s="18" t="n">
        <v>2020</v>
      </c>
      <c r="E13" s="18" t="s">
        <v>916</v>
      </c>
      <c r="F13" s="18" t="s">
        <v>815</v>
      </c>
      <c r="G13" s="18" t="s">
        <v>919</v>
      </c>
      <c r="H13" s="18" t="n">
        <v>28.4</v>
      </c>
      <c r="I13" s="18" t="n">
        <v>77.1</v>
      </c>
      <c r="J13" s="18" t="s">
        <v>83</v>
      </c>
      <c r="K13" s="18" t="s">
        <v>1504</v>
      </c>
      <c r="L13" s="18" t="s">
        <v>802</v>
      </c>
      <c r="M13" s="18" t="s">
        <v>85</v>
      </c>
      <c r="N13" s="18" t="s">
        <v>2356</v>
      </c>
      <c r="O13" s="18" t="s">
        <v>2373</v>
      </c>
      <c r="P13" s="18"/>
      <c r="Q13" s="18" t="n">
        <v>17.2</v>
      </c>
      <c r="R13" s="18"/>
      <c r="S13" s="18"/>
      <c r="T13" s="18"/>
      <c r="U13" s="18"/>
      <c r="V13" s="18" t="n">
        <v>21.9</v>
      </c>
      <c r="W13" s="18"/>
      <c r="X13" s="18"/>
      <c r="Y13" s="18"/>
      <c r="Z13" s="18"/>
      <c r="AA13" s="18"/>
      <c r="AB13" s="18"/>
      <c r="AC13" s="18"/>
      <c r="AD13" s="18"/>
      <c r="AE13" s="18" t="n">
        <v>2</v>
      </c>
      <c r="AF13" s="18" t="n">
        <v>3</v>
      </c>
      <c r="AG13" s="18" t="n">
        <f aca="false">IF(AND(N(AE13)&gt;0,N(AF13)&gt;0),SQRT(2*AE13/AF13),"")</f>
        <v>1.15470053837925</v>
      </c>
      <c r="AH13" s="18" t="n">
        <v>25.4</v>
      </c>
      <c r="AI13" s="18" t="n">
        <v>18</v>
      </c>
      <c r="AJ13" s="18" t="n">
        <v>35.2</v>
      </c>
      <c r="AK13" s="18" t="n">
        <v>750</v>
      </c>
      <c r="AL13" s="18" t="n">
        <v>28.4</v>
      </c>
      <c r="AM13" s="18" t="n">
        <v>12</v>
      </c>
      <c r="AN13" s="18"/>
      <c r="AO13" s="18"/>
      <c r="AP13" s="18" t="n">
        <v>8.45</v>
      </c>
      <c r="AQ13" s="18" t="n">
        <v>5.1</v>
      </c>
      <c r="AR13" s="18" t="n">
        <v>1.5</v>
      </c>
      <c r="AS13" s="18" t="n">
        <v>52.1</v>
      </c>
      <c r="AT13" s="18" t="n">
        <v>22.5</v>
      </c>
      <c r="AU13" s="18" t="s">
        <v>678</v>
      </c>
      <c r="AV13" s="18" t="s">
        <v>1517</v>
      </c>
      <c r="AW13" s="18" t="s">
        <v>1506</v>
      </c>
      <c r="AX13" s="18" t="s">
        <v>1507</v>
      </c>
      <c r="AY13" s="18" t="s">
        <v>1476</v>
      </c>
      <c r="AZ13" s="30" t="s">
        <v>2385</v>
      </c>
      <c r="BA13" s="18" t="s">
        <v>928</v>
      </c>
      <c r="BB13" s="18" t="s">
        <v>2381</v>
      </c>
    </row>
    <row r="14" customFormat="false" ht="14.25" hidden="false" customHeight="true" outlineLevel="0" collapsed="false">
      <c r="A14" s="18" t="s">
        <v>914</v>
      </c>
      <c r="B14" s="18" t="s">
        <v>914</v>
      </c>
      <c r="C14" s="18" t="s">
        <v>915</v>
      </c>
      <c r="D14" s="18" t="n">
        <v>2020</v>
      </c>
      <c r="E14" s="18" t="s">
        <v>916</v>
      </c>
      <c r="F14" s="18" t="s">
        <v>815</v>
      </c>
      <c r="G14" s="18" t="s">
        <v>919</v>
      </c>
      <c r="H14" s="18" t="n">
        <v>28.4</v>
      </c>
      <c r="I14" s="18" t="n">
        <v>77.1</v>
      </c>
      <c r="J14" s="18" t="s">
        <v>83</v>
      </c>
      <c r="K14" s="18" t="s">
        <v>1504</v>
      </c>
      <c r="L14" s="18" t="s">
        <v>802</v>
      </c>
      <c r="M14" s="18" t="s">
        <v>85</v>
      </c>
      <c r="N14" s="18" t="s">
        <v>2356</v>
      </c>
      <c r="O14" s="18" t="s">
        <v>2373</v>
      </c>
      <c r="P14" s="18"/>
      <c r="Q14" s="18" t="n">
        <v>17.2</v>
      </c>
      <c r="R14" s="18"/>
      <c r="S14" s="18"/>
      <c r="T14" s="18"/>
      <c r="U14" s="18"/>
      <c r="V14" s="18" t="n">
        <v>27.5</v>
      </c>
      <c r="W14" s="18"/>
      <c r="X14" s="18"/>
      <c r="Y14" s="18"/>
      <c r="Z14" s="18"/>
      <c r="AA14" s="18"/>
      <c r="AB14" s="18"/>
      <c r="AC14" s="18"/>
      <c r="AD14" s="18"/>
      <c r="AE14" s="18" t="n">
        <v>2</v>
      </c>
      <c r="AF14" s="18" t="n">
        <v>3</v>
      </c>
      <c r="AG14" s="18" t="n">
        <f aca="false">IF(AND(N(AE14)&gt;0,N(AF14)&gt;0),SQRT(2*AE14/AF14),"")</f>
        <v>1.15470053837925</v>
      </c>
      <c r="AH14" s="18" t="n">
        <v>25.4</v>
      </c>
      <c r="AI14" s="18" t="n">
        <v>18</v>
      </c>
      <c r="AJ14" s="18" t="n">
        <v>35.2</v>
      </c>
      <c r="AK14" s="18" t="n">
        <v>750</v>
      </c>
      <c r="AL14" s="18" t="n">
        <v>28.4</v>
      </c>
      <c r="AM14" s="18" t="n">
        <v>12</v>
      </c>
      <c r="AN14" s="18"/>
      <c r="AO14" s="18"/>
      <c r="AP14" s="18" t="n">
        <v>8.45</v>
      </c>
      <c r="AQ14" s="18" t="n">
        <v>5.1</v>
      </c>
      <c r="AR14" s="18" t="n">
        <v>1.5</v>
      </c>
      <c r="AS14" s="18" t="n">
        <v>52.1</v>
      </c>
      <c r="AT14" s="18" t="n">
        <v>22.5</v>
      </c>
      <c r="AU14" s="18" t="s">
        <v>678</v>
      </c>
      <c r="AV14" s="18" t="s">
        <v>1519</v>
      </c>
      <c r="AW14" s="18" t="s">
        <v>1506</v>
      </c>
      <c r="AX14" s="18" t="s">
        <v>1507</v>
      </c>
      <c r="AY14" s="18" t="s">
        <v>1476</v>
      </c>
      <c r="AZ14" s="30" t="s">
        <v>2386</v>
      </c>
      <c r="BA14" s="18" t="s">
        <v>928</v>
      </c>
      <c r="BB14" s="18" t="s">
        <v>2381</v>
      </c>
    </row>
    <row r="15" customFormat="false" ht="14.25" hidden="false" customHeight="true" outlineLevel="0" collapsed="false">
      <c r="A15" s="18" t="s">
        <v>914</v>
      </c>
      <c r="B15" s="18" t="s">
        <v>914</v>
      </c>
      <c r="C15" s="18" t="s">
        <v>915</v>
      </c>
      <c r="D15" s="18" t="n">
        <v>2020</v>
      </c>
      <c r="E15" s="18" t="s">
        <v>916</v>
      </c>
      <c r="F15" s="18" t="s">
        <v>815</v>
      </c>
      <c r="G15" s="18" t="s">
        <v>919</v>
      </c>
      <c r="H15" s="18" t="n">
        <v>28.4</v>
      </c>
      <c r="I15" s="18" t="n">
        <v>77.1</v>
      </c>
      <c r="J15" s="18" t="s">
        <v>83</v>
      </c>
      <c r="K15" s="18" t="s">
        <v>1504</v>
      </c>
      <c r="L15" s="18" t="s">
        <v>802</v>
      </c>
      <c r="M15" s="18" t="s">
        <v>85</v>
      </c>
      <c r="N15" s="18" t="s">
        <v>2356</v>
      </c>
      <c r="O15" s="18" t="s">
        <v>2373</v>
      </c>
      <c r="P15" s="18"/>
      <c r="Q15" s="18" t="n">
        <v>20.1</v>
      </c>
      <c r="R15" s="18"/>
      <c r="S15" s="18"/>
      <c r="T15" s="18"/>
      <c r="U15" s="18"/>
      <c r="V15" s="18" t="n">
        <v>24.9</v>
      </c>
      <c r="W15" s="18"/>
      <c r="X15" s="18"/>
      <c r="Y15" s="18"/>
      <c r="Z15" s="18"/>
      <c r="AA15" s="18"/>
      <c r="AB15" s="18"/>
      <c r="AC15" s="18"/>
      <c r="AD15" s="18"/>
      <c r="AE15" s="18" t="n">
        <v>2</v>
      </c>
      <c r="AF15" s="18" t="n">
        <v>3</v>
      </c>
      <c r="AG15" s="18" t="n">
        <f aca="false">IF(AND(N(AE15)&gt;0,N(AF15)&gt;0),SQRT(2*AE15/AF15),"")</f>
        <v>1.15470053837925</v>
      </c>
      <c r="AH15" s="18" t="n">
        <v>25.4</v>
      </c>
      <c r="AI15" s="18" t="n">
        <v>18</v>
      </c>
      <c r="AJ15" s="18" t="n">
        <v>35.2</v>
      </c>
      <c r="AK15" s="18" t="n">
        <v>750</v>
      </c>
      <c r="AL15" s="18" t="n">
        <v>28.4</v>
      </c>
      <c r="AM15" s="18" t="n">
        <v>12</v>
      </c>
      <c r="AN15" s="18"/>
      <c r="AO15" s="18"/>
      <c r="AP15" s="18" t="n">
        <v>8.45</v>
      </c>
      <c r="AQ15" s="18" t="n">
        <v>5.1</v>
      </c>
      <c r="AR15" s="18" t="n">
        <v>1.5</v>
      </c>
      <c r="AS15" s="18" t="n">
        <v>52.1</v>
      </c>
      <c r="AT15" s="18" t="n">
        <v>22.5</v>
      </c>
      <c r="AU15" s="18" t="s">
        <v>678</v>
      </c>
      <c r="AV15" s="18" t="s">
        <v>1521</v>
      </c>
      <c r="AW15" s="18" t="s">
        <v>1506</v>
      </c>
      <c r="AX15" s="18" t="s">
        <v>1507</v>
      </c>
      <c r="AY15" s="18" t="s">
        <v>1476</v>
      </c>
      <c r="AZ15" s="30" t="s">
        <v>2387</v>
      </c>
      <c r="BA15" s="18" t="s">
        <v>928</v>
      </c>
      <c r="BB15" s="18" t="s">
        <v>2381</v>
      </c>
    </row>
    <row r="16" customFormat="false" ht="14.25" hidden="false" customHeight="true" outlineLevel="0" collapsed="false">
      <c r="A16" s="18" t="s">
        <v>914</v>
      </c>
      <c r="B16" s="18" t="s">
        <v>914</v>
      </c>
      <c r="C16" s="18" t="s">
        <v>915</v>
      </c>
      <c r="D16" s="18" t="n">
        <v>2020</v>
      </c>
      <c r="E16" s="18" t="s">
        <v>916</v>
      </c>
      <c r="F16" s="18" t="s">
        <v>815</v>
      </c>
      <c r="G16" s="18" t="s">
        <v>919</v>
      </c>
      <c r="H16" s="18" t="n">
        <v>28.4</v>
      </c>
      <c r="I16" s="18" t="n">
        <v>77.1</v>
      </c>
      <c r="J16" s="18" t="s">
        <v>83</v>
      </c>
      <c r="K16" s="18" t="s">
        <v>1504</v>
      </c>
      <c r="L16" s="18" t="s">
        <v>802</v>
      </c>
      <c r="M16" s="18" t="s">
        <v>85</v>
      </c>
      <c r="N16" s="18" t="s">
        <v>2356</v>
      </c>
      <c r="O16" s="18" t="s">
        <v>2373</v>
      </c>
      <c r="P16" s="18"/>
      <c r="Q16" s="18" t="n">
        <v>20.1</v>
      </c>
      <c r="R16" s="18"/>
      <c r="S16" s="18"/>
      <c r="T16" s="18"/>
      <c r="U16" s="18"/>
      <c r="V16" s="18" t="n">
        <v>30.9</v>
      </c>
      <c r="W16" s="18"/>
      <c r="X16" s="18"/>
      <c r="Y16" s="18"/>
      <c r="Z16" s="18"/>
      <c r="AA16" s="18"/>
      <c r="AB16" s="18"/>
      <c r="AC16" s="18"/>
      <c r="AD16" s="18"/>
      <c r="AE16" s="18" t="n">
        <v>2</v>
      </c>
      <c r="AF16" s="18" t="n">
        <v>3</v>
      </c>
      <c r="AG16" s="18" t="n">
        <f aca="false">IF(AND(N(AE16)&gt;0,N(AF16)&gt;0),SQRT(2*AE16/AF16),"")</f>
        <v>1.15470053837925</v>
      </c>
      <c r="AH16" s="18" t="n">
        <v>25.4</v>
      </c>
      <c r="AI16" s="18" t="n">
        <v>18</v>
      </c>
      <c r="AJ16" s="18" t="n">
        <v>35.2</v>
      </c>
      <c r="AK16" s="18" t="n">
        <v>750</v>
      </c>
      <c r="AL16" s="18" t="n">
        <v>28.4</v>
      </c>
      <c r="AM16" s="18" t="n">
        <v>12</v>
      </c>
      <c r="AN16" s="18"/>
      <c r="AO16" s="18"/>
      <c r="AP16" s="18" t="n">
        <v>8.45</v>
      </c>
      <c r="AQ16" s="18" t="n">
        <v>5.1</v>
      </c>
      <c r="AR16" s="18" t="n">
        <v>1.5</v>
      </c>
      <c r="AS16" s="18" t="n">
        <v>52.1</v>
      </c>
      <c r="AT16" s="18" t="n">
        <v>22.5</v>
      </c>
      <c r="AU16" s="18" t="s">
        <v>678</v>
      </c>
      <c r="AV16" s="18" t="s">
        <v>1523</v>
      </c>
      <c r="AW16" s="18" t="s">
        <v>1506</v>
      </c>
      <c r="AX16" s="18" t="s">
        <v>1507</v>
      </c>
      <c r="AY16" s="18" t="s">
        <v>1476</v>
      </c>
      <c r="AZ16" s="30" t="s">
        <v>2388</v>
      </c>
      <c r="BA16" s="18" t="s">
        <v>928</v>
      </c>
      <c r="BB16" s="18" t="s">
        <v>2381</v>
      </c>
    </row>
  </sheetData>
  <autoFilter ref="A1:BB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"0-10 CM,0-20 CM,0-30 CM,0-40 CM,0-50 CM,0-60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2389</v>
      </c>
      <c r="Q1" s="25" t="s">
        <v>2390</v>
      </c>
      <c r="R1" s="25" t="s">
        <v>2391</v>
      </c>
      <c r="S1" s="25" t="s">
        <v>2392</v>
      </c>
      <c r="T1" s="25" t="s">
        <v>2393</v>
      </c>
      <c r="U1" s="25" t="s">
        <v>2394</v>
      </c>
      <c r="V1" s="25" t="s">
        <v>2395</v>
      </c>
      <c r="W1" s="25" t="s">
        <v>2396</v>
      </c>
      <c r="X1" s="28" t="s">
        <v>2397</v>
      </c>
      <c r="Y1" s="28" t="s">
        <v>2398</v>
      </c>
      <c r="Z1" s="28" t="s">
        <v>2399</v>
      </c>
      <c r="AA1" s="28" t="s">
        <v>2400</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A2" s="5" t="s">
        <v>931</v>
      </c>
      <c r="B2" s="5" t="s">
        <v>931</v>
      </c>
      <c r="C2" s="5" t="s">
        <v>932</v>
      </c>
      <c r="D2" s="5" t="n">
        <v>2023</v>
      </c>
      <c r="E2" s="5" t="s">
        <v>933</v>
      </c>
      <c r="F2" s="5" t="s">
        <v>936</v>
      </c>
      <c r="G2" s="5" t="s">
        <v>937</v>
      </c>
      <c r="H2" s="5" t="n">
        <v>35.27</v>
      </c>
      <c r="I2" s="5" t="n">
        <v>119.38</v>
      </c>
      <c r="J2" s="5" t="s">
        <v>870</v>
      </c>
      <c r="K2" s="5" t="n">
        <v>2020</v>
      </c>
      <c r="L2" s="5" t="s">
        <v>821</v>
      </c>
      <c r="M2" s="5"/>
      <c r="N2" s="5" t="s">
        <v>2360</v>
      </c>
      <c r="O2" s="5" t="s">
        <v>2401</v>
      </c>
      <c r="P2" s="5" t="n">
        <f aca="false">ROUND(('stock-SOC'!P6-'stock-SOC'!AB6)/3,3)</f>
        <v>0.99</v>
      </c>
      <c r="Q2" s="5"/>
      <c r="R2" s="5"/>
      <c r="S2" s="5"/>
      <c r="T2" s="5"/>
      <c r="U2" s="5"/>
      <c r="V2" s="5"/>
      <c r="W2" s="5"/>
      <c r="X2" s="5" t="n">
        <f aca="false">ROUND(('stock-SOC'!X6-'stock-SOC'!AB6)/3,3)</f>
        <v>0.993</v>
      </c>
      <c r="Y2" s="5"/>
      <c r="Z2" s="5"/>
      <c r="AA2" s="5"/>
      <c r="AB2" s="5" t="n">
        <v>1</v>
      </c>
      <c r="AC2" s="5" t="n">
        <v>3</v>
      </c>
      <c r="AD2" s="5" t="n">
        <f aca="false">IF(AND(N(AB2)&gt;0,N(AC2)&gt;0),SQRT(2*AB2/AC2),"")</f>
        <v>0.816496580927726</v>
      </c>
      <c r="AE2" s="5"/>
      <c r="AF2" s="5"/>
      <c r="AG2" s="5"/>
      <c r="AH2" s="5" t="n">
        <v>916</v>
      </c>
      <c r="AI2" s="5" t="n">
        <v>35.27</v>
      </c>
      <c r="AJ2" s="5" t="n">
        <v>3</v>
      </c>
      <c r="AK2" s="5" t="n">
        <v>12.6</v>
      </c>
      <c r="AL2" s="5"/>
      <c r="AM2" s="5" t="n">
        <v>6.8</v>
      </c>
      <c r="AN2" s="5" t="n">
        <v>5.75</v>
      </c>
      <c r="AO2" s="5" t="n">
        <v>1.423</v>
      </c>
      <c r="AP2" s="5"/>
      <c r="AQ2" s="5"/>
      <c r="AR2" s="5" t="s">
        <v>2402</v>
      </c>
      <c r="AS2" s="5" t="s">
        <v>1492</v>
      </c>
      <c r="AT2" s="5"/>
      <c r="AU2" s="5" t="s">
        <v>1494</v>
      </c>
      <c r="AV2" s="5" t="s">
        <v>2403</v>
      </c>
      <c r="AW2" s="23" t="s">
        <v>2404</v>
      </c>
      <c r="AX2" s="5" t="s">
        <v>947</v>
      </c>
      <c r="AY2" s="5" t="s">
        <v>2405</v>
      </c>
      <c r="BA2" s="31" t="s">
        <v>1066</v>
      </c>
    </row>
    <row r="3" customFormat="false" ht="15" hidden="false" customHeight="true" outlineLevel="0" collapsed="false"/>
    <row r="4"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"0-10 CM,0-20 CM,0-30 CM,0-40 CM,0-50 CM,0-60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2406</v>
      </c>
      <c r="Q1" s="25" t="s">
        <v>2407</v>
      </c>
      <c r="R1" s="25" t="s">
        <v>2408</v>
      </c>
      <c r="S1" s="25" t="s">
        <v>2409</v>
      </c>
      <c r="T1" s="25" t="s">
        <v>2410</v>
      </c>
      <c r="U1" s="25" t="s">
        <v>2411</v>
      </c>
      <c r="V1" s="25" t="s">
        <v>2412</v>
      </c>
      <c r="W1" s="25" t="s">
        <v>2413</v>
      </c>
      <c r="X1" s="28" t="s">
        <v>2414</v>
      </c>
      <c r="Y1" s="28" t="s">
        <v>2415</v>
      </c>
      <c r="Z1" s="28" t="s">
        <v>2416</v>
      </c>
      <c r="AA1" s="28" t="s">
        <v>2417</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BA2" s="31" t="s">
        <v>1069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2418</v>
      </c>
      <c r="Q1" s="25" t="s">
        <v>2419</v>
      </c>
      <c r="R1" s="25" t="s">
        <v>2420</v>
      </c>
      <c r="S1" s="25" t="s">
        <v>2421</v>
      </c>
      <c r="T1" s="25" t="s">
        <v>2422</v>
      </c>
      <c r="U1" s="25" t="s">
        <v>2423</v>
      </c>
      <c r="V1" s="25" t="s">
        <v>2424</v>
      </c>
      <c r="W1" s="25" t="s">
        <v>2425</v>
      </c>
      <c r="X1" s="28" t="s">
        <v>2426</v>
      </c>
      <c r="Y1" s="28" t="s">
        <v>2427</v>
      </c>
      <c r="Z1" s="28" t="s">
        <v>2428</v>
      </c>
      <c r="AA1" s="28" t="s">
        <v>2429</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BA2" s="31" t="s">
        <v>1071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2430</v>
      </c>
      <c r="Q1" s="25" t="s">
        <v>2431</v>
      </c>
      <c r="R1" s="25" t="s">
        <v>2432</v>
      </c>
      <c r="S1" s="25" t="s">
        <v>2433</v>
      </c>
      <c r="T1" s="25" t="s">
        <v>2434</v>
      </c>
      <c r="U1" s="25" t="s">
        <v>2435</v>
      </c>
      <c r="V1" s="25" t="s">
        <v>2436</v>
      </c>
      <c r="W1" s="25" t="s">
        <v>2437</v>
      </c>
      <c r="X1" s="28" t="s">
        <v>2438</v>
      </c>
      <c r="Y1" s="28" t="s">
        <v>2439</v>
      </c>
      <c r="Z1" s="28" t="s">
        <v>2440</v>
      </c>
      <c r="AA1" s="28" t="s">
        <v>2441</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BA2" s="31" t="s">
        <v>1073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2442</v>
      </c>
      <c r="Q1" s="25" t="s">
        <v>2443</v>
      </c>
      <c r="R1" s="25" t="s">
        <v>2444</v>
      </c>
      <c r="S1" s="25" t="s">
        <v>2445</v>
      </c>
      <c r="T1" s="25" t="s">
        <v>2446</v>
      </c>
      <c r="U1" s="25" t="s">
        <v>2447</v>
      </c>
      <c r="V1" s="25" t="s">
        <v>2448</v>
      </c>
      <c r="W1" s="25" t="s">
        <v>2449</v>
      </c>
      <c r="X1" s="28" t="s">
        <v>2450</v>
      </c>
      <c r="Y1" s="28" t="s">
        <v>2451</v>
      </c>
      <c r="Z1" s="28" t="s">
        <v>2452</v>
      </c>
      <c r="AA1" s="28" t="s">
        <v>2453</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BA2" s="31" t="s">
        <v>1075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2454</v>
      </c>
      <c r="Q1" s="25" t="s">
        <v>2455</v>
      </c>
      <c r="R1" s="25" t="s">
        <v>2456</v>
      </c>
      <c r="S1" s="25" t="s">
        <v>2457</v>
      </c>
      <c r="T1" s="25" t="s">
        <v>2458</v>
      </c>
      <c r="U1" s="25" t="s">
        <v>2459</v>
      </c>
      <c r="V1" s="25" t="s">
        <v>2460</v>
      </c>
      <c r="W1" s="25" t="s">
        <v>2461</v>
      </c>
      <c r="X1" s="28" t="s">
        <v>2462</v>
      </c>
      <c r="Y1" s="28" t="s">
        <v>2463</v>
      </c>
      <c r="Z1" s="28" t="s">
        <v>2464</v>
      </c>
      <c r="AA1" s="28" t="s">
        <v>2465</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A2" s="18" t="n">
        <v>168</v>
      </c>
      <c r="B2" s="18" t="n">
        <v>168</v>
      </c>
      <c r="C2" s="18" t="s">
        <v>862</v>
      </c>
      <c r="D2" s="18" t="n">
        <v>2020</v>
      </c>
      <c r="E2" s="18" t="s">
        <v>863</v>
      </c>
      <c r="F2" s="18" t="s">
        <v>866</v>
      </c>
      <c r="G2" s="18" t="s">
        <v>867</v>
      </c>
      <c r="H2" s="18" t="n">
        <v>30.933</v>
      </c>
      <c r="I2" s="18" t="n">
        <v>75.867</v>
      </c>
      <c r="J2" s="18" t="s">
        <v>870</v>
      </c>
      <c r="K2" s="18" t="n">
        <v>2016</v>
      </c>
      <c r="L2" s="18" t="s">
        <v>84</v>
      </c>
      <c r="M2" s="18" t="s">
        <v>85</v>
      </c>
      <c r="N2" s="18" t="s">
        <v>86</v>
      </c>
      <c r="O2" s="18" t="s">
        <v>1618</v>
      </c>
      <c r="P2" s="18" t="n">
        <v>34.8</v>
      </c>
      <c r="Q2" s="18" t="n">
        <v>10.5</v>
      </c>
      <c r="R2" s="18" t="n">
        <v>22.3</v>
      </c>
      <c r="S2" s="18"/>
      <c r="T2" s="18"/>
      <c r="U2" s="18"/>
      <c r="V2" s="18" t="n">
        <v>24.1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2466</v>
      </c>
      <c r="AS2" s="18" t="s">
        <v>1473</v>
      </c>
      <c r="AT2" s="18" t="s">
        <v>1474</v>
      </c>
      <c r="AU2" s="18" t="s">
        <v>1475</v>
      </c>
      <c r="AV2" s="18" t="s">
        <v>2467</v>
      </c>
      <c r="AW2" s="30" t="s">
        <v>2468</v>
      </c>
      <c r="AX2" s="18" t="s">
        <v>877</v>
      </c>
      <c r="AY2" s="18" t="s">
        <v>2469</v>
      </c>
      <c r="BA2" s="31" t="s">
        <v>1077</v>
      </c>
    </row>
    <row r="3" customFormat="false" ht="15" hidden="false" customHeight="true" outlineLevel="0" collapsed="false">
      <c r="A3" s="5" t="n">
        <v>165</v>
      </c>
      <c r="B3" s="5" t="n">
        <v>165</v>
      </c>
      <c r="C3" s="5" t="s">
        <v>811</v>
      </c>
      <c r="D3" s="5" t="n">
        <v>2012</v>
      </c>
      <c r="E3" s="5" t="s">
        <v>812</v>
      </c>
      <c r="F3" s="5" t="s">
        <v>815</v>
      </c>
      <c r="G3" s="5" t="s">
        <v>816</v>
      </c>
      <c r="H3" s="5" t="n">
        <v>28.633</v>
      </c>
      <c r="I3" s="5" t="n">
        <v>77.183</v>
      </c>
      <c r="J3" s="5" t="s">
        <v>83</v>
      </c>
      <c r="K3" s="5" t="s">
        <v>1481</v>
      </c>
      <c r="L3" s="5" t="s">
        <v>821</v>
      </c>
      <c r="M3" s="5" t="s">
        <v>85</v>
      </c>
      <c r="N3" s="5" t="s">
        <v>86</v>
      </c>
      <c r="O3" s="5" t="s">
        <v>2030</v>
      </c>
      <c r="P3" s="5"/>
      <c r="Q3" s="5" t="n">
        <v>547.1</v>
      </c>
      <c r="R3" s="5"/>
      <c r="S3" s="5"/>
      <c r="T3" s="5"/>
      <c r="U3" s="5"/>
      <c r="V3" s="5" t="n">
        <v>568.8</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2470</v>
      </c>
      <c r="AS3" s="5" t="s">
        <v>1482</v>
      </c>
      <c r="AT3" s="5" t="s">
        <v>2471</v>
      </c>
      <c r="AU3" s="5" t="s">
        <v>1484</v>
      </c>
      <c r="AV3" s="5" t="s">
        <v>2467</v>
      </c>
      <c r="AW3" s="23" t="s">
        <v>2472</v>
      </c>
      <c r="AX3" s="5" t="s">
        <v>829</v>
      </c>
      <c r="AY3" s="5" t="s">
        <v>2473</v>
      </c>
    </row>
    <row r="4" customFormat="false" ht="15" hidden="false" customHeight="true" outlineLevel="0" collapsed="false">
      <c r="A4" s="5" t="n">
        <v>165</v>
      </c>
      <c r="B4" s="5" t="n">
        <v>165</v>
      </c>
      <c r="C4" s="5" t="s">
        <v>811</v>
      </c>
      <c r="D4" s="5" t="n">
        <v>2012</v>
      </c>
      <c r="E4" s="5" t="s">
        <v>812</v>
      </c>
      <c r="F4" s="5" t="s">
        <v>815</v>
      </c>
      <c r="G4" s="5" t="s">
        <v>816</v>
      </c>
      <c r="H4" s="5" t="n">
        <v>28.633</v>
      </c>
      <c r="I4" s="5" t="n">
        <v>77.183</v>
      </c>
      <c r="J4" s="5" t="s">
        <v>83</v>
      </c>
      <c r="K4" s="5" t="s">
        <v>1481</v>
      </c>
      <c r="L4" s="5" t="s">
        <v>821</v>
      </c>
      <c r="M4" s="5" t="s">
        <v>85</v>
      </c>
      <c r="N4" s="5" t="s">
        <v>86</v>
      </c>
      <c r="O4" s="5" t="s">
        <v>2030</v>
      </c>
      <c r="P4" s="5"/>
      <c r="Q4" s="5" t="n">
        <v>561.3</v>
      </c>
      <c r="R4" s="5"/>
      <c r="S4" s="5"/>
      <c r="T4" s="5"/>
      <c r="U4" s="5"/>
      <c r="V4" s="5" t="n">
        <v>585.9</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2470</v>
      </c>
      <c r="AS4" s="5" t="s">
        <v>1488</v>
      </c>
      <c r="AT4" s="5" t="s">
        <v>2471</v>
      </c>
      <c r="AU4" s="5" t="s">
        <v>1484</v>
      </c>
      <c r="AV4" s="5" t="s">
        <v>2467</v>
      </c>
      <c r="AW4" s="23" t="s">
        <v>2474</v>
      </c>
      <c r="AX4" s="5" t="s">
        <v>829</v>
      </c>
      <c r="AY4" s="5" t="s">
        <v>2473</v>
      </c>
    </row>
    <row r="5" customFormat="false" ht="15" hidden="false" customHeight="true" outlineLevel="0" collapsed="false">
      <c r="A5" s="18" t="s">
        <v>904</v>
      </c>
      <c r="B5" s="18" t="s">
        <v>904</v>
      </c>
      <c r="C5" s="18" t="s">
        <v>905</v>
      </c>
      <c r="D5" s="18" t="n">
        <v>2019</v>
      </c>
      <c r="E5" s="18" t="s">
        <v>2288</v>
      </c>
      <c r="F5" s="18" t="s">
        <v>891</v>
      </c>
      <c r="G5" s="18" t="s">
        <v>892</v>
      </c>
      <c r="H5" s="18" t="n">
        <v>29.7</v>
      </c>
      <c r="I5" s="18" t="n">
        <v>76.96</v>
      </c>
      <c r="J5" s="18" t="s">
        <v>83</v>
      </c>
      <c r="K5" s="18" t="n">
        <v>2013</v>
      </c>
      <c r="L5" s="18" t="s">
        <v>84</v>
      </c>
      <c r="M5" s="18" t="s">
        <v>85</v>
      </c>
      <c r="N5" s="18" t="s">
        <v>86</v>
      </c>
      <c r="O5" s="18" t="s">
        <v>1472</v>
      </c>
      <c r="P5" s="18" t="n">
        <v>0.83</v>
      </c>
      <c r="Q5" s="18" t="n">
        <v>0.73</v>
      </c>
      <c r="R5" s="18"/>
      <c r="S5" s="18"/>
      <c r="T5" s="18"/>
      <c r="U5" s="18"/>
      <c r="V5" s="18"/>
      <c r="W5" s="18"/>
      <c r="X5" s="18" t="n">
        <v>1.01</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2475</v>
      </c>
      <c r="AS5" s="18" t="s">
        <v>1639</v>
      </c>
      <c r="AT5" s="18" t="s">
        <v>2290</v>
      </c>
      <c r="AU5" s="18" t="s">
        <v>1641</v>
      </c>
      <c r="AV5" s="18" t="s">
        <v>1476</v>
      </c>
      <c r="AW5" s="30" t="s">
        <v>2476</v>
      </c>
      <c r="AX5" s="18" t="s">
        <v>911</v>
      </c>
      <c r="AY5" s="18" t="s">
        <v>2477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2478</v>
      </c>
      <c r="Q1" s="25" t="s">
        <v>2479</v>
      </c>
      <c r="R1" s="25" t="s">
        <v>2480</v>
      </c>
      <c r="S1" s="25" t="s">
        <v>2481</v>
      </c>
      <c r="T1" s="25" t="s">
        <v>2482</v>
      </c>
      <c r="U1" s="25" t="s">
        <v>2483</v>
      </c>
      <c r="V1" s="25" t="s">
        <v>2484</v>
      </c>
      <c r="W1" s="25" t="s">
        <v>2485</v>
      </c>
      <c r="X1" s="28" t="s">
        <v>2486</v>
      </c>
      <c r="Y1" s="28" t="s">
        <v>2487</v>
      </c>
      <c r="Z1" s="28" t="s">
        <v>2488</v>
      </c>
      <c r="AA1" s="28" t="s">
        <v>2489</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A2" s="18" t="s">
        <v>914</v>
      </c>
      <c r="B2" s="18" t="s">
        <v>914</v>
      </c>
      <c r="C2" s="18" t="s">
        <v>915</v>
      </c>
      <c r="D2" s="18" t="n">
        <v>2020</v>
      </c>
      <c r="E2" s="18" t="s">
        <v>916</v>
      </c>
      <c r="F2" s="18" t="s">
        <v>815</v>
      </c>
      <c r="G2" s="18" t="s">
        <v>919</v>
      </c>
      <c r="H2" s="18" t="n">
        <v>28.4</v>
      </c>
      <c r="I2" s="18" t="n">
        <v>77.1</v>
      </c>
      <c r="J2" s="18" t="s">
        <v>83</v>
      </c>
      <c r="K2" s="18" t="s">
        <v>1504</v>
      </c>
      <c r="L2" s="18" t="s">
        <v>802</v>
      </c>
      <c r="M2" s="18" t="s">
        <v>85</v>
      </c>
      <c r="N2" s="18" t="s">
        <v>86</v>
      </c>
      <c r="O2" s="18" t="s">
        <v>1472</v>
      </c>
      <c r="P2" s="18"/>
      <c r="Q2" s="18" t="n">
        <v>8.25</v>
      </c>
      <c r="R2" s="18"/>
      <c r="S2" s="18"/>
      <c r="T2" s="18"/>
      <c r="U2" s="18"/>
      <c r="V2" s="18" t="n">
        <v>8.22</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1080</v>
      </c>
      <c r="AS2" s="18" t="s">
        <v>1505</v>
      </c>
      <c r="AT2" s="18" t="s">
        <v>1506</v>
      </c>
      <c r="AU2" s="18" t="s">
        <v>1507</v>
      </c>
      <c r="AV2" s="18" t="s">
        <v>1476</v>
      </c>
      <c r="AW2" s="30" t="s">
        <v>2490</v>
      </c>
      <c r="AX2" s="18" t="s">
        <v>928</v>
      </c>
      <c r="AY2" s="18" t="s">
        <v>2491</v>
      </c>
      <c r="BA2" s="31" t="s">
        <v>1080</v>
      </c>
    </row>
    <row r="3" customFormat="false" ht="15" hidden="false" customHeight="true" outlineLevel="0" collapsed="false">
      <c r="A3" s="18" t="s">
        <v>914</v>
      </c>
      <c r="B3" s="18" t="s">
        <v>914</v>
      </c>
      <c r="C3" s="18" t="s">
        <v>915</v>
      </c>
      <c r="D3" s="18" t="n">
        <v>2020</v>
      </c>
      <c r="E3" s="18" t="s">
        <v>916</v>
      </c>
      <c r="F3" s="18" t="s">
        <v>815</v>
      </c>
      <c r="G3" s="18" t="s">
        <v>919</v>
      </c>
      <c r="H3" s="18" t="n">
        <v>28.4</v>
      </c>
      <c r="I3" s="18" t="n">
        <v>77.1</v>
      </c>
      <c r="J3" s="18" t="s">
        <v>83</v>
      </c>
      <c r="K3" s="18" t="s">
        <v>1504</v>
      </c>
      <c r="L3" s="18" t="s">
        <v>802</v>
      </c>
      <c r="M3" s="18" t="s">
        <v>85</v>
      </c>
      <c r="N3" s="18" t="s">
        <v>86</v>
      </c>
      <c r="O3" s="18" t="s">
        <v>1472</v>
      </c>
      <c r="P3" s="18"/>
      <c r="Q3" s="18" t="n">
        <v>8.25</v>
      </c>
      <c r="R3" s="18"/>
      <c r="S3" s="18"/>
      <c r="T3" s="18"/>
      <c r="U3" s="18"/>
      <c r="V3" s="18" t="n">
        <v>8</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1080</v>
      </c>
      <c r="AS3" s="18" t="s">
        <v>1511</v>
      </c>
      <c r="AT3" s="18" t="s">
        <v>1506</v>
      </c>
      <c r="AU3" s="18" t="s">
        <v>1507</v>
      </c>
      <c r="AV3" s="18" t="s">
        <v>1476</v>
      </c>
      <c r="AW3" s="30" t="s">
        <v>2492</v>
      </c>
      <c r="AX3" s="18" t="s">
        <v>928</v>
      </c>
      <c r="AY3" s="18" t="s">
        <v>2491</v>
      </c>
    </row>
    <row r="4" customFormat="false" ht="15" hidden="false" customHeight="true" outlineLevel="0" collapsed="false">
      <c r="A4" s="18" t="s">
        <v>914</v>
      </c>
      <c r="B4" s="18" t="s">
        <v>914</v>
      </c>
      <c r="C4" s="18" t="s">
        <v>915</v>
      </c>
      <c r="D4" s="18" t="n">
        <v>2020</v>
      </c>
      <c r="E4" s="18" t="s">
        <v>916</v>
      </c>
      <c r="F4" s="18" t="s">
        <v>815</v>
      </c>
      <c r="G4" s="18" t="s">
        <v>919</v>
      </c>
      <c r="H4" s="18" t="n">
        <v>28.4</v>
      </c>
      <c r="I4" s="18" t="n">
        <v>77.1</v>
      </c>
      <c r="J4" s="18" t="s">
        <v>83</v>
      </c>
      <c r="K4" s="18" t="s">
        <v>1504</v>
      </c>
      <c r="L4" s="18" t="s">
        <v>802</v>
      </c>
      <c r="M4" s="18" t="s">
        <v>85</v>
      </c>
      <c r="N4" s="18" t="s">
        <v>86</v>
      </c>
      <c r="O4" s="18" t="s">
        <v>1472</v>
      </c>
      <c r="P4" s="18"/>
      <c r="Q4" s="18" t="n">
        <v>8.17</v>
      </c>
      <c r="R4" s="18"/>
      <c r="S4" s="18"/>
      <c r="T4" s="18"/>
      <c r="U4" s="18"/>
      <c r="V4" s="18" t="n">
        <v>8.19</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1080</v>
      </c>
      <c r="AS4" s="18" t="s">
        <v>1513</v>
      </c>
      <c r="AT4" s="18" t="s">
        <v>1506</v>
      </c>
      <c r="AU4" s="18" t="s">
        <v>1507</v>
      </c>
      <c r="AV4" s="18" t="s">
        <v>1476</v>
      </c>
      <c r="AW4" s="30" t="s">
        <v>2493</v>
      </c>
      <c r="AX4" s="18" t="s">
        <v>928</v>
      </c>
      <c r="AY4" s="18" t="s">
        <v>2491</v>
      </c>
    </row>
    <row r="5" customFormat="false" ht="15" hidden="false" customHeight="true" outlineLevel="0" collapsed="false">
      <c r="A5" s="18" t="s">
        <v>914</v>
      </c>
      <c r="B5" s="18" t="s">
        <v>914</v>
      </c>
      <c r="C5" s="18" t="s">
        <v>915</v>
      </c>
      <c r="D5" s="18" t="n">
        <v>2020</v>
      </c>
      <c r="E5" s="18" t="s">
        <v>916</v>
      </c>
      <c r="F5" s="18" t="s">
        <v>815</v>
      </c>
      <c r="G5" s="18" t="s">
        <v>919</v>
      </c>
      <c r="H5" s="18" t="n">
        <v>28.4</v>
      </c>
      <c r="I5" s="18" t="n">
        <v>77.1</v>
      </c>
      <c r="J5" s="18" t="s">
        <v>83</v>
      </c>
      <c r="K5" s="18" t="s">
        <v>1504</v>
      </c>
      <c r="L5" s="18" t="s">
        <v>802</v>
      </c>
      <c r="M5" s="18" t="s">
        <v>85</v>
      </c>
      <c r="N5" s="18" t="s">
        <v>86</v>
      </c>
      <c r="O5" s="18" t="s">
        <v>1472</v>
      </c>
      <c r="P5" s="18"/>
      <c r="Q5" s="18" t="n">
        <v>8.17</v>
      </c>
      <c r="R5" s="18"/>
      <c r="S5" s="18"/>
      <c r="T5" s="18"/>
      <c r="U5" s="18"/>
      <c r="V5" s="18" t="n">
        <v>8.03</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1080</v>
      </c>
      <c r="AS5" s="18" t="s">
        <v>1515</v>
      </c>
      <c r="AT5" s="18" t="s">
        <v>1506</v>
      </c>
      <c r="AU5" s="18" t="s">
        <v>1507</v>
      </c>
      <c r="AV5" s="18" t="s">
        <v>1476</v>
      </c>
      <c r="AW5" s="30" t="s">
        <v>2494</v>
      </c>
      <c r="AX5" s="18" t="s">
        <v>928</v>
      </c>
      <c r="AY5" s="18" t="s">
        <v>2491</v>
      </c>
    </row>
    <row r="6" customFormat="false" ht="15" hidden="false" customHeight="true" outlineLevel="0" collapsed="false">
      <c r="A6" s="18" t="s">
        <v>914</v>
      </c>
      <c r="B6" s="18" t="s">
        <v>914</v>
      </c>
      <c r="C6" s="18" t="s">
        <v>915</v>
      </c>
      <c r="D6" s="18" t="n">
        <v>2020</v>
      </c>
      <c r="E6" s="18" t="s">
        <v>916</v>
      </c>
      <c r="F6" s="18" t="s">
        <v>815</v>
      </c>
      <c r="G6" s="18" t="s">
        <v>919</v>
      </c>
      <c r="H6" s="18" t="n">
        <v>28.4</v>
      </c>
      <c r="I6" s="18" t="n">
        <v>77.1</v>
      </c>
      <c r="J6" s="18" t="s">
        <v>83</v>
      </c>
      <c r="K6" s="18" t="s">
        <v>1504</v>
      </c>
      <c r="L6" s="18" t="s">
        <v>802</v>
      </c>
      <c r="M6" s="18" t="s">
        <v>85</v>
      </c>
      <c r="N6" s="18" t="s">
        <v>86</v>
      </c>
      <c r="O6" s="18" t="s">
        <v>1472</v>
      </c>
      <c r="P6" s="18"/>
      <c r="Q6" s="18" t="n">
        <v>8.27</v>
      </c>
      <c r="R6" s="18"/>
      <c r="S6" s="18"/>
      <c r="T6" s="18"/>
      <c r="U6" s="18"/>
      <c r="V6" s="18" t="n">
        <v>8.21</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1080</v>
      </c>
      <c r="AS6" s="18" t="s">
        <v>1517</v>
      </c>
      <c r="AT6" s="18" t="s">
        <v>1506</v>
      </c>
      <c r="AU6" s="18" t="s">
        <v>1507</v>
      </c>
      <c r="AV6" s="18" t="s">
        <v>1476</v>
      </c>
      <c r="AW6" s="30" t="s">
        <v>2495</v>
      </c>
      <c r="AX6" s="18" t="s">
        <v>928</v>
      </c>
      <c r="AY6" s="18" t="s">
        <v>2491</v>
      </c>
    </row>
    <row r="7" customFormat="false" ht="15" hidden="false" customHeight="true" outlineLevel="0" collapsed="false">
      <c r="A7" s="18" t="s">
        <v>914</v>
      </c>
      <c r="B7" s="18" t="s">
        <v>914</v>
      </c>
      <c r="C7" s="18" t="s">
        <v>915</v>
      </c>
      <c r="D7" s="18" t="n">
        <v>2020</v>
      </c>
      <c r="E7" s="18" t="s">
        <v>916</v>
      </c>
      <c r="F7" s="18" t="s">
        <v>815</v>
      </c>
      <c r="G7" s="18" t="s">
        <v>919</v>
      </c>
      <c r="H7" s="18" t="n">
        <v>28.4</v>
      </c>
      <c r="I7" s="18" t="n">
        <v>77.1</v>
      </c>
      <c r="J7" s="18" t="s">
        <v>83</v>
      </c>
      <c r="K7" s="18" t="s">
        <v>1504</v>
      </c>
      <c r="L7" s="18" t="s">
        <v>802</v>
      </c>
      <c r="M7" s="18" t="s">
        <v>85</v>
      </c>
      <c r="N7" s="18" t="s">
        <v>86</v>
      </c>
      <c r="O7" s="18" t="s">
        <v>1472</v>
      </c>
      <c r="P7" s="18"/>
      <c r="Q7" s="18" t="n">
        <v>8.27</v>
      </c>
      <c r="R7" s="18"/>
      <c r="S7" s="18"/>
      <c r="T7" s="18"/>
      <c r="U7" s="18"/>
      <c r="V7" s="18" t="n">
        <v>8.26</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1080</v>
      </c>
      <c r="AS7" s="18" t="s">
        <v>1519</v>
      </c>
      <c r="AT7" s="18" t="s">
        <v>1506</v>
      </c>
      <c r="AU7" s="18" t="s">
        <v>1507</v>
      </c>
      <c r="AV7" s="18" t="s">
        <v>1476</v>
      </c>
      <c r="AW7" s="30" t="s">
        <v>2496</v>
      </c>
      <c r="AX7" s="18" t="s">
        <v>928</v>
      </c>
      <c r="AY7" s="18" t="s">
        <v>2491</v>
      </c>
    </row>
    <row r="8" customFormat="false" ht="15" hidden="false" customHeight="true" outlineLevel="0" collapsed="false">
      <c r="A8" s="18" t="s">
        <v>914</v>
      </c>
      <c r="B8" s="18" t="s">
        <v>914</v>
      </c>
      <c r="C8" s="18" t="s">
        <v>915</v>
      </c>
      <c r="D8" s="18" t="n">
        <v>2020</v>
      </c>
      <c r="E8" s="18" t="s">
        <v>916</v>
      </c>
      <c r="F8" s="18" t="s">
        <v>815</v>
      </c>
      <c r="G8" s="18" t="s">
        <v>919</v>
      </c>
      <c r="H8" s="18" t="n">
        <v>28.4</v>
      </c>
      <c r="I8" s="18" t="n">
        <v>77.1</v>
      </c>
      <c r="J8" s="18" t="s">
        <v>83</v>
      </c>
      <c r="K8" s="18" t="s">
        <v>1504</v>
      </c>
      <c r="L8" s="18" t="s">
        <v>802</v>
      </c>
      <c r="M8" s="18" t="s">
        <v>85</v>
      </c>
      <c r="N8" s="18" t="s">
        <v>86</v>
      </c>
      <c r="O8" s="18" t="s">
        <v>1472</v>
      </c>
      <c r="P8" s="18"/>
      <c r="Q8" s="18" t="n">
        <v>8.26</v>
      </c>
      <c r="R8" s="18"/>
      <c r="S8" s="18"/>
      <c r="T8" s="18"/>
      <c r="U8" s="18"/>
      <c r="V8" s="18" t="n">
        <v>8.29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1080</v>
      </c>
      <c r="AS8" s="18" t="s">
        <v>1521</v>
      </c>
      <c r="AT8" s="18" t="s">
        <v>1506</v>
      </c>
      <c r="AU8" s="18" t="s">
        <v>1507</v>
      </c>
      <c r="AV8" s="18" t="s">
        <v>1476</v>
      </c>
      <c r="AW8" s="30" t="s">
        <v>2497</v>
      </c>
      <c r="AX8" s="18" t="s">
        <v>928</v>
      </c>
      <c r="AY8" s="18" t="s">
        <v>2491</v>
      </c>
    </row>
    <row r="9" customFormat="false" ht="14.25" hidden="false" customHeight="true" outlineLevel="0" collapsed="false">
      <c r="A9" s="18" t="s">
        <v>914</v>
      </c>
      <c r="B9" s="18" t="s">
        <v>914</v>
      </c>
      <c r="C9" s="18" t="s">
        <v>915</v>
      </c>
      <c r="D9" s="18" t="n">
        <v>2020</v>
      </c>
      <c r="E9" s="18" t="s">
        <v>916</v>
      </c>
      <c r="F9" s="18" t="s">
        <v>815</v>
      </c>
      <c r="G9" s="18" t="s">
        <v>919</v>
      </c>
      <c r="H9" s="18" t="n">
        <v>28.4</v>
      </c>
      <c r="I9" s="18" t="n">
        <v>77.1</v>
      </c>
      <c r="J9" s="18" t="s">
        <v>83</v>
      </c>
      <c r="K9" s="18" t="s">
        <v>1504</v>
      </c>
      <c r="L9" s="18" t="s">
        <v>802</v>
      </c>
      <c r="M9" s="18" t="s">
        <v>85</v>
      </c>
      <c r="N9" s="18" t="s">
        <v>86</v>
      </c>
      <c r="O9" s="18" t="s">
        <v>1472</v>
      </c>
      <c r="P9" s="18"/>
      <c r="Q9" s="18" t="n">
        <v>8.26</v>
      </c>
      <c r="R9" s="18"/>
      <c r="S9" s="18"/>
      <c r="T9" s="18"/>
      <c r="U9" s="18"/>
      <c r="V9" s="18" t="n">
        <v>8.15</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1080</v>
      </c>
      <c r="AS9" s="18" t="s">
        <v>1523</v>
      </c>
      <c r="AT9" s="18" t="s">
        <v>1506</v>
      </c>
      <c r="AU9" s="18" t="s">
        <v>1507</v>
      </c>
      <c r="AV9" s="18" t="s">
        <v>1476</v>
      </c>
      <c r="AW9" s="30" t="s">
        <v>2498</v>
      </c>
      <c r="AX9" s="18" t="s">
        <v>928</v>
      </c>
      <c r="AY9" s="18" t="s">
        <v>2491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2499</v>
      </c>
      <c r="Q1" s="25" t="s">
        <v>2500</v>
      </c>
      <c r="R1" s="25" t="s">
        <v>2501</v>
      </c>
      <c r="S1" s="25" t="s">
        <v>2502</v>
      </c>
      <c r="T1" s="25" t="s">
        <v>2503</v>
      </c>
      <c r="U1" s="25" t="s">
        <v>2504</v>
      </c>
      <c r="V1" s="25" t="s">
        <v>2505</v>
      </c>
      <c r="W1" s="25" t="s">
        <v>2506</v>
      </c>
      <c r="X1" s="28" t="s">
        <v>2507</v>
      </c>
      <c r="Y1" s="28" t="s">
        <v>2508</v>
      </c>
      <c r="Z1" s="28" t="s">
        <v>2509</v>
      </c>
      <c r="AA1" s="28" t="s">
        <v>2510</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A2" s="18" t="s">
        <v>914</v>
      </c>
      <c r="B2" s="18" t="s">
        <v>914</v>
      </c>
      <c r="C2" s="18" t="s">
        <v>915</v>
      </c>
      <c r="D2" s="18" t="n">
        <v>2020</v>
      </c>
      <c r="E2" s="18" t="s">
        <v>916</v>
      </c>
      <c r="F2" s="18" t="s">
        <v>815</v>
      </c>
      <c r="G2" s="18" t="s">
        <v>919</v>
      </c>
      <c r="H2" s="18" t="n">
        <v>28.4</v>
      </c>
      <c r="I2" s="18" t="n">
        <v>77.1</v>
      </c>
      <c r="J2" s="18" t="s">
        <v>83</v>
      </c>
      <c r="K2" s="18" t="s">
        <v>1504</v>
      </c>
      <c r="L2" s="18" t="s">
        <v>802</v>
      </c>
      <c r="M2" s="18" t="s">
        <v>85</v>
      </c>
      <c r="N2" s="18" t="s">
        <v>86</v>
      </c>
      <c r="O2" s="18" t="s">
        <v>1472</v>
      </c>
      <c r="P2" s="18"/>
      <c r="Q2" s="18" t="n">
        <v>0.477</v>
      </c>
      <c r="R2" s="18"/>
      <c r="S2" s="18"/>
      <c r="T2" s="18"/>
      <c r="U2" s="18"/>
      <c r="V2" s="18" t="n">
        <v>0.517</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2511</v>
      </c>
      <c r="AS2" s="18" t="s">
        <v>1505</v>
      </c>
      <c r="AT2" s="18" t="s">
        <v>1506</v>
      </c>
      <c r="AU2" s="18" t="s">
        <v>1507</v>
      </c>
      <c r="AV2" s="18" t="s">
        <v>1476</v>
      </c>
      <c r="AW2" s="30" t="s">
        <v>2512</v>
      </c>
      <c r="AX2" s="18" t="s">
        <v>928</v>
      </c>
      <c r="AY2" s="18" t="s">
        <v>2491</v>
      </c>
      <c r="BA2" s="31" t="s">
        <v>1082</v>
      </c>
    </row>
    <row r="3" customFormat="false" ht="15" hidden="false" customHeight="true" outlineLevel="0" collapsed="false">
      <c r="A3" s="18" t="s">
        <v>914</v>
      </c>
      <c r="B3" s="18" t="s">
        <v>914</v>
      </c>
      <c r="C3" s="18" t="s">
        <v>915</v>
      </c>
      <c r="D3" s="18" t="n">
        <v>2020</v>
      </c>
      <c r="E3" s="18" t="s">
        <v>916</v>
      </c>
      <c r="F3" s="18" t="s">
        <v>815</v>
      </c>
      <c r="G3" s="18" t="s">
        <v>919</v>
      </c>
      <c r="H3" s="18" t="n">
        <v>28.4</v>
      </c>
      <c r="I3" s="18" t="n">
        <v>77.1</v>
      </c>
      <c r="J3" s="18" t="s">
        <v>83</v>
      </c>
      <c r="K3" s="18" t="s">
        <v>1504</v>
      </c>
      <c r="L3" s="18" t="s">
        <v>802</v>
      </c>
      <c r="M3" s="18" t="s">
        <v>85</v>
      </c>
      <c r="N3" s="18" t="s">
        <v>86</v>
      </c>
      <c r="O3" s="18" t="s">
        <v>1472</v>
      </c>
      <c r="P3" s="18"/>
      <c r="Q3" s="18" t="n">
        <v>0.477</v>
      </c>
      <c r="R3" s="18"/>
      <c r="S3" s="18"/>
      <c r="T3" s="18"/>
      <c r="U3" s="18"/>
      <c r="V3" s="18" t="n">
        <v>0.473</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2511</v>
      </c>
      <c r="AS3" s="18" t="s">
        <v>1511</v>
      </c>
      <c r="AT3" s="18" t="s">
        <v>1506</v>
      </c>
      <c r="AU3" s="18" t="s">
        <v>1507</v>
      </c>
      <c r="AV3" s="18" t="s">
        <v>1476</v>
      </c>
      <c r="AW3" s="30" t="s">
        <v>2513</v>
      </c>
      <c r="AX3" s="18" t="s">
        <v>928</v>
      </c>
      <c r="AY3" s="18" t="s">
        <v>2491</v>
      </c>
    </row>
    <row r="4" customFormat="false" ht="15" hidden="false" customHeight="true" outlineLevel="0" collapsed="false">
      <c r="A4" s="18" t="s">
        <v>914</v>
      </c>
      <c r="B4" s="18" t="s">
        <v>914</v>
      </c>
      <c r="C4" s="18" t="s">
        <v>915</v>
      </c>
      <c r="D4" s="18" t="n">
        <v>2020</v>
      </c>
      <c r="E4" s="18" t="s">
        <v>916</v>
      </c>
      <c r="F4" s="18" t="s">
        <v>815</v>
      </c>
      <c r="G4" s="18" t="s">
        <v>919</v>
      </c>
      <c r="H4" s="18" t="n">
        <v>28.4</v>
      </c>
      <c r="I4" s="18" t="n">
        <v>77.1</v>
      </c>
      <c r="J4" s="18" t="s">
        <v>83</v>
      </c>
      <c r="K4" s="18" t="s">
        <v>1504</v>
      </c>
      <c r="L4" s="18" t="s">
        <v>802</v>
      </c>
      <c r="M4" s="18" t="s">
        <v>85</v>
      </c>
      <c r="N4" s="18" t="s">
        <v>86</v>
      </c>
      <c r="O4" s="18" t="s">
        <v>1472</v>
      </c>
      <c r="P4" s="18"/>
      <c r="Q4" s="18" t="n">
        <v>0.493</v>
      </c>
      <c r="R4" s="18"/>
      <c r="S4" s="18"/>
      <c r="T4" s="18"/>
      <c r="U4" s="18"/>
      <c r="V4" s="18" t="n">
        <v>0.47</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2511</v>
      </c>
      <c r="AS4" s="18" t="s">
        <v>1513</v>
      </c>
      <c r="AT4" s="18" t="s">
        <v>1506</v>
      </c>
      <c r="AU4" s="18" t="s">
        <v>1507</v>
      </c>
      <c r="AV4" s="18" t="s">
        <v>1476</v>
      </c>
      <c r="AW4" s="30" t="s">
        <v>2514</v>
      </c>
      <c r="AX4" s="18" t="s">
        <v>928</v>
      </c>
      <c r="AY4" s="18" t="s">
        <v>2491</v>
      </c>
    </row>
    <row r="5" customFormat="false" ht="14.25" hidden="false" customHeight="true" outlineLevel="0" collapsed="false">
      <c r="A5" s="18" t="s">
        <v>914</v>
      </c>
      <c r="B5" s="18" t="s">
        <v>914</v>
      </c>
      <c r="C5" s="18" t="s">
        <v>915</v>
      </c>
      <c r="D5" s="18" t="n">
        <v>2020</v>
      </c>
      <c r="E5" s="18" t="s">
        <v>916</v>
      </c>
      <c r="F5" s="18" t="s">
        <v>815</v>
      </c>
      <c r="G5" s="18" t="s">
        <v>919</v>
      </c>
      <c r="H5" s="18" t="n">
        <v>28.4</v>
      </c>
      <c r="I5" s="18" t="n">
        <v>77.1</v>
      </c>
      <c r="J5" s="18" t="s">
        <v>83</v>
      </c>
      <c r="K5" s="18" t="s">
        <v>1504</v>
      </c>
      <c r="L5" s="18" t="s">
        <v>802</v>
      </c>
      <c r="M5" s="18" t="s">
        <v>85</v>
      </c>
      <c r="N5" s="18" t="s">
        <v>86</v>
      </c>
      <c r="O5" s="18" t="s">
        <v>1472</v>
      </c>
      <c r="P5" s="18"/>
      <c r="Q5" s="18" t="n">
        <v>0.493</v>
      </c>
      <c r="R5" s="18"/>
      <c r="S5" s="18"/>
      <c r="T5" s="18"/>
      <c r="U5" s="18"/>
      <c r="V5" s="18" t="n">
        <v>0.463</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2511</v>
      </c>
      <c r="AS5" s="18" t="s">
        <v>1515</v>
      </c>
      <c r="AT5" s="18" t="s">
        <v>1506</v>
      </c>
      <c r="AU5" s="18" t="s">
        <v>1507</v>
      </c>
      <c r="AV5" s="18" t="s">
        <v>1476</v>
      </c>
      <c r="AW5" s="30" t="s">
        <v>2515</v>
      </c>
      <c r="AX5" s="18" t="s">
        <v>928</v>
      </c>
      <c r="AY5" s="18" t="s">
        <v>2491</v>
      </c>
    </row>
    <row r="6" customFormat="false" ht="14.25" hidden="false" customHeight="true" outlineLevel="0" collapsed="false">
      <c r="A6" s="18" t="s">
        <v>914</v>
      </c>
      <c r="B6" s="18" t="s">
        <v>914</v>
      </c>
      <c r="C6" s="18" t="s">
        <v>915</v>
      </c>
      <c r="D6" s="18" t="n">
        <v>2020</v>
      </c>
      <c r="E6" s="18" t="s">
        <v>916</v>
      </c>
      <c r="F6" s="18" t="s">
        <v>815</v>
      </c>
      <c r="G6" s="18" t="s">
        <v>919</v>
      </c>
      <c r="H6" s="18" t="n">
        <v>28.4</v>
      </c>
      <c r="I6" s="18" t="n">
        <v>77.1</v>
      </c>
      <c r="J6" s="18" t="s">
        <v>83</v>
      </c>
      <c r="K6" s="18" t="s">
        <v>1504</v>
      </c>
      <c r="L6" s="18" t="s">
        <v>802</v>
      </c>
      <c r="M6" s="18" t="s">
        <v>85</v>
      </c>
      <c r="N6" s="18" t="s">
        <v>86</v>
      </c>
      <c r="O6" s="18" t="s">
        <v>1472</v>
      </c>
      <c r="P6" s="18"/>
      <c r="Q6" s="18" t="n">
        <v>0.457</v>
      </c>
      <c r="R6" s="18"/>
      <c r="S6" s="18"/>
      <c r="T6" s="18"/>
      <c r="U6" s="18"/>
      <c r="V6" s="18" t="n">
        <v>0.453</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2511</v>
      </c>
      <c r="AS6" s="18" t="s">
        <v>1517</v>
      </c>
      <c r="AT6" s="18" t="s">
        <v>1506</v>
      </c>
      <c r="AU6" s="18" t="s">
        <v>1507</v>
      </c>
      <c r="AV6" s="18" t="s">
        <v>1476</v>
      </c>
      <c r="AW6" s="30" t="s">
        <v>2516</v>
      </c>
      <c r="AX6" s="18" t="s">
        <v>928</v>
      </c>
      <c r="AY6" s="18" t="s">
        <v>2491</v>
      </c>
    </row>
    <row r="7" customFormat="false" ht="14.25" hidden="false" customHeight="true" outlineLevel="0" collapsed="false">
      <c r="A7" s="18" t="s">
        <v>914</v>
      </c>
      <c r="B7" s="18" t="s">
        <v>914</v>
      </c>
      <c r="C7" s="18" t="s">
        <v>915</v>
      </c>
      <c r="D7" s="18" t="n">
        <v>2020</v>
      </c>
      <c r="E7" s="18" t="s">
        <v>916</v>
      </c>
      <c r="F7" s="18" t="s">
        <v>815</v>
      </c>
      <c r="G7" s="18" t="s">
        <v>919</v>
      </c>
      <c r="H7" s="18" t="n">
        <v>28.4</v>
      </c>
      <c r="I7" s="18" t="n">
        <v>77.1</v>
      </c>
      <c r="J7" s="18" t="s">
        <v>83</v>
      </c>
      <c r="K7" s="18" t="s">
        <v>1504</v>
      </c>
      <c r="L7" s="18" t="s">
        <v>802</v>
      </c>
      <c r="M7" s="18" t="s">
        <v>85</v>
      </c>
      <c r="N7" s="18" t="s">
        <v>86</v>
      </c>
      <c r="O7" s="18" t="s">
        <v>1472</v>
      </c>
      <c r="P7" s="18"/>
      <c r="Q7" s="18" t="n">
        <v>0.457</v>
      </c>
      <c r="R7" s="18"/>
      <c r="S7" s="18"/>
      <c r="T7" s="18"/>
      <c r="U7" s="18"/>
      <c r="V7" s="18" t="n">
        <v>0.453</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2511</v>
      </c>
      <c r="AS7" s="18" t="s">
        <v>1519</v>
      </c>
      <c r="AT7" s="18" t="s">
        <v>1506</v>
      </c>
      <c r="AU7" s="18" t="s">
        <v>1507</v>
      </c>
      <c r="AV7" s="18" t="s">
        <v>1476</v>
      </c>
      <c r="AW7" s="30" t="s">
        <v>2517</v>
      </c>
      <c r="AX7" s="18" t="s">
        <v>928</v>
      </c>
      <c r="AY7" s="18" t="s">
        <v>2491</v>
      </c>
    </row>
    <row r="8" customFormat="false" ht="14.25" hidden="false" customHeight="true" outlineLevel="0" collapsed="false">
      <c r="A8" s="18" t="s">
        <v>914</v>
      </c>
      <c r="B8" s="18" t="s">
        <v>914</v>
      </c>
      <c r="C8" s="18" t="s">
        <v>915</v>
      </c>
      <c r="D8" s="18" t="n">
        <v>2020</v>
      </c>
      <c r="E8" s="18" t="s">
        <v>916</v>
      </c>
      <c r="F8" s="18" t="s">
        <v>815</v>
      </c>
      <c r="G8" s="18" t="s">
        <v>919</v>
      </c>
      <c r="H8" s="18" t="n">
        <v>28.4</v>
      </c>
      <c r="I8" s="18" t="n">
        <v>77.1</v>
      </c>
      <c r="J8" s="18" t="s">
        <v>83</v>
      </c>
      <c r="K8" s="18" t="s">
        <v>1504</v>
      </c>
      <c r="L8" s="18" t="s">
        <v>802</v>
      </c>
      <c r="M8" s="18" t="s">
        <v>85</v>
      </c>
      <c r="N8" s="18" t="s">
        <v>86</v>
      </c>
      <c r="O8" s="18" t="s">
        <v>1472</v>
      </c>
      <c r="P8" s="18"/>
      <c r="Q8" s="18" t="n">
        <v>0.447</v>
      </c>
      <c r="R8" s="18"/>
      <c r="S8" s="18"/>
      <c r="T8" s="18"/>
      <c r="U8" s="18"/>
      <c r="V8" s="18" t="n">
        <v>0.49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2511</v>
      </c>
      <c r="AS8" s="18" t="s">
        <v>1521</v>
      </c>
      <c r="AT8" s="18" t="s">
        <v>1506</v>
      </c>
      <c r="AU8" s="18" t="s">
        <v>1507</v>
      </c>
      <c r="AV8" s="18" t="s">
        <v>1476</v>
      </c>
      <c r="AW8" s="30" t="s">
        <v>2518</v>
      </c>
      <c r="AX8" s="18" t="s">
        <v>928</v>
      </c>
      <c r="AY8" s="18" t="s">
        <v>2491</v>
      </c>
    </row>
    <row r="9" customFormat="false" ht="14.25" hidden="false" customHeight="true" outlineLevel="0" collapsed="false">
      <c r="A9" s="18" t="s">
        <v>914</v>
      </c>
      <c r="B9" s="18" t="s">
        <v>914</v>
      </c>
      <c r="C9" s="18" t="s">
        <v>915</v>
      </c>
      <c r="D9" s="18" t="n">
        <v>2020</v>
      </c>
      <c r="E9" s="18" t="s">
        <v>916</v>
      </c>
      <c r="F9" s="18" t="s">
        <v>815</v>
      </c>
      <c r="G9" s="18" t="s">
        <v>919</v>
      </c>
      <c r="H9" s="18" t="n">
        <v>28.4</v>
      </c>
      <c r="I9" s="18" t="n">
        <v>77.1</v>
      </c>
      <c r="J9" s="18" t="s">
        <v>83</v>
      </c>
      <c r="K9" s="18" t="s">
        <v>1504</v>
      </c>
      <c r="L9" s="18" t="s">
        <v>802</v>
      </c>
      <c r="M9" s="18" t="s">
        <v>85</v>
      </c>
      <c r="N9" s="18" t="s">
        <v>86</v>
      </c>
      <c r="O9" s="18" t="s">
        <v>1472</v>
      </c>
      <c r="P9" s="18"/>
      <c r="Q9" s="18" t="n">
        <v>0.447</v>
      </c>
      <c r="R9" s="18"/>
      <c r="S9" s="18"/>
      <c r="T9" s="18"/>
      <c r="U9" s="18"/>
      <c r="V9" s="18" t="n">
        <v>0.453</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2511</v>
      </c>
      <c r="AS9" s="18" t="s">
        <v>1523</v>
      </c>
      <c r="AT9" s="18" t="s">
        <v>1506</v>
      </c>
      <c r="AU9" s="18" t="s">
        <v>1507</v>
      </c>
      <c r="AV9" s="18" t="s">
        <v>1476</v>
      </c>
      <c r="AW9" s="30" t="s">
        <v>2519</v>
      </c>
      <c r="AX9" s="18" t="s">
        <v>928</v>
      </c>
      <c r="AY9" s="18" t="s">
        <v>2491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2520</v>
      </c>
      <c r="Q1" s="25" t="s">
        <v>2521</v>
      </c>
      <c r="R1" s="25" t="s">
        <v>2522</v>
      </c>
      <c r="S1" s="25" t="s">
        <v>2523</v>
      </c>
      <c r="T1" s="25" t="s">
        <v>2524</v>
      </c>
      <c r="U1" s="25" t="s">
        <v>2525</v>
      </c>
      <c r="V1" s="25" t="s">
        <v>2526</v>
      </c>
      <c r="W1" s="25" t="s">
        <v>2527</v>
      </c>
      <c r="X1" s="28" t="s">
        <v>2528</v>
      </c>
      <c r="Y1" s="28" t="s">
        <v>2529</v>
      </c>
      <c r="Z1" s="28" t="s">
        <v>2530</v>
      </c>
      <c r="AA1" s="28" t="s">
        <v>2531</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BA2" s="31" t="s">
        <v>1084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2532</v>
      </c>
      <c r="Q1" s="25" t="s">
        <v>2533</v>
      </c>
      <c r="R1" s="25" t="s">
        <v>2534</v>
      </c>
      <c r="S1" s="25" t="s">
        <v>2535</v>
      </c>
      <c r="T1" s="25" t="s">
        <v>2536</v>
      </c>
      <c r="U1" s="25" t="s">
        <v>2537</v>
      </c>
      <c r="V1" s="25" t="s">
        <v>2538</v>
      </c>
      <c r="W1" s="25" t="s">
        <v>2539</v>
      </c>
      <c r="X1" s="28" t="s">
        <v>2540</v>
      </c>
      <c r="Y1" s="28" t="s">
        <v>2541</v>
      </c>
      <c r="Z1" s="28" t="s">
        <v>2542</v>
      </c>
      <c r="AA1" s="28" t="s">
        <v>2543</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A2" s="5" t="n">
        <v>164</v>
      </c>
      <c r="B2" s="5" t="n">
        <v>164</v>
      </c>
      <c r="C2" s="5" t="s">
        <v>791</v>
      </c>
      <c r="D2" s="5" t="n">
        <v>2000</v>
      </c>
      <c r="E2" s="5" t="s">
        <v>792</v>
      </c>
      <c r="F2" s="5" t="s">
        <v>866</v>
      </c>
      <c r="G2" s="5" t="s">
        <v>2038</v>
      </c>
      <c r="H2" s="5" t="n">
        <v>30.933</v>
      </c>
      <c r="I2" s="5" t="n">
        <v>75.867</v>
      </c>
      <c r="J2" s="5" t="s">
        <v>870</v>
      </c>
      <c r="K2" s="5" t="s">
        <v>2039</v>
      </c>
      <c r="L2" s="5" t="s">
        <v>802</v>
      </c>
      <c r="M2" s="5" t="s">
        <v>85</v>
      </c>
      <c r="N2" s="5" t="s">
        <v>86</v>
      </c>
      <c r="O2" s="5" t="s">
        <v>1472</v>
      </c>
      <c r="P2" s="5"/>
      <c r="Q2" s="5" t="n">
        <f aca="false">ROUND(78.03*2.24,1)</f>
        <v>174.8</v>
      </c>
      <c r="R2" s="5"/>
      <c r="S2" s="5"/>
      <c r="T2" s="5"/>
      <c r="U2" s="5"/>
      <c r="V2" s="5" t="n">
        <f aca="false">ROUND(75.11*2.24,1)</f>
        <v>168.2</v>
      </c>
      <c r="W2" s="5"/>
      <c r="X2" s="5"/>
      <c r="Y2" s="5"/>
      <c r="Z2" s="5"/>
      <c r="AA2" s="5"/>
      <c r="AB2" s="5" t="n">
        <v>1</v>
      </c>
      <c r="AC2" s="5" t="n">
        <v>4</v>
      </c>
      <c r="AD2" s="5" t="n">
        <f aca="false">IF(AND(N(AB2)&gt;0,N(AC2)&gt;0),SQRT(2*AB2/AC2),"")</f>
        <v>0.707106781186548</v>
      </c>
      <c r="AE2" s="5"/>
      <c r="AF2" s="5"/>
      <c r="AG2" s="5"/>
      <c r="AH2" s="5" t="n">
        <v>500</v>
      </c>
      <c r="AI2" s="5" t="n">
        <v>30.933</v>
      </c>
      <c r="AJ2" s="5" t="n">
        <v>15</v>
      </c>
      <c r="AK2" s="5"/>
      <c r="AL2" s="5"/>
      <c r="AM2" s="5"/>
      <c r="AN2" s="5" t="n">
        <v>3.1</v>
      </c>
      <c r="AO2" s="5"/>
      <c r="AP2" s="5"/>
      <c r="AQ2" s="5"/>
      <c r="AR2" s="5" t="s">
        <v>2544</v>
      </c>
      <c r="AS2" s="5" t="s">
        <v>2040</v>
      </c>
      <c r="AT2" s="5" t="s">
        <v>2041</v>
      </c>
      <c r="AU2" s="5" t="s">
        <v>2042</v>
      </c>
      <c r="AV2" s="5" t="s">
        <v>2545</v>
      </c>
      <c r="AW2" s="23" t="s">
        <v>2546</v>
      </c>
      <c r="AX2" s="5" t="s">
        <v>807</v>
      </c>
      <c r="AY2" s="5" t="s">
        <v>2547</v>
      </c>
      <c r="BA2" s="31" t="s">
        <v>1086</v>
      </c>
    </row>
    <row r="3" customFormat="false" ht="15" hidden="false" customHeight="true" outlineLevel="0" collapsed="false">
      <c r="A3" s="5" t="n">
        <v>164</v>
      </c>
      <c r="B3" s="5" t="n">
        <v>164</v>
      </c>
      <c r="C3" s="5" t="s">
        <v>791</v>
      </c>
      <c r="D3" s="5" t="n">
        <v>2000</v>
      </c>
      <c r="E3" s="5" t="s">
        <v>792</v>
      </c>
      <c r="F3" s="5" t="s">
        <v>836</v>
      </c>
      <c r="G3" s="5" t="s">
        <v>2052</v>
      </c>
      <c r="H3" s="5" t="n">
        <v>26.067</v>
      </c>
      <c r="I3" s="5" t="n">
        <v>82.133</v>
      </c>
      <c r="J3" s="5" t="s">
        <v>83</v>
      </c>
      <c r="K3" s="5" t="s">
        <v>2039</v>
      </c>
      <c r="L3" s="5" t="s">
        <v>802</v>
      </c>
      <c r="M3" s="5" t="s">
        <v>85</v>
      </c>
      <c r="N3" s="5" t="s">
        <v>86</v>
      </c>
      <c r="O3" s="5" t="s">
        <v>1472</v>
      </c>
      <c r="P3" s="5"/>
      <c r="Q3" s="5" t="n">
        <f aca="false">ROUND(52.7*2.24,1)</f>
        <v>118</v>
      </c>
      <c r="R3" s="5"/>
      <c r="S3" s="5"/>
      <c r="T3" s="5"/>
      <c r="U3" s="5"/>
      <c r="V3" s="5" t="n">
        <f aca="false">ROUND(53.68*2.24,1)</f>
        <v>120.2</v>
      </c>
      <c r="W3" s="5"/>
      <c r="X3" s="5"/>
      <c r="Y3" s="5"/>
      <c r="Z3" s="5"/>
      <c r="AA3" s="5"/>
      <c r="AB3" s="5" t="n">
        <v>1</v>
      </c>
      <c r="AC3" s="5" t="n">
        <v>4</v>
      </c>
      <c r="AD3" s="5" t="n">
        <f aca="false">IF(AND(N(AB3)&gt;0,N(AC3)&gt;0),SQRT(2*AB3/AC3),"")</f>
        <v>0.707106781186548</v>
      </c>
      <c r="AE3" s="5"/>
      <c r="AF3" s="5"/>
      <c r="AG3" s="5"/>
      <c r="AH3" s="5" t="n">
        <v>1100</v>
      </c>
      <c r="AI3" s="5" t="n">
        <v>26.067</v>
      </c>
      <c r="AJ3" s="5" t="n">
        <v>14</v>
      </c>
      <c r="AK3" s="5"/>
      <c r="AL3" s="5"/>
      <c r="AM3" s="5"/>
      <c r="AN3" s="5" t="n">
        <v>3.7</v>
      </c>
      <c r="AO3" s="5"/>
      <c r="AP3" s="5"/>
      <c r="AQ3" s="5"/>
      <c r="AR3" s="5" t="s">
        <v>2544</v>
      </c>
      <c r="AS3" s="5" t="s">
        <v>2040</v>
      </c>
      <c r="AT3" s="5" t="s">
        <v>2041</v>
      </c>
      <c r="AU3" s="5" t="s">
        <v>2053</v>
      </c>
      <c r="AV3" s="5" t="s">
        <v>2545</v>
      </c>
      <c r="AW3" s="23" t="s">
        <v>2548</v>
      </c>
      <c r="AX3" s="5" t="s">
        <v>807</v>
      </c>
      <c r="AY3" s="5" t="s">
        <v>2547</v>
      </c>
    </row>
    <row r="4" customFormat="false" ht="15" hidden="false" customHeight="true" outlineLevel="0" collapsed="false">
      <c r="A4" s="5" t="n">
        <v>164</v>
      </c>
      <c r="B4" s="5" t="n">
        <v>164</v>
      </c>
      <c r="C4" s="5" t="s">
        <v>791</v>
      </c>
      <c r="D4" s="5" t="n">
        <v>2000</v>
      </c>
      <c r="E4" s="5" t="s">
        <v>792</v>
      </c>
      <c r="F4" s="5" t="s">
        <v>1431</v>
      </c>
      <c r="G4" s="5" t="s">
        <v>2059</v>
      </c>
      <c r="H4" s="5" t="n">
        <v>23</v>
      </c>
      <c r="I4" s="5" t="n">
        <v>89</v>
      </c>
      <c r="J4" s="5" t="s">
        <v>83</v>
      </c>
      <c r="K4" s="5" t="s">
        <v>2060</v>
      </c>
      <c r="L4" s="5" t="s">
        <v>802</v>
      </c>
      <c r="M4" s="5"/>
      <c r="N4" s="5" t="s">
        <v>86</v>
      </c>
      <c r="O4" s="5" t="s">
        <v>1472</v>
      </c>
      <c r="P4" s="5"/>
      <c r="Q4" s="5" t="n">
        <f aca="false">ROUND(61.38*2.24,1)</f>
        <v>137.5</v>
      </c>
      <c r="R4" s="5"/>
      <c r="S4" s="5"/>
      <c r="T4" s="5"/>
      <c r="U4" s="5"/>
      <c r="V4" s="5" t="n">
        <f aca="false">ROUND(50.4*2.24,1)</f>
        <v>112.9</v>
      </c>
      <c r="W4" s="5"/>
      <c r="X4" s="5"/>
      <c r="Y4" s="5"/>
      <c r="Z4" s="5"/>
      <c r="AA4" s="5"/>
      <c r="AB4" s="5" t="n">
        <v>1</v>
      </c>
      <c r="AC4" s="5" t="n">
        <v>4</v>
      </c>
      <c r="AD4" s="5" t="n">
        <f aca="false">IF(AND(N(AB4)&gt;0,N(AC4)&gt;0),SQRT(2*AB4/AC4),"")</f>
        <v>0.707106781186548</v>
      </c>
      <c r="AE4" s="5"/>
      <c r="AF4" s="5"/>
      <c r="AG4" s="5"/>
      <c r="AH4" s="5"/>
      <c r="AI4" s="5" t="n">
        <v>23</v>
      </c>
      <c r="AJ4" s="5" t="n">
        <v>13</v>
      </c>
      <c r="AK4" s="5"/>
      <c r="AL4" s="5"/>
      <c r="AM4" s="5"/>
      <c r="AN4" s="5" t="n">
        <v>9.2</v>
      </c>
      <c r="AO4" s="5"/>
      <c r="AP4" s="5"/>
      <c r="AQ4" s="5"/>
      <c r="AR4" s="5" t="s">
        <v>2544</v>
      </c>
      <c r="AS4" s="5" t="s">
        <v>2040</v>
      </c>
      <c r="AT4" s="5" t="s">
        <v>2061</v>
      </c>
      <c r="AU4" s="5" t="s">
        <v>2062</v>
      </c>
      <c r="AV4" s="5" t="s">
        <v>2545</v>
      </c>
      <c r="AW4" s="23" t="s">
        <v>2549</v>
      </c>
      <c r="AX4" s="5" t="s">
        <v>807</v>
      </c>
      <c r="AY4" s="5" t="s">
        <v>2547</v>
      </c>
    </row>
    <row r="5" customFormat="false" ht="14.25" hidden="false" customHeight="true" outlineLevel="0" collapsed="false">
      <c r="A5" s="5" t="n">
        <v>164</v>
      </c>
      <c r="B5" s="5" t="n">
        <v>164</v>
      </c>
      <c r="C5" s="5" t="s">
        <v>791</v>
      </c>
      <c r="D5" s="5" t="n">
        <v>2000</v>
      </c>
      <c r="E5" s="5" t="s">
        <v>792</v>
      </c>
      <c r="F5" s="5" t="s">
        <v>1436</v>
      </c>
      <c r="G5" s="5" t="s">
        <v>2064</v>
      </c>
      <c r="H5" s="5" t="n">
        <v>23.167</v>
      </c>
      <c r="I5" s="5" t="n">
        <v>79.95</v>
      </c>
      <c r="J5" s="5" t="s">
        <v>83</v>
      </c>
      <c r="K5" s="5" t="s">
        <v>2039</v>
      </c>
      <c r="L5" s="5" t="s">
        <v>802</v>
      </c>
      <c r="M5" s="5" t="s">
        <v>2056</v>
      </c>
      <c r="N5" s="5" t="s">
        <v>86</v>
      </c>
      <c r="O5" s="5" t="s">
        <v>1472</v>
      </c>
      <c r="P5" s="5"/>
      <c r="Q5" s="5" t="n">
        <f aca="false">ROUND(116.56*2.24,1)</f>
        <v>261.1</v>
      </c>
      <c r="R5" s="5"/>
      <c r="S5" s="5"/>
      <c r="T5" s="5"/>
      <c r="U5" s="5"/>
      <c r="V5" s="5" t="n">
        <f aca="false">ROUND(121.43*2.24,1)</f>
        <v>272</v>
      </c>
      <c r="W5" s="5"/>
      <c r="X5" s="5"/>
      <c r="Y5" s="5"/>
      <c r="Z5" s="5"/>
      <c r="AA5" s="5"/>
      <c r="AB5" s="5" t="n">
        <v>1</v>
      </c>
      <c r="AC5" s="5" t="n">
        <v>4</v>
      </c>
      <c r="AD5" s="5" t="n">
        <f aca="false">IF(AND(N(AB5)&gt;0,N(AC5)&gt;0),SQRT(2*AB5/AC5),"")</f>
        <v>0.707106781186548</v>
      </c>
      <c r="AE5" s="5"/>
      <c r="AF5" s="5"/>
      <c r="AG5" s="5"/>
      <c r="AH5" s="5" t="n">
        <v>850</v>
      </c>
      <c r="AI5" s="5" t="n">
        <v>23.167</v>
      </c>
      <c r="AJ5" s="5" t="n">
        <v>12</v>
      </c>
      <c r="AK5" s="5"/>
      <c r="AL5" s="5"/>
      <c r="AM5" s="5"/>
      <c r="AN5" s="5" t="n">
        <v>6.9</v>
      </c>
      <c r="AO5" s="5"/>
      <c r="AP5" s="5"/>
      <c r="AQ5" s="5"/>
      <c r="AR5" s="5" t="s">
        <v>2544</v>
      </c>
      <c r="AS5" s="5" t="s">
        <v>2040</v>
      </c>
      <c r="AT5" s="5" t="s">
        <v>2041</v>
      </c>
      <c r="AU5" s="5" t="s">
        <v>2065</v>
      </c>
      <c r="AV5" s="5" t="s">
        <v>2545</v>
      </c>
      <c r="AW5" s="23" t="s">
        <v>2550</v>
      </c>
      <c r="AX5" s="5" t="s">
        <v>807</v>
      </c>
      <c r="AY5" s="5" t="s">
        <v>2547</v>
      </c>
    </row>
    <row r="6" customFormat="false" ht="14.25" hidden="false" customHeight="true" outlineLevel="0" collapsed="false">
      <c r="A6" s="5" t="s">
        <v>931</v>
      </c>
      <c r="B6" s="5" t="s">
        <v>931</v>
      </c>
      <c r="C6" s="5" t="s">
        <v>932</v>
      </c>
      <c r="D6" s="5" t="n">
        <v>2023</v>
      </c>
      <c r="E6" s="5" t="s">
        <v>933</v>
      </c>
      <c r="F6" s="5" t="s">
        <v>936</v>
      </c>
      <c r="G6" s="5" t="s">
        <v>937</v>
      </c>
      <c r="H6" s="5" t="n">
        <v>35.27</v>
      </c>
      <c r="I6" s="5" t="n">
        <v>119.38</v>
      </c>
      <c r="J6" s="5" t="s">
        <v>870</v>
      </c>
      <c r="K6" s="5" t="n">
        <v>2020</v>
      </c>
      <c r="L6" s="5" t="s">
        <v>821</v>
      </c>
      <c r="M6" s="5"/>
      <c r="N6" s="5" t="s">
        <v>86</v>
      </c>
      <c r="O6" s="5" t="s">
        <v>1491</v>
      </c>
      <c r="P6" s="5" t="n">
        <f aca="false">ROUND(93.21*BD!P8*10*0.1,1)</f>
        <v>128.8</v>
      </c>
      <c r="Q6" s="5"/>
      <c r="R6" s="5"/>
      <c r="S6" s="5"/>
      <c r="T6" s="5"/>
      <c r="U6" s="5"/>
      <c r="V6" s="5"/>
      <c r="W6" s="5"/>
      <c r="X6" s="5" t="n">
        <f aca="false">ROUND(91.42*BD!X8*10*0.1,1)</f>
        <v>128.7</v>
      </c>
      <c r="Y6" s="5"/>
      <c r="Z6" s="5"/>
      <c r="AA6" s="5"/>
      <c r="AB6" s="5" t="n">
        <v>1</v>
      </c>
      <c r="AC6" s="5" t="n">
        <v>3</v>
      </c>
      <c r="AD6" s="5" t="n">
        <f aca="false">IF(AND(N(AB6)&gt;0,N(AC6)&gt;0),SQRT(2*AB6/AC6),"")</f>
        <v>0.816496580927726</v>
      </c>
      <c r="AE6" s="5"/>
      <c r="AF6" s="5"/>
      <c r="AG6" s="5"/>
      <c r="AH6" s="5" t="n">
        <v>916</v>
      </c>
      <c r="AI6" s="5" t="n">
        <v>35.27</v>
      </c>
      <c r="AJ6" s="5" t="n">
        <v>3</v>
      </c>
      <c r="AK6" s="5" t="n">
        <v>12.6</v>
      </c>
      <c r="AL6" s="5"/>
      <c r="AM6" s="5" t="n">
        <v>6.8</v>
      </c>
      <c r="AN6" s="5" t="n">
        <v>5.75</v>
      </c>
      <c r="AO6" s="5" t="n">
        <v>1.423</v>
      </c>
      <c r="AP6" s="5"/>
      <c r="AQ6" s="5"/>
      <c r="AR6" s="5" t="s">
        <v>2551</v>
      </c>
      <c r="AS6" s="5" t="s">
        <v>1492</v>
      </c>
      <c r="AT6" s="5" t="s">
        <v>1633</v>
      </c>
      <c r="AU6" s="5" t="s">
        <v>1494</v>
      </c>
      <c r="AV6" s="5" t="s">
        <v>1713</v>
      </c>
      <c r="AW6" s="23" t="s">
        <v>2552</v>
      </c>
      <c r="AX6" s="5" t="s">
        <v>947</v>
      </c>
      <c r="AY6" s="5" t="s">
        <v>2553</v>
      </c>
    </row>
    <row r="7" customFormat="false" ht="14.25" hidden="false" customHeight="true" outlineLevel="0" collapsed="false">
      <c r="A7" s="5" t="s">
        <v>931</v>
      </c>
      <c r="B7" s="5" t="s">
        <v>931</v>
      </c>
      <c r="C7" s="5" t="s">
        <v>932</v>
      </c>
      <c r="D7" s="5" t="n">
        <v>2023</v>
      </c>
      <c r="E7" s="5" t="s">
        <v>933</v>
      </c>
      <c r="F7" s="5" t="s">
        <v>936</v>
      </c>
      <c r="G7" s="5" t="s">
        <v>937</v>
      </c>
      <c r="H7" s="5" t="n">
        <v>35.27</v>
      </c>
      <c r="I7" s="5" t="n">
        <v>119.38</v>
      </c>
      <c r="J7" s="5" t="s">
        <v>870</v>
      </c>
      <c r="K7" s="5" t="n">
        <v>2020</v>
      </c>
      <c r="L7" s="5" t="s">
        <v>821</v>
      </c>
      <c r="M7" s="5"/>
      <c r="N7" s="5" t="s">
        <v>1479</v>
      </c>
      <c r="O7" s="5" t="s">
        <v>1500</v>
      </c>
      <c r="P7" s="5" t="n">
        <f aca="false">ROUND(87.05*BD!P11*10*0.1,1)</f>
        <v>126.7</v>
      </c>
      <c r="Q7" s="5"/>
      <c r="R7" s="5"/>
      <c r="S7" s="5"/>
      <c r="T7" s="5"/>
      <c r="U7" s="5"/>
      <c r="V7" s="5"/>
      <c r="W7" s="5"/>
      <c r="X7" s="5" t="n">
        <f aca="false">ROUND(88*BD!X11*10*0.1,1)</f>
        <v>126.8</v>
      </c>
      <c r="Y7" s="5"/>
      <c r="Z7" s="5"/>
      <c r="AA7" s="5"/>
      <c r="AB7" s="5" t="n">
        <v>2</v>
      </c>
      <c r="AC7" s="5" t="n">
        <v>3</v>
      </c>
      <c r="AD7" s="5" t="n">
        <f aca="false">IF(AND(N(AB7)&gt;0,N(AC7)&gt;0),SQRT(2*AB7/AC7),"")</f>
        <v>1.15470053837925</v>
      </c>
      <c r="AE7" s="5"/>
      <c r="AF7" s="5"/>
      <c r="AG7" s="5"/>
      <c r="AH7" s="5" t="n">
        <v>916</v>
      </c>
      <c r="AI7" s="5" t="n">
        <v>35.27</v>
      </c>
      <c r="AJ7" s="5" t="n">
        <v>3</v>
      </c>
      <c r="AK7" s="5" t="n">
        <v>12.6</v>
      </c>
      <c r="AL7" s="5"/>
      <c r="AM7" s="5" t="n">
        <v>6.8</v>
      </c>
      <c r="AN7" s="5" t="n">
        <v>5.75</v>
      </c>
      <c r="AO7" s="5" t="n">
        <v>1.423</v>
      </c>
      <c r="AP7" s="5"/>
      <c r="AQ7" s="5"/>
      <c r="AR7" s="5" t="s">
        <v>2551</v>
      </c>
      <c r="AS7" s="5" t="s">
        <v>1492</v>
      </c>
      <c r="AT7" s="5" t="s">
        <v>1633</v>
      </c>
      <c r="AU7" s="5" t="s">
        <v>1494</v>
      </c>
      <c r="AV7" s="5" t="s">
        <v>1713</v>
      </c>
      <c r="AW7" s="23" t="s">
        <v>2554</v>
      </c>
      <c r="AX7" s="5" t="s">
        <v>947</v>
      </c>
      <c r="AY7" s="5" t="s">
        <v>2553</v>
      </c>
    </row>
    <row r="8" customFormat="false" ht="14.25" hidden="false" customHeight="true" outlineLevel="0" collapsed="false">
      <c r="A8" s="5" t="s">
        <v>931</v>
      </c>
      <c r="B8" s="5" t="s">
        <v>931</v>
      </c>
      <c r="C8" s="5" t="s">
        <v>932</v>
      </c>
      <c r="D8" s="5" t="n">
        <v>2023</v>
      </c>
      <c r="E8" s="5" t="s">
        <v>933</v>
      </c>
      <c r="F8" s="5" t="s">
        <v>936</v>
      </c>
      <c r="G8" s="5" t="s">
        <v>937</v>
      </c>
      <c r="H8" s="5" t="n">
        <v>35.27</v>
      </c>
      <c r="I8" s="5" t="n">
        <v>119.38</v>
      </c>
      <c r="J8" s="5" t="s">
        <v>870</v>
      </c>
      <c r="K8" s="5" t="n">
        <v>2020</v>
      </c>
      <c r="L8" s="5" t="s">
        <v>821</v>
      </c>
      <c r="M8" s="5"/>
      <c r="N8" s="5" t="s">
        <v>1479</v>
      </c>
      <c r="O8" s="5" t="s">
        <v>1502</v>
      </c>
      <c r="P8" s="5" t="n">
        <f aca="false">ROUND(75.05*BD!P14*10*0.1,1)</f>
        <v>111.3</v>
      </c>
      <c r="Q8" s="5"/>
      <c r="R8" s="5"/>
      <c r="S8" s="5"/>
      <c r="T8" s="5"/>
      <c r="U8" s="5"/>
      <c r="V8" s="5"/>
      <c r="W8" s="5"/>
      <c r="X8" s="5" t="n">
        <f aca="false">ROUND(60*BD!X14*10*0.1,1)</f>
        <v>92</v>
      </c>
      <c r="Y8" s="5"/>
      <c r="Z8" s="5"/>
      <c r="AA8" s="5"/>
      <c r="AB8" s="5" t="n">
        <v>2</v>
      </c>
      <c r="AC8" s="5" t="n">
        <v>3</v>
      </c>
      <c r="AD8" s="5" t="n">
        <f aca="false">IF(AND(N(AB8)&gt;0,N(AC8)&gt;0),SQRT(2*AB8/AC8),"")</f>
        <v>1.15470053837925</v>
      </c>
      <c r="AE8" s="5"/>
      <c r="AF8" s="5"/>
      <c r="AG8" s="5"/>
      <c r="AH8" s="5" t="n">
        <v>916</v>
      </c>
      <c r="AI8" s="5" t="n">
        <v>35.27</v>
      </c>
      <c r="AJ8" s="5" t="n">
        <v>3</v>
      </c>
      <c r="AK8" s="5" t="n">
        <v>12.6</v>
      </c>
      <c r="AL8" s="5"/>
      <c r="AM8" s="5" t="n">
        <v>6.8</v>
      </c>
      <c r="AN8" s="5" t="n">
        <v>5.75</v>
      </c>
      <c r="AO8" s="5" t="n">
        <v>1.423</v>
      </c>
      <c r="AP8" s="5"/>
      <c r="AQ8" s="5"/>
      <c r="AR8" s="5" t="s">
        <v>2551</v>
      </c>
      <c r="AS8" s="5" t="s">
        <v>1492</v>
      </c>
      <c r="AT8" s="5" t="s">
        <v>1633</v>
      </c>
      <c r="AU8" s="5" t="s">
        <v>1494</v>
      </c>
      <c r="AV8" s="5" t="s">
        <v>1713</v>
      </c>
      <c r="AW8" s="23" t="s">
        <v>2555</v>
      </c>
      <c r="AX8" s="5" t="s">
        <v>947</v>
      </c>
      <c r="AY8" s="5" t="s">
        <v>2553</v>
      </c>
    </row>
    <row r="9" customFormat="false" ht="14.25" hidden="false" customHeight="true" outlineLevel="0" collapsed="false">
      <c r="A9" s="18" t="s">
        <v>914</v>
      </c>
      <c r="B9" s="18" t="s">
        <v>914</v>
      </c>
      <c r="C9" s="18" t="s">
        <v>915</v>
      </c>
      <c r="D9" s="18" t="n">
        <v>2020</v>
      </c>
      <c r="E9" s="18" t="s">
        <v>916</v>
      </c>
      <c r="F9" s="18" t="s">
        <v>815</v>
      </c>
      <c r="G9" s="18" t="s">
        <v>919</v>
      </c>
      <c r="H9" s="18" t="n">
        <v>28.4</v>
      </c>
      <c r="I9" s="18" t="n">
        <v>77.1</v>
      </c>
      <c r="J9" s="18" t="s">
        <v>83</v>
      </c>
      <c r="K9" s="18" t="s">
        <v>1504</v>
      </c>
      <c r="L9" s="18" t="s">
        <v>802</v>
      </c>
      <c r="M9" s="18" t="s">
        <v>85</v>
      </c>
      <c r="N9" s="18" t="s">
        <v>86</v>
      </c>
      <c r="O9" s="18" t="s">
        <v>1472</v>
      </c>
      <c r="P9" s="18"/>
      <c r="Q9" s="18" t="n">
        <v>231</v>
      </c>
      <c r="R9" s="18"/>
      <c r="S9" s="18"/>
      <c r="T9" s="18"/>
      <c r="U9" s="18"/>
      <c r="V9" s="18" t="n">
        <v>236</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2556</v>
      </c>
      <c r="AS9" s="18" t="s">
        <v>1505</v>
      </c>
      <c r="AT9" s="18" t="s">
        <v>1506</v>
      </c>
      <c r="AU9" s="18" t="s">
        <v>1507</v>
      </c>
      <c r="AV9" s="18" t="s">
        <v>1476</v>
      </c>
      <c r="AW9" s="30" t="s">
        <v>2557</v>
      </c>
      <c r="AX9" s="18" t="s">
        <v>928</v>
      </c>
      <c r="AY9" s="18" t="s">
        <v>2558</v>
      </c>
    </row>
    <row r="10" customFormat="false" ht="14.25" hidden="false" customHeight="true" outlineLevel="0" collapsed="false">
      <c r="A10" s="18" t="s">
        <v>914</v>
      </c>
      <c r="B10" s="18" t="s">
        <v>914</v>
      </c>
      <c r="C10" s="18" t="s">
        <v>915</v>
      </c>
      <c r="D10" s="18" t="n">
        <v>2020</v>
      </c>
      <c r="E10" s="18" t="s">
        <v>916</v>
      </c>
      <c r="F10" s="18" t="s">
        <v>815</v>
      </c>
      <c r="G10" s="18" t="s">
        <v>919</v>
      </c>
      <c r="H10" s="18" t="n">
        <v>28.4</v>
      </c>
      <c r="I10" s="18" t="n">
        <v>77.1</v>
      </c>
      <c r="J10" s="18" t="s">
        <v>83</v>
      </c>
      <c r="K10" s="18" t="s">
        <v>1504</v>
      </c>
      <c r="L10" s="18" t="s">
        <v>802</v>
      </c>
      <c r="M10" s="18" t="s">
        <v>85</v>
      </c>
      <c r="N10" s="18" t="s">
        <v>86</v>
      </c>
      <c r="O10" s="18" t="s">
        <v>1472</v>
      </c>
      <c r="P10" s="18"/>
      <c r="Q10" s="18" t="n">
        <v>231</v>
      </c>
      <c r="R10" s="18"/>
      <c r="S10" s="18"/>
      <c r="T10" s="18"/>
      <c r="U10" s="18"/>
      <c r="V10" s="18" t="n">
        <v>243</v>
      </c>
      <c r="W10" s="18"/>
      <c r="X10" s="18"/>
      <c r="Y10" s="18"/>
      <c r="Z10" s="18"/>
      <c r="AA10" s="18"/>
      <c r="AB10" s="18" t="n">
        <v>2</v>
      </c>
      <c r="AC10" s="18" t="n">
        <v>3</v>
      </c>
      <c r="AD10" s="18" t="n">
        <f aca="false">IF(AND(N(AB10)&gt;0,N(AC10)&gt;0),SQRT(2*AB10/AC10),"")</f>
        <v>1.15470053837925</v>
      </c>
      <c r="AE10" s="18" t="n">
        <v>25.4</v>
      </c>
      <c r="AF10" s="18" t="n">
        <v>18</v>
      </c>
      <c r="AG10" s="18" t="n">
        <v>35.2</v>
      </c>
      <c r="AH10" s="18" t="n">
        <v>750</v>
      </c>
      <c r="AI10" s="18" t="n">
        <v>28.4</v>
      </c>
      <c r="AJ10" s="18" t="n">
        <v>12</v>
      </c>
      <c r="AK10" s="18"/>
      <c r="AL10" s="18"/>
      <c r="AM10" s="18" t="n">
        <v>8.45</v>
      </c>
      <c r="AN10" s="18" t="n">
        <v>5.1</v>
      </c>
      <c r="AO10" s="18" t="n">
        <v>1.5</v>
      </c>
      <c r="AP10" s="18" t="n">
        <v>52.1</v>
      </c>
      <c r="AQ10" s="18" t="n">
        <v>22.5</v>
      </c>
      <c r="AR10" s="18" t="s">
        <v>2556</v>
      </c>
      <c r="AS10" s="18" t="s">
        <v>1511</v>
      </c>
      <c r="AT10" s="18" t="s">
        <v>1506</v>
      </c>
      <c r="AU10" s="18" t="s">
        <v>1507</v>
      </c>
      <c r="AV10" s="18" t="s">
        <v>1476</v>
      </c>
      <c r="AW10" s="30" t="s">
        <v>2559</v>
      </c>
      <c r="AX10" s="18" t="s">
        <v>928</v>
      </c>
      <c r="AY10" s="18" t="s">
        <v>2558</v>
      </c>
    </row>
    <row r="11" customFormat="false" ht="14.25" hidden="false" customHeight="true" outlineLevel="0" collapsed="false">
      <c r="A11" s="18" t="s">
        <v>914</v>
      </c>
      <c r="B11" s="18" t="s">
        <v>914</v>
      </c>
      <c r="C11" s="18" t="s">
        <v>915</v>
      </c>
      <c r="D11" s="18" t="n">
        <v>2020</v>
      </c>
      <c r="E11" s="18" t="s">
        <v>916</v>
      </c>
      <c r="F11" s="18" t="s">
        <v>815</v>
      </c>
      <c r="G11" s="18" t="s">
        <v>919</v>
      </c>
      <c r="H11" s="18" t="n">
        <v>28.4</v>
      </c>
      <c r="I11" s="18" t="n">
        <v>77.1</v>
      </c>
      <c r="J11" s="18" t="s">
        <v>83</v>
      </c>
      <c r="K11" s="18" t="s">
        <v>1504</v>
      </c>
      <c r="L11" s="18" t="s">
        <v>802</v>
      </c>
      <c r="M11" s="18" t="s">
        <v>85</v>
      </c>
      <c r="N11" s="18" t="s">
        <v>86</v>
      </c>
      <c r="O11" s="18" t="s">
        <v>1472</v>
      </c>
      <c r="P11" s="18"/>
      <c r="Q11" s="18" t="n">
        <v>247</v>
      </c>
      <c r="R11" s="18"/>
      <c r="S11" s="18"/>
      <c r="T11" s="18"/>
      <c r="U11" s="18"/>
      <c r="V11" s="18" t="n">
        <v>238</v>
      </c>
      <c r="W11" s="18"/>
      <c r="X11" s="18"/>
      <c r="Y11" s="18"/>
      <c r="Z11" s="18"/>
      <c r="AA11" s="18"/>
      <c r="AB11" s="18" t="n">
        <v>2</v>
      </c>
      <c r="AC11" s="18" t="n">
        <v>3</v>
      </c>
      <c r="AD11" s="18" t="n">
        <f aca="false">IF(AND(N(AB11)&gt;0,N(AC11)&gt;0),SQRT(2*AB11/AC11),"")</f>
        <v>1.15470053837925</v>
      </c>
      <c r="AE11" s="18" t="n">
        <v>25.4</v>
      </c>
      <c r="AF11" s="18" t="n">
        <v>18</v>
      </c>
      <c r="AG11" s="18" t="n">
        <v>35.2</v>
      </c>
      <c r="AH11" s="18" t="n">
        <v>750</v>
      </c>
      <c r="AI11" s="18" t="n">
        <v>28.4</v>
      </c>
      <c r="AJ11" s="18" t="n">
        <v>12</v>
      </c>
      <c r="AK11" s="18"/>
      <c r="AL11" s="18"/>
      <c r="AM11" s="18" t="n">
        <v>8.45</v>
      </c>
      <c r="AN11" s="18" t="n">
        <v>5.1</v>
      </c>
      <c r="AO11" s="18" t="n">
        <v>1.5</v>
      </c>
      <c r="AP11" s="18" t="n">
        <v>52.1</v>
      </c>
      <c r="AQ11" s="18" t="n">
        <v>22.5</v>
      </c>
      <c r="AR11" s="18" t="s">
        <v>2556</v>
      </c>
      <c r="AS11" s="18" t="s">
        <v>1513</v>
      </c>
      <c r="AT11" s="18" t="s">
        <v>1506</v>
      </c>
      <c r="AU11" s="18" t="s">
        <v>1507</v>
      </c>
      <c r="AV11" s="18" t="s">
        <v>1476</v>
      </c>
      <c r="AW11" s="30" t="s">
        <v>2560</v>
      </c>
      <c r="AX11" s="18" t="s">
        <v>928</v>
      </c>
      <c r="AY11" s="18" t="s">
        <v>2558</v>
      </c>
    </row>
    <row r="12" customFormat="false" ht="14.25" hidden="false" customHeight="true" outlineLevel="0" collapsed="false">
      <c r="A12" s="18" t="s">
        <v>914</v>
      </c>
      <c r="B12" s="18" t="s">
        <v>914</v>
      </c>
      <c r="C12" s="18" t="s">
        <v>915</v>
      </c>
      <c r="D12" s="18" t="n">
        <v>2020</v>
      </c>
      <c r="E12" s="18" t="s">
        <v>916</v>
      </c>
      <c r="F12" s="18" t="s">
        <v>815</v>
      </c>
      <c r="G12" s="18" t="s">
        <v>919</v>
      </c>
      <c r="H12" s="18" t="n">
        <v>28.4</v>
      </c>
      <c r="I12" s="18" t="n">
        <v>77.1</v>
      </c>
      <c r="J12" s="18" t="s">
        <v>83</v>
      </c>
      <c r="K12" s="18" t="s">
        <v>1504</v>
      </c>
      <c r="L12" s="18" t="s">
        <v>802</v>
      </c>
      <c r="M12" s="18" t="s">
        <v>85</v>
      </c>
      <c r="N12" s="18" t="s">
        <v>86</v>
      </c>
      <c r="O12" s="18" t="s">
        <v>1472</v>
      </c>
      <c r="P12" s="18"/>
      <c r="Q12" s="18" t="n">
        <v>247</v>
      </c>
      <c r="R12" s="18"/>
      <c r="S12" s="18"/>
      <c r="T12" s="18"/>
      <c r="U12" s="18"/>
      <c r="V12" s="18" t="n">
        <v>242</v>
      </c>
      <c r="W12" s="18"/>
      <c r="X12" s="18"/>
      <c r="Y12" s="18"/>
      <c r="Z12" s="18"/>
      <c r="AA12" s="18"/>
      <c r="AB12" s="18" t="n">
        <v>2</v>
      </c>
      <c r="AC12" s="18" t="n">
        <v>3</v>
      </c>
      <c r="AD12" s="18" t="n">
        <f aca="false">IF(AND(N(AB12)&gt;0,N(AC12)&gt;0),SQRT(2*AB12/AC12),"")</f>
        <v>1.15470053837925</v>
      </c>
      <c r="AE12" s="18" t="n">
        <v>25.4</v>
      </c>
      <c r="AF12" s="18" t="n">
        <v>18</v>
      </c>
      <c r="AG12" s="18" t="n">
        <v>35.2</v>
      </c>
      <c r="AH12" s="18" t="n">
        <v>750</v>
      </c>
      <c r="AI12" s="18" t="n">
        <v>28.4</v>
      </c>
      <c r="AJ12" s="18" t="n">
        <v>12</v>
      </c>
      <c r="AK12" s="18"/>
      <c r="AL12" s="18"/>
      <c r="AM12" s="18" t="n">
        <v>8.45</v>
      </c>
      <c r="AN12" s="18" t="n">
        <v>5.1</v>
      </c>
      <c r="AO12" s="18" t="n">
        <v>1.5</v>
      </c>
      <c r="AP12" s="18" t="n">
        <v>52.1</v>
      </c>
      <c r="AQ12" s="18" t="n">
        <v>22.5</v>
      </c>
      <c r="AR12" s="18" t="s">
        <v>2556</v>
      </c>
      <c r="AS12" s="18" t="s">
        <v>1515</v>
      </c>
      <c r="AT12" s="18" t="s">
        <v>1506</v>
      </c>
      <c r="AU12" s="18" t="s">
        <v>1507</v>
      </c>
      <c r="AV12" s="18" t="s">
        <v>1476</v>
      </c>
      <c r="AW12" s="30" t="s">
        <v>2561</v>
      </c>
      <c r="AX12" s="18" t="s">
        <v>928</v>
      </c>
      <c r="AY12" s="18" t="s">
        <v>2558</v>
      </c>
    </row>
    <row r="13" customFormat="false" ht="14.25" hidden="false" customHeight="true" outlineLevel="0" collapsed="false">
      <c r="A13" s="18" t="s">
        <v>914</v>
      </c>
      <c r="B13" s="18" t="s">
        <v>914</v>
      </c>
      <c r="C13" s="18" t="s">
        <v>915</v>
      </c>
      <c r="D13" s="18" t="n">
        <v>2020</v>
      </c>
      <c r="E13" s="18" t="s">
        <v>916</v>
      </c>
      <c r="F13" s="18" t="s">
        <v>815</v>
      </c>
      <c r="G13" s="18" t="s">
        <v>919</v>
      </c>
      <c r="H13" s="18" t="n">
        <v>28.4</v>
      </c>
      <c r="I13" s="18" t="n">
        <v>77.1</v>
      </c>
      <c r="J13" s="18" t="s">
        <v>83</v>
      </c>
      <c r="K13" s="18" t="s">
        <v>1504</v>
      </c>
      <c r="L13" s="18" t="s">
        <v>802</v>
      </c>
      <c r="M13" s="18" t="s">
        <v>85</v>
      </c>
      <c r="N13" s="18" t="s">
        <v>86</v>
      </c>
      <c r="O13" s="18" t="s">
        <v>1472</v>
      </c>
      <c r="P13" s="18"/>
      <c r="Q13" s="18" t="n">
        <v>234</v>
      </c>
      <c r="R13" s="18"/>
      <c r="S13" s="18"/>
      <c r="T13" s="18"/>
      <c r="U13" s="18"/>
      <c r="V13" s="18" t="n">
        <v>221</v>
      </c>
      <c r="W13" s="18"/>
      <c r="X13" s="18"/>
      <c r="Y13" s="18"/>
      <c r="Z13" s="18"/>
      <c r="AA13" s="18"/>
      <c r="AB13" s="18" t="n">
        <v>2</v>
      </c>
      <c r="AC13" s="18" t="n">
        <v>3</v>
      </c>
      <c r="AD13" s="18" t="n">
        <f aca="false">IF(AND(N(AB13)&gt;0,N(AC13)&gt;0),SQRT(2*AB13/AC13),"")</f>
        <v>1.15470053837925</v>
      </c>
      <c r="AE13" s="18" t="n">
        <v>25.4</v>
      </c>
      <c r="AF13" s="18" t="n">
        <v>18</v>
      </c>
      <c r="AG13" s="18" t="n">
        <v>35.2</v>
      </c>
      <c r="AH13" s="18" t="n">
        <v>750</v>
      </c>
      <c r="AI13" s="18" t="n">
        <v>28.4</v>
      </c>
      <c r="AJ13" s="18" t="n">
        <v>12</v>
      </c>
      <c r="AK13" s="18"/>
      <c r="AL13" s="18"/>
      <c r="AM13" s="18" t="n">
        <v>8.45</v>
      </c>
      <c r="AN13" s="18" t="n">
        <v>5.1</v>
      </c>
      <c r="AO13" s="18" t="n">
        <v>1.5</v>
      </c>
      <c r="AP13" s="18" t="n">
        <v>52.1</v>
      </c>
      <c r="AQ13" s="18" t="n">
        <v>22.5</v>
      </c>
      <c r="AR13" s="18" t="s">
        <v>2556</v>
      </c>
      <c r="AS13" s="18" t="s">
        <v>1517</v>
      </c>
      <c r="AT13" s="18" t="s">
        <v>1506</v>
      </c>
      <c r="AU13" s="18" t="s">
        <v>1507</v>
      </c>
      <c r="AV13" s="18" t="s">
        <v>1476</v>
      </c>
      <c r="AW13" s="30" t="s">
        <v>2562</v>
      </c>
      <c r="AX13" s="18" t="s">
        <v>928</v>
      </c>
      <c r="AY13" s="18" t="s">
        <v>2558</v>
      </c>
    </row>
    <row r="14" customFormat="false" ht="14.25" hidden="false" customHeight="true" outlineLevel="0" collapsed="false">
      <c r="A14" s="18" t="s">
        <v>914</v>
      </c>
      <c r="B14" s="18" t="s">
        <v>914</v>
      </c>
      <c r="C14" s="18" t="s">
        <v>915</v>
      </c>
      <c r="D14" s="18" t="n">
        <v>2020</v>
      </c>
      <c r="E14" s="18" t="s">
        <v>916</v>
      </c>
      <c r="F14" s="18" t="s">
        <v>815</v>
      </c>
      <c r="G14" s="18" t="s">
        <v>919</v>
      </c>
      <c r="H14" s="18" t="n">
        <v>28.4</v>
      </c>
      <c r="I14" s="18" t="n">
        <v>77.1</v>
      </c>
      <c r="J14" s="18" t="s">
        <v>83</v>
      </c>
      <c r="K14" s="18" t="s">
        <v>1504</v>
      </c>
      <c r="L14" s="18" t="s">
        <v>802</v>
      </c>
      <c r="M14" s="18" t="s">
        <v>85</v>
      </c>
      <c r="N14" s="18" t="s">
        <v>86</v>
      </c>
      <c r="O14" s="18" t="s">
        <v>1472</v>
      </c>
      <c r="P14" s="18"/>
      <c r="Q14" s="18" t="n">
        <v>234</v>
      </c>
      <c r="R14" s="18"/>
      <c r="S14" s="18"/>
      <c r="T14" s="18"/>
      <c r="U14" s="18"/>
      <c r="V14" s="18" t="n">
        <v>238</v>
      </c>
      <c r="W14" s="18"/>
      <c r="X14" s="18"/>
      <c r="Y14" s="18"/>
      <c r="Z14" s="18"/>
      <c r="AA14" s="18"/>
      <c r="AB14" s="18" t="n">
        <v>2</v>
      </c>
      <c r="AC14" s="18" t="n">
        <v>3</v>
      </c>
      <c r="AD14" s="18" t="n">
        <f aca="false">IF(AND(N(AB14)&gt;0,N(AC14)&gt;0),SQRT(2*AB14/AC14),"")</f>
        <v>1.15470053837925</v>
      </c>
      <c r="AE14" s="18" t="n">
        <v>25.4</v>
      </c>
      <c r="AF14" s="18" t="n">
        <v>18</v>
      </c>
      <c r="AG14" s="18" t="n">
        <v>35.2</v>
      </c>
      <c r="AH14" s="18" t="n">
        <v>750</v>
      </c>
      <c r="AI14" s="18" t="n">
        <v>28.4</v>
      </c>
      <c r="AJ14" s="18" t="n">
        <v>12</v>
      </c>
      <c r="AK14" s="18"/>
      <c r="AL14" s="18"/>
      <c r="AM14" s="18" t="n">
        <v>8.45</v>
      </c>
      <c r="AN14" s="18" t="n">
        <v>5.1</v>
      </c>
      <c r="AO14" s="18" t="n">
        <v>1.5</v>
      </c>
      <c r="AP14" s="18" t="n">
        <v>52.1</v>
      </c>
      <c r="AQ14" s="18" t="n">
        <v>22.5</v>
      </c>
      <c r="AR14" s="18" t="s">
        <v>2556</v>
      </c>
      <c r="AS14" s="18" t="s">
        <v>1519</v>
      </c>
      <c r="AT14" s="18" t="s">
        <v>1506</v>
      </c>
      <c r="AU14" s="18" t="s">
        <v>1507</v>
      </c>
      <c r="AV14" s="18" t="s">
        <v>1476</v>
      </c>
      <c r="AW14" s="30" t="s">
        <v>2563</v>
      </c>
      <c r="AX14" s="18" t="s">
        <v>928</v>
      </c>
      <c r="AY14" s="18" t="s">
        <v>2558</v>
      </c>
    </row>
    <row r="15" customFormat="false" ht="14.25" hidden="false" customHeight="true" outlineLevel="0" collapsed="false">
      <c r="A15" s="18" t="s">
        <v>914</v>
      </c>
      <c r="B15" s="18" t="s">
        <v>914</v>
      </c>
      <c r="C15" s="18" t="s">
        <v>915</v>
      </c>
      <c r="D15" s="18" t="n">
        <v>2020</v>
      </c>
      <c r="E15" s="18" t="s">
        <v>916</v>
      </c>
      <c r="F15" s="18" t="s">
        <v>815</v>
      </c>
      <c r="G15" s="18" t="s">
        <v>919</v>
      </c>
      <c r="H15" s="18" t="n">
        <v>28.4</v>
      </c>
      <c r="I15" s="18" t="n">
        <v>77.1</v>
      </c>
      <c r="J15" s="18" t="s">
        <v>83</v>
      </c>
      <c r="K15" s="18" t="s">
        <v>1504</v>
      </c>
      <c r="L15" s="18" t="s">
        <v>802</v>
      </c>
      <c r="M15" s="18" t="s">
        <v>85</v>
      </c>
      <c r="N15" s="18" t="s">
        <v>86</v>
      </c>
      <c r="O15" s="18" t="s">
        <v>1472</v>
      </c>
      <c r="P15" s="18"/>
      <c r="Q15" s="18" t="n">
        <v>226</v>
      </c>
      <c r="R15" s="18"/>
      <c r="S15" s="18"/>
      <c r="T15" s="18"/>
      <c r="U15" s="18"/>
      <c r="V15" s="18" t="n">
        <v>243</v>
      </c>
      <c r="W15" s="18"/>
      <c r="X15" s="18"/>
      <c r="Y15" s="18"/>
      <c r="Z15" s="18"/>
      <c r="AA15" s="18"/>
      <c r="AB15" s="18" t="n">
        <v>2</v>
      </c>
      <c r="AC15" s="18" t="n">
        <v>3</v>
      </c>
      <c r="AD15" s="18" t="n">
        <f aca="false">IF(AND(N(AB15)&gt;0,N(AC15)&gt;0),SQRT(2*AB15/AC15),"")</f>
        <v>1.15470053837925</v>
      </c>
      <c r="AE15" s="18" t="n">
        <v>25.4</v>
      </c>
      <c r="AF15" s="18" t="n">
        <v>18</v>
      </c>
      <c r="AG15" s="18" t="n">
        <v>35.2</v>
      </c>
      <c r="AH15" s="18" t="n">
        <v>750</v>
      </c>
      <c r="AI15" s="18" t="n">
        <v>28.4</v>
      </c>
      <c r="AJ15" s="18" t="n">
        <v>12</v>
      </c>
      <c r="AK15" s="18"/>
      <c r="AL15" s="18"/>
      <c r="AM15" s="18" t="n">
        <v>8.45</v>
      </c>
      <c r="AN15" s="18" t="n">
        <v>5.1</v>
      </c>
      <c r="AO15" s="18" t="n">
        <v>1.5</v>
      </c>
      <c r="AP15" s="18" t="n">
        <v>52.1</v>
      </c>
      <c r="AQ15" s="18" t="n">
        <v>22.5</v>
      </c>
      <c r="AR15" s="18" t="s">
        <v>2556</v>
      </c>
      <c r="AS15" s="18" t="s">
        <v>1521</v>
      </c>
      <c r="AT15" s="18" t="s">
        <v>1506</v>
      </c>
      <c r="AU15" s="18" t="s">
        <v>1507</v>
      </c>
      <c r="AV15" s="18" t="s">
        <v>1476</v>
      </c>
      <c r="AW15" s="30" t="s">
        <v>2564</v>
      </c>
      <c r="AX15" s="18" t="s">
        <v>928</v>
      </c>
      <c r="AY15" s="18" t="s">
        <v>2558</v>
      </c>
    </row>
    <row r="16" customFormat="false" ht="14.25" hidden="false" customHeight="true" outlineLevel="0" collapsed="false">
      <c r="A16" s="18" t="s">
        <v>914</v>
      </c>
      <c r="B16" s="18" t="s">
        <v>914</v>
      </c>
      <c r="C16" s="18" t="s">
        <v>915</v>
      </c>
      <c r="D16" s="18" t="n">
        <v>2020</v>
      </c>
      <c r="E16" s="18" t="s">
        <v>916</v>
      </c>
      <c r="F16" s="18" t="s">
        <v>815</v>
      </c>
      <c r="G16" s="18" t="s">
        <v>919</v>
      </c>
      <c r="H16" s="18" t="n">
        <v>28.4</v>
      </c>
      <c r="I16" s="18" t="n">
        <v>77.1</v>
      </c>
      <c r="J16" s="18" t="s">
        <v>83</v>
      </c>
      <c r="K16" s="18" t="s">
        <v>1504</v>
      </c>
      <c r="L16" s="18" t="s">
        <v>802</v>
      </c>
      <c r="M16" s="18" t="s">
        <v>85</v>
      </c>
      <c r="N16" s="18" t="s">
        <v>86</v>
      </c>
      <c r="O16" s="18" t="s">
        <v>1472</v>
      </c>
      <c r="P16" s="18"/>
      <c r="Q16" s="18" t="n">
        <v>226</v>
      </c>
      <c r="R16" s="18"/>
      <c r="S16" s="18"/>
      <c r="T16" s="18"/>
      <c r="U16" s="18"/>
      <c r="V16" s="18" t="n">
        <v>226</v>
      </c>
      <c r="W16" s="18"/>
      <c r="X16" s="18"/>
      <c r="Y16" s="18"/>
      <c r="Z16" s="18"/>
      <c r="AA16" s="18"/>
      <c r="AB16" s="18" t="n">
        <v>2</v>
      </c>
      <c r="AC16" s="18" t="n">
        <v>3</v>
      </c>
      <c r="AD16" s="18" t="n">
        <f aca="false">IF(AND(N(AB16)&gt;0,N(AC16)&gt;0),SQRT(2*AB16/AC16),"")</f>
        <v>1.15470053837925</v>
      </c>
      <c r="AE16" s="18" t="n">
        <v>25.4</v>
      </c>
      <c r="AF16" s="18" t="n">
        <v>18</v>
      </c>
      <c r="AG16" s="18" t="n">
        <v>35.2</v>
      </c>
      <c r="AH16" s="18" t="n">
        <v>750</v>
      </c>
      <c r="AI16" s="18" t="n">
        <v>28.4</v>
      </c>
      <c r="AJ16" s="18" t="n">
        <v>12</v>
      </c>
      <c r="AK16" s="18"/>
      <c r="AL16" s="18"/>
      <c r="AM16" s="18" t="n">
        <v>8.45</v>
      </c>
      <c r="AN16" s="18" t="n">
        <v>5.1</v>
      </c>
      <c r="AO16" s="18" t="n">
        <v>1.5</v>
      </c>
      <c r="AP16" s="18" t="n">
        <v>52.1</v>
      </c>
      <c r="AQ16" s="18" t="n">
        <v>22.5</v>
      </c>
      <c r="AR16" s="18" t="s">
        <v>2556</v>
      </c>
      <c r="AS16" s="18" t="s">
        <v>1523</v>
      </c>
      <c r="AT16" s="18" t="s">
        <v>1506</v>
      </c>
      <c r="AU16" s="18" t="s">
        <v>1507</v>
      </c>
      <c r="AV16" s="18" t="s">
        <v>1476</v>
      </c>
      <c r="AW16" s="30" t="s">
        <v>2565</v>
      </c>
      <c r="AX16" s="18" t="s">
        <v>928</v>
      </c>
      <c r="AY16" s="18" t="s">
        <v>2558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2566</v>
      </c>
      <c r="Q1" s="25" t="s">
        <v>2567</v>
      </c>
      <c r="R1" s="25" t="s">
        <v>2568</v>
      </c>
      <c r="S1" s="25" t="s">
        <v>2569</v>
      </c>
      <c r="T1" s="25" t="s">
        <v>2570</v>
      </c>
      <c r="U1" s="25" t="s">
        <v>2571</v>
      </c>
      <c r="V1" s="25" t="s">
        <v>2572</v>
      </c>
      <c r="W1" s="25" t="s">
        <v>2573</v>
      </c>
      <c r="X1" s="28" t="s">
        <v>2574</v>
      </c>
      <c r="Y1" s="28" t="s">
        <v>2575</v>
      </c>
      <c r="Z1" s="28" t="s">
        <v>2576</v>
      </c>
      <c r="AA1" s="28" t="s">
        <v>2577</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A2" s="5" t="n">
        <v>165</v>
      </c>
      <c r="B2" s="5" t="n">
        <v>165</v>
      </c>
      <c r="C2" s="5" t="s">
        <v>811</v>
      </c>
      <c r="D2" s="5" t="n">
        <v>2012</v>
      </c>
      <c r="E2" s="5" t="s">
        <v>812</v>
      </c>
      <c r="F2" s="5" t="s">
        <v>815</v>
      </c>
      <c r="G2" s="5" t="s">
        <v>816</v>
      </c>
      <c r="H2" s="5" t="n">
        <v>28.633</v>
      </c>
      <c r="I2" s="5" t="n">
        <v>77.183</v>
      </c>
      <c r="J2" s="5" t="s">
        <v>83</v>
      </c>
      <c r="K2" s="5" t="s">
        <v>2029</v>
      </c>
      <c r="L2" s="5" t="s">
        <v>821</v>
      </c>
      <c r="M2" s="5" t="s">
        <v>85</v>
      </c>
      <c r="N2" s="5" t="s">
        <v>86</v>
      </c>
      <c r="O2" s="5" t="s">
        <v>2030</v>
      </c>
      <c r="P2" s="5"/>
      <c r="Q2" s="5" t="n">
        <f aca="false">ROUND(8.6*2.24,2)</f>
        <v>19.26</v>
      </c>
      <c r="R2" s="5"/>
      <c r="S2" s="5"/>
      <c r="T2" s="5"/>
      <c r="U2" s="5"/>
      <c r="V2" s="5" t="n">
        <f aca="false">ROUND(9.1*2.24,2)</f>
        <v>20.38</v>
      </c>
      <c r="W2" s="5"/>
      <c r="X2" s="5"/>
      <c r="Y2" s="5"/>
      <c r="Z2" s="5"/>
      <c r="AA2" s="5"/>
      <c r="AB2" s="5" t="n">
        <v>1</v>
      </c>
      <c r="AC2" s="5" t="n">
        <v>3</v>
      </c>
      <c r="AD2" s="5" t="n">
        <f aca="false">IF(AND(N(AB2)&gt;0,N(AC2)&gt;0),SQRT(2*AB2/AC2),"")</f>
        <v>0.816496580927726</v>
      </c>
      <c r="AE2" s="5" t="n">
        <v>25.4</v>
      </c>
      <c r="AF2" s="5"/>
      <c r="AG2" s="5"/>
      <c r="AH2" s="5"/>
      <c r="AI2" s="5" t="n">
        <v>28.633</v>
      </c>
      <c r="AJ2" s="5" t="n">
        <v>1</v>
      </c>
      <c r="AK2" s="5"/>
      <c r="AL2" s="5"/>
      <c r="AM2" s="5" t="n">
        <v>8.16</v>
      </c>
      <c r="AN2" s="5" t="n">
        <v>5.2</v>
      </c>
      <c r="AO2" s="5" t="n">
        <v>1.5</v>
      </c>
      <c r="AP2" s="5" t="n">
        <v>52.06</v>
      </c>
      <c r="AQ2" s="5" t="n">
        <v>22.54</v>
      </c>
      <c r="AR2" s="5" t="s">
        <v>2578</v>
      </c>
      <c r="AS2" s="5" t="s">
        <v>1482</v>
      </c>
      <c r="AT2" s="5" t="s">
        <v>2031</v>
      </c>
      <c r="AU2" s="5" t="s">
        <v>1484</v>
      </c>
      <c r="AV2" s="5" t="s">
        <v>1870</v>
      </c>
      <c r="AW2" s="23" t="s">
        <v>2579</v>
      </c>
      <c r="AX2" s="5" t="s">
        <v>829</v>
      </c>
      <c r="AY2" s="5" t="s">
        <v>2580</v>
      </c>
      <c r="BA2" s="32" t="s">
        <v>1089</v>
      </c>
    </row>
    <row r="3" customFormat="false" ht="15" hidden="false" customHeight="true" outlineLevel="0" collapsed="false">
      <c r="A3" s="5" t="n">
        <v>165</v>
      </c>
      <c r="B3" s="5" t="n">
        <v>165</v>
      </c>
      <c r="C3" s="5" t="s">
        <v>811</v>
      </c>
      <c r="D3" s="5" t="n">
        <v>2012</v>
      </c>
      <c r="E3" s="5" t="s">
        <v>812</v>
      </c>
      <c r="F3" s="5" t="s">
        <v>815</v>
      </c>
      <c r="G3" s="5" t="s">
        <v>816</v>
      </c>
      <c r="H3" s="5" t="n">
        <v>28.633</v>
      </c>
      <c r="I3" s="5" t="n">
        <v>77.183</v>
      </c>
      <c r="J3" s="5" t="s">
        <v>83</v>
      </c>
      <c r="K3" s="5" t="s">
        <v>2029</v>
      </c>
      <c r="L3" s="5" t="s">
        <v>821</v>
      </c>
      <c r="M3" s="5" t="s">
        <v>85</v>
      </c>
      <c r="N3" s="5" t="s">
        <v>86</v>
      </c>
      <c r="O3" s="5" t="s">
        <v>2030</v>
      </c>
      <c r="P3" s="5"/>
      <c r="Q3" s="5" t="n">
        <f aca="false">ROUND(8.8*2.24,2)</f>
        <v>19.71</v>
      </c>
      <c r="R3" s="5"/>
      <c r="S3" s="5"/>
      <c r="T3" s="5"/>
      <c r="U3" s="5"/>
      <c r="V3" s="5" t="n">
        <f aca="false">ROUND(9.5*2.24,2)</f>
        <v>21.28</v>
      </c>
      <c r="W3" s="5"/>
      <c r="X3" s="5"/>
      <c r="Y3" s="5"/>
      <c r="Z3" s="5"/>
      <c r="AA3" s="5"/>
      <c r="AB3" s="5" t="n">
        <v>1</v>
      </c>
      <c r="AC3" s="5" t="n">
        <v>3</v>
      </c>
      <c r="AD3" s="5" t="n">
        <f aca="false">IF(AND(N(AB3)&gt;0,N(AC3)&gt;0),SQRT(2*AB3/AC3),"")</f>
        <v>0.816496580927726</v>
      </c>
      <c r="AE3" s="5" t="n">
        <v>25.4</v>
      </c>
      <c r="AF3" s="5"/>
      <c r="AG3" s="5"/>
      <c r="AH3" s="5"/>
      <c r="AI3" s="5" t="n">
        <v>28.633</v>
      </c>
      <c r="AJ3" s="5" t="n">
        <v>1</v>
      </c>
      <c r="AK3" s="5"/>
      <c r="AL3" s="5"/>
      <c r="AM3" s="5" t="n">
        <v>8.16</v>
      </c>
      <c r="AN3" s="5" t="n">
        <v>5.2</v>
      </c>
      <c r="AO3" s="5" t="n">
        <v>1.5</v>
      </c>
      <c r="AP3" s="5" t="n">
        <v>52.06</v>
      </c>
      <c r="AQ3" s="5" t="n">
        <v>22.54</v>
      </c>
      <c r="AR3" s="5" t="s">
        <v>2578</v>
      </c>
      <c r="AS3" s="5" t="s">
        <v>1488</v>
      </c>
      <c r="AT3" s="5" t="s">
        <v>2034</v>
      </c>
      <c r="AU3" s="5" t="s">
        <v>1484</v>
      </c>
      <c r="AV3" s="5" t="s">
        <v>1870</v>
      </c>
      <c r="AW3" s="23" t="s">
        <v>2581</v>
      </c>
      <c r="AX3" s="5" t="s">
        <v>829</v>
      </c>
      <c r="AY3" s="5" t="s">
        <v>2580</v>
      </c>
    </row>
    <row r="4" customFormat="false" ht="15" hidden="false" customHeight="true" outlineLevel="0" collapsed="false">
      <c r="A4" s="5" t="n">
        <v>165</v>
      </c>
      <c r="B4" s="5" t="n">
        <v>165</v>
      </c>
      <c r="C4" s="5" t="s">
        <v>811</v>
      </c>
      <c r="D4" s="5" t="n">
        <v>2012</v>
      </c>
      <c r="E4" s="5" t="s">
        <v>812</v>
      </c>
      <c r="F4" s="5" t="s">
        <v>815</v>
      </c>
      <c r="G4" s="5" t="s">
        <v>816</v>
      </c>
      <c r="H4" s="5" t="n">
        <v>28.633</v>
      </c>
      <c r="I4" s="5" t="n">
        <v>77.183</v>
      </c>
      <c r="J4" s="5" t="s">
        <v>83</v>
      </c>
      <c r="K4" s="5" t="s">
        <v>1481</v>
      </c>
      <c r="L4" s="5" t="s">
        <v>821</v>
      </c>
      <c r="M4" s="5" t="s">
        <v>85</v>
      </c>
      <c r="N4" s="5" t="s">
        <v>86</v>
      </c>
      <c r="O4" s="5" t="s">
        <v>2030</v>
      </c>
      <c r="P4" s="5"/>
      <c r="Q4" s="5" t="n">
        <f aca="false">ROUND(8.8*2.24,2)</f>
        <v>19.71</v>
      </c>
      <c r="R4" s="5"/>
      <c r="S4" s="5"/>
      <c r="T4" s="5"/>
      <c r="U4" s="5"/>
      <c r="V4" s="5" t="n">
        <f aca="false">ROUND(9.4*2.24,2)</f>
        <v>21.06</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2578</v>
      </c>
      <c r="AS4" s="5" t="s">
        <v>1482</v>
      </c>
      <c r="AT4" s="5" t="s">
        <v>2036</v>
      </c>
      <c r="AU4" s="5" t="s">
        <v>1484</v>
      </c>
      <c r="AV4" s="5" t="s">
        <v>1870</v>
      </c>
      <c r="AW4" s="23" t="s">
        <v>2582</v>
      </c>
      <c r="AX4" s="5" t="s">
        <v>829</v>
      </c>
      <c r="AY4" s="5" t="s">
        <v>2580</v>
      </c>
    </row>
    <row r="5" customFormat="false" ht="15" hidden="false" customHeight="true" outlineLevel="0" collapsed="false">
      <c r="A5" s="5" t="n">
        <v>165</v>
      </c>
      <c r="B5" s="5" t="n">
        <v>165</v>
      </c>
      <c r="C5" s="5" t="s">
        <v>811</v>
      </c>
      <c r="D5" s="5" t="n">
        <v>2012</v>
      </c>
      <c r="E5" s="5" t="s">
        <v>812</v>
      </c>
      <c r="F5" s="5" t="s">
        <v>815</v>
      </c>
      <c r="G5" s="5" t="s">
        <v>816</v>
      </c>
      <c r="H5" s="5" t="n">
        <v>28.633</v>
      </c>
      <c r="I5" s="5" t="n">
        <v>77.183</v>
      </c>
      <c r="J5" s="5" t="s">
        <v>83</v>
      </c>
      <c r="K5" s="5" t="s">
        <v>1481</v>
      </c>
      <c r="L5" s="5" t="s">
        <v>821</v>
      </c>
      <c r="M5" s="5" t="s">
        <v>85</v>
      </c>
      <c r="N5" s="5" t="s">
        <v>86</v>
      </c>
      <c r="O5" s="5" t="s">
        <v>2030</v>
      </c>
      <c r="P5" s="5"/>
      <c r="Q5" s="5" t="n">
        <f aca="false">ROUND(9.1*2.24,2)</f>
        <v>20.38</v>
      </c>
      <c r="R5" s="5"/>
      <c r="S5" s="5"/>
      <c r="T5" s="5"/>
      <c r="U5" s="5"/>
      <c r="V5" s="5" t="n">
        <f aca="false">ROUND(9.9*2.24,2)</f>
        <v>22.18</v>
      </c>
      <c r="W5" s="5"/>
      <c r="X5" s="5"/>
      <c r="Y5" s="5"/>
      <c r="Z5" s="5"/>
      <c r="AA5" s="5"/>
      <c r="AB5" s="5" t="n">
        <v>1</v>
      </c>
      <c r="AC5" s="5" t="n">
        <v>3</v>
      </c>
      <c r="AD5" s="5" t="n">
        <f aca="false">IF(AND(N(AB5)&gt;0,N(AC5)&gt;0),SQRT(2*AB5/AC5),"")</f>
        <v>0.816496580927726</v>
      </c>
      <c r="AE5" s="5" t="n">
        <v>25.4</v>
      </c>
      <c r="AF5" s="5"/>
      <c r="AG5" s="5"/>
      <c r="AH5" s="5"/>
      <c r="AI5" s="5" t="n">
        <v>28.633</v>
      </c>
      <c r="AJ5" s="5" t="n">
        <v>2</v>
      </c>
      <c r="AK5" s="5"/>
      <c r="AL5" s="5"/>
      <c r="AM5" s="5" t="n">
        <v>8.16</v>
      </c>
      <c r="AN5" s="5" t="n">
        <v>5.2</v>
      </c>
      <c r="AO5" s="5" t="n">
        <v>1.5</v>
      </c>
      <c r="AP5" s="5" t="n">
        <v>52.06</v>
      </c>
      <c r="AQ5" s="5" t="n">
        <v>22.54</v>
      </c>
      <c r="AR5" s="5" t="s">
        <v>2578</v>
      </c>
      <c r="AS5" s="5" t="s">
        <v>1488</v>
      </c>
      <c r="AT5" s="5" t="s">
        <v>2037</v>
      </c>
      <c r="AU5" s="5" t="s">
        <v>1484</v>
      </c>
      <c r="AV5" s="5" t="s">
        <v>1870</v>
      </c>
      <c r="AW5" s="23" t="s">
        <v>2583</v>
      </c>
      <c r="AX5" s="5" t="s">
        <v>829</v>
      </c>
      <c r="AY5" s="5" t="s">
        <v>2580</v>
      </c>
    </row>
    <row r="6" customFormat="false" ht="14.25" hidden="false" customHeight="true" outlineLevel="0" collapsed="false">
      <c r="A6" s="5" t="n">
        <v>164</v>
      </c>
      <c r="B6" s="5" t="n">
        <v>164</v>
      </c>
      <c r="C6" s="5" t="s">
        <v>791</v>
      </c>
      <c r="D6" s="5" t="n">
        <v>2000</v>
      </c>
      <c r="E6" s="5" t="s">
        <v>792</v>
      </c>
      <c r="F6" s="5" t="s">
        <v>866</v>
      </c>
      <c r="G6" s="5" t="s">
        <v>2038</v>
      </c>
      <c r="H6" s="5" t="n">
        <v>30.933</v>
      </c>
      <c r="I6" s="5" t="n">
        <v>75.867</v>
      </c>
      <c r="J6" s="5" t="s">
        <v>870</v>
      </c>
      <c r="K6" s="5" t="s">
        <v>2039</v>
      </c>
      <c r="L6" s="5" t="s">
        <v>802</v>
      </c>
      <c r="M6" s="5" t="s">
        <v>85</v>
      </c>
      <c r="N6" s="5" t="s">
        <v>86</v>
      </c>
      <c r="O6" s="5" t="s">
        <v>1472</v>
      </c>
      <c r="P6" s="5"/>
      <c r="Q6" s="5" t="n">
        <f aca="false">ROUND(8.06*2.24,2)</f>
        <v>18.05</v>
      </c>
      <c r="R6" s="5"/>
      <c r="S6" s="5"/>
      <c r="T6" s="5"/>
      <c r="U6" s="5"/>
      <c r="V6" s="5" t="n">
        <f aca="false">ROUND(9.94*2.24,2)</f>
        <v>22.27</v>
      </c>
      <c r="W6" s="5"/>
      <c r="X6" s="5"/>
      <c r="Y6" s="5"/>
      <c r="Z6" s="5"/>
      <c r="AA6" s="5"/>
      <c r="AB6" s="5" t="n">
        <v>1</v>
      </c>
      <c r="AC6" s="5" t="n">
        <v>4</v>
      </c>
      <c r="AD6" s="5" t="n">
        <f aca="false">IF(AND(N(AB6)&gt;0,N(AC6)&gt;0),SQRT(2*AB6/AC6),"")</f>
        <v>0.707106781186548</v>
      </c>
      <c r="AE6" s="5"/>
      <c r="AF6" s="5"/>
      <c r="AG6" s="5"/>
      <c r="AH6" s="5" t="n">
        <v>500</v>
      </c>
      <c r="AI6" s="5" t="n">
        <v>30.933</v>
      </c>
      <c r="AJ6" s="5" t="n">
        <v>15</v>
      </c>
      <c r="AK6" s="5"/>
      <c r="AL6" s="5"/>
      <c r="AM6" s="5"/>
      <c r="AN6" s="5" t="n">
        <v>3.1</v>
      </c>
      <c r="AO6" s="5"/>
      <c r="AP6" s="5"/>
      <c r="AQ6" s="5"/>
      <c r="AR6" s="5" t="s">
        <v>2584</v>
      </c>
      <c r="AS6" s="5" t="s">
        <v>2040</v>
      </c>
      <c r="AT6" s="5" t="s">
        <v>2041</v>
      </c>
      <c r="AU6" s="5" t="s">
        <v>2042</v>
      </c>
      <c r="AV6" s="5" t="s">
        <v>2585</v>
      </c>
      <c r="AW6" s="23" t="s">
        <v>2586</v>
      </c>
      <c r="AX6" s="5" t="s">
        <v>807</v>
      </c>
      <c r="AY6" s="5" t="s">
        <v>2587</v>
      </c>
    </row>
    <row r="7" customFormat="false" ht="14.25" hidden="false" customHeight="true" outlineLevel="0" collapsed="false">
      <c r="A7" s="5" t="n">
        <v>164</v>
      </c>
      <c r="B7" s="5" t="n">
        <v>164</v>
      </c>
      <c r="C7" s="5" t="s">
        <v>791</v>
      </c>
      <c r="D7" s="5" t="n">
        <v>2000</v>
      </c>
      <c r="E7" s="5" t="s">
        <v>792</v>
      </c>
      <c r="F7" s="5" t="s">
        <v>1415</v>
      </c>
      <c r="G7" s="5" t="s">
        <v>2046</v>
      </c>
      <c r="H7" s="5" t="n">
        <v>29</v>
      </c>
      <c r="I7" s="5" t="n">
        <v>79.083</v>
      </c>
      <c r="J7" s="5" t="s">
        <v>83</v>
      </c>
      <c r="K7" s="5" t="s">
        <v>2039</v>
      </c>
      <c r="L7" s="5" t="s">
        <v>802</v>
      </c>
      <c r="M7" s="5" t="s">
        <v>85</v>
      </c>
      <c r="N7" s="5" t="s">
        <v>86</v>
      </c>
      <c r="O7" s="5" t="s">
        <v>1472</v>
      </c>
      <c r="P7" s="5"/>
      <c r="Q7" s="5" t="n">
        <f aca="false">ROUND(3*2.24,2)</f>
        <v>6.72</v>
      </c>
      <c r="R7" s="5"/>
      <c r="S7" s="5"/>
      <c r="T7" s="5"/>
      <c r="U7" s="5"/>
      <c r="V7" s="5" t="n">
        <f aca="false">ROUND(3.19*2.24,2)</f>
        <v>7.15</v>
      </c>
      <c r="W7" s="5"/>
      <c r="X7" s="5"/>
      <c r="Y7" s="5"/>
      <c r="Z7" s="5"/>
      <c r="AA7" s="5"/>
      <c r="AB7" s="5" t="n">
        <v>1</v>
      </c>
      <c r="AC7" s="5" t="n">
        <v>4</v>
      </c>
      <c r="AD7" s="5" t="n">
        <f aca="false">IF(AND(N(AB7)&gt;0,N(AC7)&gt;0),SQRT(2*AB7/AC7),"")</f>
        <v>0.707106781186548</v>
      </c>
      <c r="AE7" s="5"/>
      <c r="AF7" s="5"/>
      <c r="AG7" s="5"/>
      <c r="AH7" s="5" t="n">
        <v>1350</v>
      </c>
      <c r="AI7" s="5" t="n">
        <v>29</v>
      </c>
      <c r="AJ7" s="5" t="n">
        <v>15</v>
      </c>
      <c r="AK7" s="5"/>
      <c r="AL7" s="5"/>
      <c r="AM7" s="5"/>
      <c r="AN7" s="5" t="n">
        <v>14.2</v>
      </c>
      <c r="AO7" s="5"/>
      <c r="AP7" s="5"/>
      <c r="AQ7" s="5"/>
      <c r="AR7" s="5" t="s">
        <v>2584</v>
      </c>
      <c r="AS7" s="5" t="s">
        <v>2040</v>
      </c>
      <c r="AT7" s="5" t="s">
        <v>2041</v>
      </c>
      <c r="AU7" s="5" t="s">
        <v>2047</v>
      </c>
      <c r="AV7" s="5" t="s">
        <v>2585</v>
      </c>
      <c r="AW7" s="23" t="s">
        <v>2588</v>
      </c>
      <c r="AX7" s="5" t="s">
        <v>807</v>
      </c>
      <c r="AY7" s="5" t="s">
        <v>2587</v>
      </c>
    </row>
    <row r="8" customFormat="false" ht="14.25" hidden="false" customHeight="true" outlineLevel="0" collapsed="false">
      <c r="A8" s="5" t="n">
        <v>164</v>
      </c>
      <c r="B8" s="5" t="n">
        <v>164</v>
      </c>
      <c r="C8" s="5" t="s">
        <v>791</v>
      </c>
      <c r="D8" s="5" t="n">
        <v>2000</v>
      </c>
      <c r="E8" s="5" t="s">
        <v>792</v>
      </c>
      <c r="F8" s="5" t="s">
        <v>836</v>
      </c>
      <c r="G8" s="5" t="s">
        <v>2049</v>
      </c>
      <c r="H8" s="5" t="n">
        <v>26.967</v>
      </c>
      <c r="I8" s="5" t="n">
        <v>80.567</v>
      </c>
      <c r="J8" s="5" t="s">
        <v>83</v>
      </c>
      <c r="K8" s="5" t="s">
        <v>2039</v>
      </c>
      <c r="L8" s="5" t="s">
        <v>802</v>
      </c>
      <c r="M8" s="5"/>
      <c r="N8" s="5" t="s">
        <v>86</v>
      </c>
      <c r="O8" s="5" t="s">
        <v>1472</v>
      </c>
      <c r="P8" s="5"/>
      <c r="Q8" s="5" t="n">
        <f aca="false">ROUND(12.21*2.24,2)</f>
        <v>27.35</v>
      </c>
      <c r="R8" s="5"/>
      <c r="S8" s="5"/>
      <c r="T8" s="5"/>
      <c r="U8" s="5"/>
      <c r="V8" s="5" t="n">
        <f aca="false">ROUND(11.3*2.24,2)</f>
        <v>25.31</v>
      </c>
      <c r="W8" s="5"/>
      <c r="X8" s="5"/>
      <c r="Y8" s="5"/>
      <c r="Z8" s="5"/>
      <c r="AA8" s="5"/>
      <c r="AB8" s="5" t="n">
        <v>1</v>
      </c>
      <c r="AC8" s="5" t="n">
        <v>4</v>
      </c>
      <c r="AD8" s="5" t="n">
        <f aca="false">IF(AND(N(AB8)&gt;0,N(AC8)&gt;0),SQRT(2*AB8/AC8),"")</f>
        <v>0.707106781186548</v>
      </c>
      <c r="AE8" s="5"/>
      <c r="AF8" s="5"/>
      <c r="AG8" s="5"/>
      <c r="AH8" s="5" t="n">
        <v>818</v>
      </c>
      <c r="AI8" s="5" t="n">
        <v>26.967</v>
      </c>
      <c r="AJ8" s="5" t="n">
        <v>13</v>
      </c>
      <c r="AK8" s="5"/>
      <c r="AL8" s="5"/>
      <c r="AM8" s="5" t="n">
        <v>8</v>
      </c>
      <c r="AN8" s="5" t="n">
        <v>2.9</v>
      </c>
      <c r="AO8" s="5"/>
      <c r="AP8" s="5"/>
      <c r="AQ8" s="5"/>
      <c r="AR8" s="5" t="s">
        <v>2584</v>
      </c>
      <c r="AS8" s="5" t="s">
        <v>2040</v>
      </c>
      <c r="AT8" s="5" t="s">
        <v>2041</v>
      </c>
      <c r="AU8" s="5" t="s">
        <v>2050</v>
      </c>
      <c r="AV8" s="5" t="s">
        <v>2585</v>
      </c>
      <c r="AW8" s="23" t="s">
        <v>2589</v>
      </c>
      <c r="AX8" s="5" t="s">
        <v>807</v>
      </c>
      <c r="AY8" s="5" t="s">
        <v>2587</v>
      </c>
    </row>
    <row r="9" customFormat="false" ht="14.25" hidden="false" customHeight="true" outlineLevel="0" collapsed="false">
      <c r="A9" s="5" t="n">
        <v>164</v>
      </c>
      <c r="B9" s="5" t="n">
        <v>164</v>
      </c>
      <c r="C9" s="5" t="s">
        <v>791</v>
      </c>
      <c r="D9" s="5" t="n">
        <v>2000</v>
      </c>
      <c r="E9" s="5" t="s">
        <v>792</v>
      </c>
      <c r="F9" s="5" t="s">
        <v>836</v>
      </c>
      <c r="G9" s="5" t="s">
        <v>2052</v>
      </c>
      <c r="H9" s="5" t="n">
        <v>26.067</v>
      </c>
      <c r="I9" s="5" t="n">
        <v>82.133</v>
      </c>
      <c r="J9" s="5" t="s">
        <v>83</v>
      </c>
      <c r="K9" s="5" t="s">
        <v>2039</v>
      </c>
      <c r="L9" s="5" t="s">
        <v>802</v>
      </c>
      <c r="M9" s="5" t="s">
        <v>85</v>
      </c>
      <c r="N9" s="5" t="s">
        <v>86</v>
      </c>
      <c r="O9" s="5" t="s">
        <v>1472</v>
      </c>
      <c r="P9" s="5"/>
      <c r="Q9" s="5" t="n">
        <f aca="false">ROUND(11.5*2.24,2)</f>
        <v>25.76</v>
      </c>
      <c r="R9" s="5"/>
      <c r="S9" s="5"/>
      <c r="T9" s="5"/>
      <c r="U9" s="5"/>
      <c r="V9" s="5" t="n">
        <f aca="false">ROUND(10.7*2.24,2)</f>
        <v>23.97</v>
      </c>
      <c r="W9" s="5"/>
      <c r="X9" s="5"/>
      <c r="Y9" s="5"/>
      <c r="Z9" s="5"/>
      <c r="AA9" s="5"/>
      <c r="AB9" s="5" t="n">
        <v>1</v>
      </c>
      <c r="AC9" s="5" t="n">
        <v>4</v>
      </c>
      <c r="AD9" s="5" t="n">
        <f aca="false">IF(AND(N(AB9)&gt;0,N(AC9)&gt;0),SQRT(2*AB9/AC9),"")</f>
        <v>0.707106781186548</v>
      </c>
      <c r="AE9" s="5"/>
      <c r="AF9" s="5"/>
      <c r="AG9" s="5"/>
      <c r="AH9" s="5" t="n">
        <v>1100</v>
      </c>
      <c r="AI9" s="5" t="n">
        <v>26.067</v>
      </c>
      <c r="AJ9" s="5" t="n">
        <v>14</v>
      </c>
      <c r="AK9" s="5"/>
      <c r="AL9" s="5"/>
      <c r="AM9" s="5"/>
      <c r="AN9" s="5" t="n">
        <v>3.7</v>
      </c>
      <c r="AO9" s="5"/>
      <c r="AP9" s="5"/>
      <c r="AQ9" s="5"/>
      <c r="AR9" s="5" t="s">
        <v>2584</v>
      </c>
      <c r="AS9" s="5" t="s">
        <v>2040</v>
      </c>
      <c r="AT9" s="5" t="s">
        <v>2041</v>
      </c>
      <c r="AU9" s="5" t="s">
        <v>2053</v>
      </c>
      <c r="AV9" s="5" t="s">
        <v>2585</v>
      </c>
      <c r="AW9" s="23" t="s">
        <v>2590</v>
      </c>
      <c r="AX9" s="5" t="s">
        <v>807</v>
      </c>
      <c r="AY9" s="5" t="s">
        <v>2587</v>
      </c>
    </row>
    <row r="10" customFormat="false" ht="14.25" hidden="false" customHeight="true" outlineLevel="0" collapsed="false">
      <c r="A10" s="5" t="n">
        <v>164</v>
      </c>
      <c r="B10" s="5" t="n">
        <v>164</v>
      </c>
      <c r="C10" s="5" t="s">
        <v>791</v>
      </c>
      <c r="D10" s="5" t="n">
        <v>2000</v>
      </c>
      <c r="E10" s="5" t="s">
        <v>792</v>
      </c>
      <c r="F10" s="5" t="s">
        <v>1427</v>
      </c>
      <c r="G10" s="5" t="s">
        <v>2055</v>
      </c>
      <c r="H10" s="5" t="n">
        <v>25.233</v>
      </c>
      <c r="I10" s="5" t="n">
        <v>87.067</v>
      </c>
      <c r="J10" s="5" t="s">
        <v>83</v>
      </c>
      <c r="K10" s="5" t="s">
        <v>2039</v>
      </c>
      <c r="L10" s="5" t="s">
        <v>802</v>
      </c>
      <c r="M10" s="5" t="s">
        <v>2056</v>
      </c>
      <c r="N10" s="5" t="s">
        <v>86</v>
      </c>
      <c r="O10" s="5" t="s">
        <v>1472</v>
      </c>
      <c r="P10" s="5"/>
      <c r="Q10" s="5" t="n">
        <f aca="false">ROUND(6.71*2.24,2)</f>
        <v>15.03</v>
      </c>
      <c r="R10" s="5"/>
      <c r="S10" s="5"/>
      <c r="T10" s="5"/>
      <c r="U10" s="5"/>
      <c r="V10" s="5" t="n">
        <f aca="false">ROUND(6.71*2.24,2)</f>
        <v>15.03</v>
      </c>
      <c r="W10" s="5"/>
      <c r="X10" s="5"/>
      <c r="Y10" s="5"/>
      <c r="Z10" s="5"/>
      <c r="AA10" s="5"/>
      <c r="AB10" s="5" t="n">
        <v>1</v>
      </c>
      <c r="AC10" s="5" t="n">
        <v>4</v>
      </c>
      <c r="AD10" s="5" t="n">
        <f aca="false">IF(AND(N(AB10)&gt;0,N(AC10)&gt;0),SQRT(2*AB10/AC10),"")</f>
        <v>0.707106781186548</v>
      </c>
      <c r="AE10" s="5"/>
      <c r="AF10" s="5"/>
      <c r="AG10" s="5"/>
      <c r="AH10" s="5" t="n">
        <v>1358</v>
      </c>
      <c r="AI10" s="5" t="n">
        <v>25.233</v>
      </c>
      <c r="AJ10" s="5" t="n">
        <v>12</v>
      </c>
      <c r="AK10" s="5"/>
      <c r="AL10" s="5"/>
      <c r="AM10" s="5"/>
      <c r="AN10" s="5" t="n">
        <v>4.6</v>
      </c>
      <c r="AO10" s="5"/>
      <c r="AP10" s="5"/>
      <c r="AQ10" s="5"/>
      <c r="AR10" s="5" t="s">
        <v>2584</v>
      </c>
      <c r="AS10" s="5" t="s">
        <v>2040</v>
      </c>
      <c r="AT10" s="5" t="s">
        <v>2041</v>
      </c>
      <c r="AU10" s="5" t="s">
        <v>2057</v>
      </c>
      <c r="AV10" s="5" t="s">
        <v>2585</v>
      </c>
      <c r="AW10" s="23" t="s">
        <v>2591</v>
      </c>
      <c r="AX10" s="5" t="s">
        <v>807</v>
      </c>
      <c r="AY10" s="5" t="s">
        <v>2587</v>
      </c>
    </row>
    <row r="11" customFormat="false" ht="14.25" hidden="false" customHeight="true" outlineLevel="0" collapsed="false">
      <c r="A11" s="5" t="n">
        <v>164</v>
      </c>
      <c r="B11" s="5" t="n">
        <v>164</v>
      </c>
      <c r="C11" s="5" t="s">
        <v>791</v>
      </c>
      <c r="D11" s="5" t="n">
        <v>2000</v>
      </c>
      <c r="E11" s="5" t="s">
        <v>792</v>
      </c>
      <c r="F11" s="5" t="s">
        <v>1431</v>
      </c>
      <c r="G11" s="5" t="s">
        <v>2059</v>
      </c>
      <c r="H11" s="5" t="n">
        <v>23</v>
      </c>
      <c r="I11" s="5" t="n">
        <v>89</v>
      </c>
      <c r="J11" s="5" t="s">
        <v>83</v>
      </c>
      <c r="K11" s="5" t="s">
        <v>2060</v>
      </c>
      <c r="L11" s="5" t="s">
        <v>802</v>
      </c>
      <c r="M11" s="5"/>
      <c r="N11" s="5" t="s">
        <v>86</v>
      </c>
      <c r="O11" s="5" t="s">
        <v>1472</v>
      </c>
      <c r="P11" s="5"/>
      <c r="Q11" s="5" t="n">
        <f aca="false">ROUND(7.1*2.24,2)</f>
        <v>15.9</v>
      </c>
      <c r="R11" s="5"/>
      <c r="S11" s="5"/>
      <c r="T11" s="5"/>
      <c r="U11" s="5"/>
      <c r="V11" s="5" t="n">
        <f aca="false">ROUND(6*2.24,2)</f>
        <v>13.44</v>
      </c>
      <c r="W11" s="5"/>
      <c r="X11" s="5"/>
      <c r="Y11" s="5"/>
      <c r="Z11" s="5"/>
      <c r="AA11" s="5"/>
      <c r="AB11" s="5" t="n">
        <v>1</v>
      </c>
      <c r="AC11" s="5" t="n">
        <v>4</v>
      </c>
      <c r="AD11" s="5" t="n">
        <f aca="false">IF(AND(N(AB11)&gt;0,N(AC11)&gt;0),SQRT(2*AB11/AC11),"")</f>
        <v>0.707106781186548</v>
      </c>
      <c r="AE11" s="5"/>
      <c r="AF11" s="5"/>
      <c r="AG11" s="5"/>
      <c r="AH11" s="5"/>
      <c r="AI11" s="5" t="n">
        <v>23</v>
      </c>
      <c r="AJ11" s="5" t="n">
        <v>13</v>
      </c>
      <c r="AK11" s="5"/>
      <c r="AL11" s="5"/>
      <c r="AM11" s="5"/>
      <c r="AN11" s="5" t="n">
        <v>9.2</v>
      </c>
      <c r="AO11" s="5"/>
      <c r="AP11" s="5"/>
      <c r="AQ11" s="5"/>
      <c r="AR11" s="5" t="s">
        <v>2584</v>
      </c>
      <c r="AS11" s="5" t="s">
        <v>2040</v>
      </c>
      <c r="AT11" s="5" t="s">
        <v>2061</v>
      </c>
      <c r="AU11" s="5" t="s">
        <v>2062</v>
      </c>
      <c r="AV11" s="5" t="s">
        <v>2585</v>
      </c>
      <c r="AW11" s="23" t="s">
        <v>2592</v>
      </c>
      <c r="AX11" s="5" t="s">
        <v>807</v>
      </c>
      <c r="AY11" s="5" t="s">
        <v>2587</v>
      </c>
    </row>
    <row r="12" customFormat="false" ht="14.25" hidden="false" customHeight="true" outlineLevel="0" collapsed="false">
      <c r="A12" s="5" t="n">
        <v>164</v>
      </c>
      <c r="B12" s="5" t="n">
        <v>164</v>
      </c>
      <c r="C12" s="5" t="s">
        <v>791</v>
      </c>
      <c r="D12" s="5" t="n">
        <v>2000</v>
      </c>
      <c r="E12" s="5" t="s">
        <v>792</v>
      </c>
      <c r="F12" s="5" t="s">
        <v>1436</v>
      </c>
      <c r="G12" s="5" t="s">
        <v>2064</v>
      </c>
      <c r="H12" s="5" t="n">
        <v>23.167</v>
      </c>
      <c r="I12" s="5" t="n">
        <v>79.95</v>
      </c>
      <c r="J12" s="5" t="s">
        <v>83</v>
      </c>
      <c r="K12" s="5" t="s">
        <v>2039</v>
      </c>
      <c r="L12" s="5" t="s">
        <v>802</v>
      </c>
      <c r="M12" s="5" t="s">
        <v>2056</v>
      </c>
      <c r="N12" s="5" t="s">
        <v>86</v>
      </c>
      <c r="O12" s="5" t="s">
        <v>1472</v>
      </c>
      <c r="P12" s="5"/>
      <c r="Q12" s="5" t="n">
        <f aca="false">ROUND(7.11*2.24,2)</f>
        <v>15.93</v>
      </c>
      <c r="R12" s="5"/>
      <c r="S12" s="5"/>
      <c r="T12" s="5"/>
      <c r="U12" s="5"/>
      <c r="V12" s="5" t="n">
        <f aca="false">ROUND(7.91*2.24,2)</f>
        <v>17.72</v>
      </c>
      <c r="W12" s="5"/>
      <c r="X12" s="5"/>
      <c r="Y12" s="5"/>
      <c r="Z12" s="5"/>
      <c r="AA12" s="5"/>
      <c r="AB12" s="5" t="n">
        <v>1</v>
      </c>
      <c r="AC12" s="5" t="n">
        <v>4</v>
      </c>
      <c r="AD12" s="5" t="n">
        <f aca="false">IF(AND(N(AB12)&gt;0,N(AC12)&gt;0),SQRT(2*AB12/AC12),"")</f>
        <v>0.707106781186548</v>
      </c>
      <c r="AE12" s="5"/>
      <c r="AF12" s="5"/>
      <c r="AG12" s="5"/>
      <c r="AH12" s="5" t="n">
        <v>850</v>
      </c>
      <c r="AI12" s="5" t="n">
        <v>23.167</v>
      </c>
      <c r="AJ12" s="5" t="n">
        <v>12</v>
      </c>
      <c r="AK12" s="5"/>
      <c r="AL12" s="5"/>
      <c r="AM12" s="5"/>
      <c r="AN12" s="5" t="n">
        <v>6.9</v>
      </c>
      <c r="AO12" s="5"/>
      <c r="AP12" s="5"/>
      <c r="AQ12" s="5"/>
      <c r="AR12" s="5" t="s">
        <v>2584</v>
      </c>
      <c r="AS12" s="5" t="s">
        <v>2040</v>
      </c>
      <c r="AT12" s="5" t="s">
        <v>2041</v>
      </c>
      <c r="AU12" s="5" t="s">
        <v>2065</v>
      </c>
      <c r="AV12" s="5" t="s">
        <v>2585</v>
      </c>
      <c r="AW12" s="23" t="s">
        <v>2593</v>
      </c>
      <c r="AX12" s="5" t="s">
        <v>807</v>
      </c>
      <c r="AY12" s="5" t="s">
        <v>2587</v>
      </c>
    </row>
    <row r="13" customFormat="false" ht="14.25" hidden="false" customHeight="true" outlineLevel="0" collapsed="false">
      <c r="A13" s="5" t="s">
        <v>931</v>
      </c>
      <c r="B13" s="5" t="s">
        <v>931</v>
      </c>
      <c r="C13" s="5" t="s">
        <v>932</v>
      </c>
      <c r="D13" s="5" t="n">
        <v>2023</v>
      </c>
      <c r="E13" s="5" t="s">
        <v>933</v>
      </c>
      <c r="F13" s="5" t="s">
        <v>936</v>
      </c>
      <c r="G13" s="5" t="s">
        <v>937</v>
      </c>
      <c r="H13" s="5" t="n">
        <v>35.27</v>
      </c>
      <c r="I13" s="5" t="n">
        <v>119.38</v>
      </c>
      <c r="J13" s="5" t="s">
        <v>870</v>
      </c>
      <c r="K13" s="5" t="n">
        <v>2020</v>
      </c>
      <c r="L13" s="5" t="s">
        <v>821</v>
      </c>
      <c r="M13" s="5"/>
      <c r="N13" s="5" t="s">
        <v>86</v>
      </c>
      <c r="O13" s="5" t="s">
        <v>1491</v>
      </c>
      <c r="P13" s="5" t="n">
        <f aca="false">ROUND(36.28*BD!P8*10*0.1,1)</f>
        <v>50.1</v>
      </c>
      <c r="Q13" s="5"/>
      <c r="R13" s="5"/>
      <c r="S13" s="5"/>
      <c r="T13" s="5"/>
      <c r="U13" s="5"/>
      <c r="V13" s="5"/>
      <c r="W13" s="5"/>
      <c r="X13" s="5" t="n">
        <f aca="false">ROUND(32.54*BD!X8*10*0.1,1)</f>
        <v>45.8</v>
      </c>
      <c r="Y13" s="5"/>
      <c r="Z13" s="5"/>
      <c r="AA13" s="5"/>
      <c r="AB13" s="5" t="n">
        <v>1</v>
      </c>
      <c r="AC13" s="5" t="n">
        <v>3</v>
      </c>
      <c r="AD13" s="5" t="n">
        <f aca="false">IF(AND(N(AB13)&gt;0,N(AC13)&gt;0),SQRT(2*AB13/AC13),"")</f>
        <v>0.816496580927726</v>
      </c>
      <c r="AE13" s="5"/>
      <c r="AF13" s="5"/>
      <c r="AG13" s="5"/>
      <c r="AH13" s="5" t="n">
        <v>916</v>
      </c>
      <c r="AI13" s="5" t="n">
        <v>35.27</v>
      </c>
      <c r="AJ13" s="5" t="n">
        <v>3</v>
      </c>
      <c r="AK13" s="5" t="n">
        <v>12.6</v>
      </c>
      <c r="AL13" s="5"/>
      <c r="AM13" s="5" t="n">
        <v>6.8</v>
      </c>
      <c r="AN13" s="5" t="n">
        <v>5.75</v>
      </c>
      <c r="AO13" s="5" t="n">
        <v>1.423</v>
      </c>
      <c r="AP13" s="5"/>
      <c r="AQ13" s="5"/>
      <c r="AR13" s="5" t="s">
        <v>2594</v>
      </c>
      <c r="AS13" s="5" t="s">
        <v>1492</v>
      </c>
      <c r="AT13" s="5" t="s">
        <v>1633</v>
      </c>
      <c r="AU13" s="5" t="s">
        <v>1494</v>
      </c>
      <c r="AV13" s="5" t="s">
        <v>1713</v>
      </c>
      <c r="AW13" s="23" t="s">
        <v>2595</v>
      </c>
      <c r="AX13" s="5" t="s">
        <v>947</v>
      </c>
      <c r="AY13" s="5" t="s">
        <v>2596</v>
      </c>
    </row>
    <row r="14" customFormat="false" ht="14.25" hidden="false" customHeight="true" outlineLevel="0" collapsed="false">
      <c r="A14" s="5" t="s">
        <v>931</v>
      </c>
      <c r="B14" s="5" t="s">
        <v>931</v>
      </c>
      <c r="C14" s="5" t="s">
        <v>932</v>
      </c>
      <c r="D14" s="5" t="n">
        <v>2023</v>
      </c>
      <c r="E14" s="5" t="s">
        <v>933</v>
      </c>
      <c r="F14" s="5" t="s">
        <v>936</v>
      </c>
      <c r="G14" s="5" t="s">
        <v>937</v>
      </c>
      <c r="H14" s="5" t="n">
        <v>35.27</v>
      </c>
      <c r="I14" s="5" t="n">
        <v>119.38</v>
      </c>
      <c r="J14" s="5" t="s">
        <v>870</v>
      </c>
      <c r="K14" s="5" t="n">
        <v>2020</v>
      </c>
      <c r="L14" s="5" t="s">
        <v>821</v>
      </c>
      <c r="M14" s="5"/>
      <c r="N14" s="5" t="s">
        <v>1479</v>
      </c>
      <c r="O14" s="5" t="s">
        <v>1500</v>
      </c>
      <c r="P14" s="5" t="n">
        <f aca="false">ROUND(32.6*BD!P11*10*0.1,1)</f>
        <v>47.4</v>
      </c>
      <c r="Q14" s="5"/>
      <c r="R14" s="5"/>
      <c r="S14" s="5"/>
      <c r="T14" s="5"/>
      <c r="U14" s="5"/>
      <c r="V14" s="5"/>
      <c r="W14" s="5"/>
      <c r="X14" s="5" t="n">
        <f aca="false">ROUND(35.68*BD!X11*10*0.1,1)</f>
        <v>51.4</v>
      </c>
      <c r="Y14" s="5"/>
      <c r="Z14" s="5"/>
      <c r="AA14" s="5"/>
      <c r="AB14" s="5" t="n">
        <v>2</v>
      </c>
      <c r="AC14" s="5" t="n">
        <v>3</v>
      </c>
      <c r="AD14" s="5" t="n">
        <f aca="false">IF(AND(N(AB14)&gt;0,N(AC14)&gt;0),SQRT(2*AB14/AC14),"")</f>
        <v>1.15470053837925</v>
      </c>
      <c r="AE14" s="5"/>
      <c r="AF14" s="5"/>
      <c r="AG14" s="5"/>
      <c r="AH14" s="5" t="n">
        <v>916</v>
      </c>
      <c r="AI14" s="5" t="n">
        <v>35.27</v>
      </c>
      <c r="AJ14" s="5" t="n">
        <v>3</v>
      </c>
      <c r="AK14" s="5" t="n">
        <v>12.6</v>
      </c>
      <c r="AL14" s="5"/>
      <c r="AM14" s="5" t="n">
        <v>6.8</v>
      </c>
      <c r="AN14" s="5" t="n">
        <v>5.75</v>
      </c>
      <c r="AO14" s="5" t="n">
        <v>1.423</v>
      </c>
      <c r="AP14" s="5"/>
      <c r="AQ14" s="5"/>
      <c r="AR14" s="5" t="s">
        <v>2594</v>
      </c>
      <c r="AS14" s="5" t="s">
        <v>1492</v>
      </c>
      <c r="AT14" s="5" t="s">
        <v>1633</v>
      </c>
      <c r="AU14" s="5" t="s">
        <v>1494</v>
      </c>
      <c r="AV14" s="5" t="s">
        <v>1713</v>
      </c>
      <c r="AW14" s="23" t="s">
        <v>2597</v>
      </c>
      <c r="AX14" s="5" t="s">
        <v>947</v>
      </c>
      <c r="AY14" s="5" t="s">
        <v>2596</v>
      </c>
    </row>
    <row r="15" customFormat="false" ht="14.25" hidden="false" customHeight="true" outlineLevel="0" collapsed="false">
      <c r="A15" s="5" t="s">
        <v>931</v>
      </c>
      <c r="B15" s="5" t="s">
        <v>931</v>
      </c>
      <c r="C15" s="5" t="s">
        <v>932</v>
      </c>
      <c r="D15" s="5" t="n">
        <v>2023</v>
      </c>
      <c r="E15" s="5" t="s">
        <v>933</v>
      </c>
      <c r="F15" s="5" t="s">
        <v>936</v>
      </c>
      <c r="G15" s="5" t="s">
        <v>937</v>
      </c>
      <c r="H15" s="5" t="n">
        <v>35.27</v>
      </c>
      <c r="I15" s="5" t="n">
        <v>119.38</v>
      </c>
      <c r="J15" s="5" t="s">
        <v>870</v>
      </c>
      <c r="K15" s="5" t="n">
        <v>2020</v>
      </c>
      <c r="L15" s="5" t="s">
        <v>821</v>
      </c>
      <c r="M15" s="5"/>
      <c r="N15" s="5" t="s">
        <v>1479</v>
      </c>
      <c r="O15" s="5" t="s">
        <v>1502</v>
      </c>
      <c r="P15" s="5" t="n">
        <f aca="false">ROUND(26.4*BD!P14*10*0.1,1)</f>
        <v>39.2</v>
      </c>
      <c r="Q15" s="5"/>
      <c r="R15" s="5"/>
      <c r="S15" s="5"/>
      <c r="T15" s="5"/>
      <c r="U15" s="5"/>
      <c r="V15" s="5"/>
      <c r="W15" s="5"/>
      <c r="X15" s="5" t="n">
        <f aca="false">ROUND(23.68*BD!X14*10*0.1,1)</f>
        <v>36.3</v>
      </c>
      <c r="Y15" s="5"/>
      <c r="Z15" s="5"/>
      <c r="AA15" s="5"/>
      <c r="AB15" s="5" t="n">
        <v>2</v>
      </c>
      <c r="AC15" s="5" t="n">
        <v>3</v>
      </c>
      <c r="AD15" s="5" t="n">
        <f aca="false">IF(AND(N(AB15)&gt;0,N(AC15)&gt;0),SQRT(2*AB15/AC15),"")</f>
        <v>1.15470053837925</v>
      </c>
      <c r="AE15" s="5"/>
      <c r="AF15" s="5"/>
      <c r="AG15" s="5"/>
      <c r="AH15" s="5" t="n">
        <v>916</v>
      </c>
      <c r="AI15" s="5" t="n">
        <v>35.27</v>
      </c>
      <c r="AJ15" s="5" t="n">
        <v>3</v>
      </c>
      <c r="AK15" s="5" t="n">
        <v>12.6</v>
      </c>
      <c r="AL15" s="5"/>
      <c r="AM15" s="5" t="n">
        <v>6.8</v>
      </c>
      <c r="AN15" s="5" t="n">
        <v>5.75</v>
      </c>
      <c r="AO15" s="5" t="n">
        <v>1.423</v>
      </c>
      <c r="AP15" s="5"/>
      <c r="AQ15" s="5"/>
      <c r="AR15" s="5" t="s">
        <v>2594</v>
      </c>
      <c r="AS15" s="5" t="s">
        <v>1492</v>
      </c>
      <c r="AT15" s="5" t="s">
        <v>1633</v>
      </c>
      <c r="AU15" s="5" t="s">
        <v>1494</v>
      </c>
      <c r="AV15" s="5" t="s">
        <v>1713</v>
      </c>
      <c r="AW15" s="23" t="s">
        <v>2598</v>
      </c>
      <c r="AX15" s="5" t="s">
        <v>947</v>
      </c>
      <c r="AY15" s="5" t="s">
        <v>2596</v>
      </c>
    </row>
    <row r="16" customFormat="false" ht="14.25" hidden="false" customHeight="true" outlineLevel="0" collapsed="false">
      <c r="A16" s="18" t="s">
        <v>914</v>
      </c>
      <c r="B16" s="18" t="s">
        <v>914</v>
      </c>
      <c r="C16" s="18" t="s">
        <v>915</v>
      </c>
      <c r="D16" s="18" t="n">
        <v>2020</v>
      </c>
      <c r="E16" s="18" t="s">
        <v>916</v>
      </c>
      <c r="F16" s="18" t="s">
        <v>815</v>
      </c>
      <c r="G16" s="18" t="s">
        <v>919</v>
      </c>
      <c r="H16" s="18" t="n">
        <v>28.4</v>
      </c>
      <c r="I16" s="18" t="n">
        <v>77.1</v>
      </c>
      <c r="J16" s="18" t="s">
        <v>83</v>
      </c>
      <c r="K16" s="18" t="s">
        <v>1504</v>
      </c>
      <c r="L16" s="18" t="s">
        <v>802</v>
      </c>
      <c r="M16" s="18" t="s">
        <v>85</v>
      </c>
      <c r="N16" s="18" t="s">
        <v>86</v>
      </c>
      <c r="O16" s="18" t="s">
        <v>1472</v>
      </c>
      <c r="P16" s="18"/>
      <c r="Q16" s="18" t="n">
        <f aca="false">ROUND(16.7*BD!Q15*15*0.1,1)</f>
        <v>38.3</v>
      </c>
      <c r="R16" s="18"/>
      <c r="S16" s="18"/>
      <c r="T16" s="18"/>
      <c r="U16" s="18"/>
      <c r="V16" s="18" t="n">
        <f aca="false">ROUND(19.2*BD!V15*15*0.1,1)</f>
        <v>42.6</v>
      </c>
      <c r="W16" s="18"/>
      <c r="X16" s="18"/>
      <c r="Y16" s="18"/>
      <c r="Z16" s="18"/>
      <c r="AA16" s="18"/>
      <c r="AB16" s="18" t="n">
        <v>2</v>
      </c>
      <c r="AC16" s="18" t="n">
        <v>3</v>
      </c>
      <c r="AD16" s="18" t="n">
        <f aca="false">IF(AND(N(AB16)&gt;0,N(AC16)&gt;0),SQRT(2*AB16/AC16),"")</f>
        <v>1.15470053837925</v>
      </c>
      <c r="AE16" s="18" t="n">
        <v>25.4</v>
      </c>
      <c r="AF16" s="18" t="n">
        <v>18</v>
      </c>
      <c r="AG16" s="18" t="n">
        <v>35.2</v>
      </c>
      <c r="AH16" s="18" t="n">
        <v>750</v>
      </c>
      <c r="AI16" s="18" t="n">
        <v>28.4</v>
      </c>
      <c r="AJ16" s="18" t="n">
        <v>12</v>
      </c>
      <c r="AK16" s="18"/>
      <c r="AL16" s="18"/>
      <c r="AM16" s="18" t="n">
        <v>8.45</v>
      </c>
      <c r="AN16" s="18" t="n">
        <v>5.1</v>
      </c>
      <c r="AO16" s="18" t="n">
        <v>1.5</v>
      </c>
      <c r="AP16" s="18" t="n">
        <v>52.1</v>
      </c>
      <c r="AQ16" s="18" t="n">
        <v>22.5</v>
      </c>
      <c r="AR16" s="18" t="s">
        <v>2599</v>
      </c>
      <c r="AS16" s="18" t="s">
        <v>1505</v>
      </c>
      <c r="AT16" s="18" t="s">
        <v>1506</v>
      </c>
      <c r="AU16" s="18" t="s">
        <v>1507</v>
      </c>
      <c r="AV16" s="18" t="s">
        <v>2600</v>
      </c>
      <c r="AW16" s="30" t="s">
        <v>2601</v>
      </c>
      <c r="AX16" s="18" t="s">
        <v>928</v>
      </c>
      <c r="AY16" s="18" t="s">
        <v>2602</v>
      </c>
    </row>
    <row r="17" customFormat="false" ht="14.25" hidden="false" customHeight="true" outlineLevel="0" collapsed="false">
      <c r="A17" s="18" t="s">
        <v>914</v>
      </c>
      <c r="B17" s="18" t="s">
        <v>914</v>
      </c>
      <c r="C17" s="18" t="s">
        <v>915</v>
      </c>
      <c r="D17" s="18" t="n">
        <v>2020</v>
      </c>
      <c r="E17" s="18" t="s">
        <v>916</v>
      </c>
      <c r="F17" s="18" t="s">
        <v>815</v>
      </c>
      <c r="G17" s="18" t="s">
        <v>919</v>
      </c>
      <c r="H17" s="18" t="n">
        <v>28.4</v>
      </c>
      <c r="I17" s="18" t="n">
        <v>77.1</v>
      </c>
      <c r="J17" s="18" t="s">
        <v>83</v>
      </c>
      <c r="K17" s="18" t="s">
        <v>1504</v>
      </c>
      <c r="L17" s="18" t="s">
        <v>802</v>
      </c>
      <c r="M17" s="18" t="s">
        <v>85</v>
      </c>
      <c r="N17" s="18" t="s">
        <v>86</v>
      </c>
      <c r="O17" s="18" t="s">
        <v>1472</v>
      </c>
      <c r="P17" s="18"/>
      <c r="Q17" s="18" t="n">
        <f aca="false">ROUND(16.7*BD!Q16*15*0.1,1)</f>
        <v>38.3</v>
      </c>
      <c r="R17" s="18"/>
      <c r="S17" s="18"/>
      <c r="T17" s="18"/>
      <c r="U17" s="18"/>
      <c r="V17" s="18" t="n">
        <f aca="false">ROUND(20.6*BD!V16*15*0.1,1)</f>
        <v>44.2</v>
      </c>
      <c r="W17" s="18"/>
      <c r="X17" s="18"/>
      <c r="Y17" s="18"/>
      <c r="Z17" s="18"/>
      <c r="AA17" s="18"/>
      <c r="AB17" s="18" t="n">
        <v>2</v>
      </c>
      <c r="AC17" s="18" t="n">
        <v>3</v>
      </c>
      <c r="AD17" s="18" t="n">
        <f aca="false">IF(AND(N(AB17)&gt;0,N(AC17)&gt;0),SQRT(2*AB17/AC17),"")</f>
        <v>1.15470053837925</v>
      </c>
      <c r="AE17" s="18" t="n">
        <v>25.4</v>
      </c>
      <c r="AF17" s="18" t="n">
        <v>18</v>
      </c>
      <c r="AG17" s="18" t="n">
        <v>35.2</v>
      </c>
      <c r="AH17" s="18" t="n">
        <v>750</v>
      </c>
      <c r="AI17" s="18" t="n">
        <v>28.4</v>
      </c>
      <c r="AJ17" s="18" t="n">
        <v>12</v>
      </c>
      <c r="AK17" s="18"/>
      <c r="AL17" s="18"/>
      <c r="AM17" s="18" t="n">
        <v>8.45</v>
      </c>
      <c r="AN17" s="18" t="n">
        <v>5.1</v>
      </c>
      <c r="AO17" s="18" t="n">
        <v>1.5</v>
      </c>
      <c r="AP17" s="18" t="n">
        <v>52.1</v>
      </c>
      <c r="AQ17" s="18" t="n">
        <v>22.5</v>
      </c>
      <c r="AR17" s="18" t="s">
        <v>2599</v>
      </c>
      <c r="AS17" s="18" t="s">
        <v>1511</v>
      </c>
      <c r="AT17" s="18" t="s">
        <v>1506</v>
      </c>
      <c r="AU17" s="18" t="s">
        <v>1507</v>
      </c>
      <c r="AV17" s="18" t="s">
        <v>2600</v>
      </c>
      <c r="AW17" s="30" t="s">
        <v>2603</v>
      </c>
      <c r="AX17" s="18" t="s">
        <v>928</v>
      </c>
      <c r="AY17" s="18" t="s">
        <v>2602</v>
      </c>
    </row>
    <row r="18" customFormat="false" ht="14.25" hidden="false" customHeight="true" outlineLevel="0" collapsed="false">
      <c r="A18" s="18" t="s">
        <v>914</v>
      </c>
      <c r="B18" s="18" t="s">
        <v>914</v>
      </c>
      <c r="C18" s="18" t="s">
        <v>915</v>
      </c>
      <c r="D18" s="18" t="n">
        <v>2020</v>
      </c>
      <c r="E18" s="18" t="s">
        <v>916</v>
      </c>
      <c r="F18" s="18" t="s">
        <v>815</v>
      </c>
      <c r="G18" s="18" t="s">
        <v>919</v>
      </c>
      <c r="H18" s="18" t="n">
        <v>28.4</v>
      </c>
      <c r="I18" s="18" t="n">
        <v>77.1</v>
      </c>
      <c r="J18" s="18" t="s">
        <v>83</v>
      </c>
      <c r="K18" s="18" t="s">
        <v>1504</v>
      </c>
      <c r="L18" s="18" t="s">
        <v>802</v>
      </c>
      <c r="M18" s="18" t="s">
        <v>85</v>
      </c>
      <c r="N18" s="18" t="s">
        <v>86</v>
      </c>
      <c r="O18" s="18" t="s">
        <v>1472</v>
      </c>
      <c r="P18" s="18"/>
      <c r="Q18" s="18" t="n">
        <f aca="false">ROUND(17.9*BD!Q17*15*0.1,1)</f>
        <v>40.5</v>
      </c>
      <c r="R18" s="18"/>
      <c r="S18" s="18"/>
      <c r="T18" s="18"/>
      <c r="U18" s="18"/>
      <c r="V18" s="18" t="n">
        <f aca="false">ROUND(20*BD!V17*15*0.1,1)</f>
        <v>43.8</v>
      </c>
      <c r="W18" s="18"/>
      <c r="X18" s="18"/>
      <c r="Y18" s="18"/>
      <c r="Z18" s="18"/>
      <c r="AA18" s="18"/>
      <c r="AB18" s="18" t="n">
        <v>2</v>
      </c>
      <c r="AC18" s="18" t="n">
        <v>3</v>
      </c>
      <c r="AD18" s="18" t="n">
        <f aca="false">IF(AND(N(AB18)&gt;0,N(AC18)&gt;0),SQRT(2*AB18/AC18),"")</f>
        <v>1.15470053837925</v>
      </c>
      <c r="AE18" s="18" t="n">
        <v>25.4</v>
      </c>
      <c r="AF18" s="18" t="n">
        <v>18</v>
      </c>
      <c r="AG18" s="18" t="n">
        <v>35.2</v>
      </c>
      <c r="AH18" s="18" t="n">
        <v>750</v>
      </c>
      <c r="AI18" s="18" t="n">
        <v>28.4</v>
      </c>
      <c r="AJ18" s="18" t="n">
        <v>12</v>
      </c>
      <c r="AK18" s="18"/>
      <c r="AL18" s="18"/>
      <c r="AM18" s="18" t="n">
        <v>8.45</v>
      </c>
      <c r="AN18" s="18" t="n">
        <v>5.1</v>
      </c>
      <c r="AO18" s="18" t="n">
        <v>1.5</v>
      </c>
      <c r="AP18" s="18" t="n">
        <v>52.1</v>
      </c>
      <c r="AQ18" s="18" t="n">
        <v>22.5</v>
      </c>
      <c r="AR18" s="18" t="s">
        <v>2599</v>
      </c>
      <c r="AS18" s="18" t="s">
        <v>1513</v>
      </c>
      <c r="AT18" s="18" t="s">
        <v>1506</v>
      </c>
      <c r="AU18" s="18" t="s">
        <v>1507</v>
      </c>
      <c r="AV18" s="18" t="s">
        <v>2600</v>
      </c>
      <c r="AW18" s="30" t="s">
        <v>2604</v>
      </c>
      <c r="AX18" s="18" t="s">
        <v>928</v>
      </c>
      <c r="AY18" s="18" t="s">
        <v>2602</v>
      </c>
    </row>
    <row r="19" customFormat="false" ht="14.25" hidden="false" customHeight="true" outlineLevel="0" collapsed="false">
      <c r="A19" s="18" t="s">
        <v>914</v>
      </c>
      <c r="B19" s="18" t="s">
        <v>914</v>
      </c>
      <c r="C19" s="18" t="s">
        <v>915</v>
      </c>
      <c r="D19" s="18" t="n">
        <v>2020</v>
      </c>
      <c r="E19" s="18" t="s">
        <v>916</v>
      </c>
      <c r="F19" s="18" t="s">
        <v>815</v>
      </c>
      <c r="G19" s="18" t="s">
        <v>919</v>
      </c>
      <c r="H19" s="18" t="n">
        <v>28.4</v>
      </c>
      <c r="I19" s="18" t="n">
        <v>77.1</v>
      </c>
      <c r="J19" s="18" t="s">
        <v>83</v>
      </c>
      <c r="K19" s="18" t="s">
        <v>1504</v>
      </c>
      <c r="L19" s="18" t="s">
        <v>802</v>
      </c>
      <c r="M19" s="18" t="s">
        <v>85</v>
      </c>
      <c r="N19" s="18" t="s">
        <v>86</v>
      </c>
      <c r="O19" s="18" t="s">
        <v>1472</v>
      </c>
      <c r="P19" s="18"/>
      <c r="Q19" s="18" t="n">
        <f aca="false">ROUND(17.9*BD!Q18*15*0.1,1)</f>
        <v>40.5</v>
      </c>
      <c r="R19" s="18"/>
      <c r="S19" s="18"/>
      <c r="T19" s="18"/>
      <c r="U19" s="18"/>
      <c r="V19" s="18" t="n">
        <f aca="false">ROUND(23.2*BD!V18*15*0.1,1)</f>
        <v>48.7</v>
      </c>
      <c r="W19" s="18"/>
      <c r="X19" s="18"/>
      <c r="Y19" s="18"/>
      <c r="Z19" s="18"/>
      <c r="AA19" s="18"/>
      <c r="AB19" s="18" t="n">
        <v>2</v>
      </c>
      <c r="AC19" s="18" t="n">
        <v>3</v>
      </c>
      <c r="AD19" s="18" t="n">
        <f aca="false">IF(AND(N(AB19)&gt;0,N(AC19)&gt;0),SQRT(2*AB19/AC19),"")</f>
        <v>1.15470053837925</v>
      </c>
      <c r="AE19" s="18" t="n">
        <v>25.4</v>
      </c>
      <c r="AF19" s="18" t="n">
        <v>18</v>
      </c>
      <c r="AG19" s="18" t="n">
        <v>35.2</v>
      </c>
      <c r="AH19" s="18" t="n">
        <v>750</v>
      </c>
      <c r="AI19" s="18" t="n">
        <v>28.4</v>
      </c>
      <c r="AJ19" s="18" t="n">
        <v>12</v>
      </c>
      <c r="AK19" s="18"/>
      <c r="AL19" s="18"/>
      <c r="AM19" s="18" t="n">
        <v>8.45</v>
      </c>
      <c r="AN19" s="18" t="n">
        <v>5.1</v>
      </c>
      <c r="AO19" s="18" t="n">
        <v>1.5</v>
      </c>
      <c r="AP19" s="18" t="n">
        <v>52.1</v>
      </c>
      <c r="AQ19" s="18" t="n">
        <v>22.5</v>
      </c>
      <c r="AR19" s="18" t="s">
        <v>2599</v>
      </c>
      <c r="AS19" s="18" t="s">
        <v>1515</v>
      </c>
      <c r="AT19" s="18" t="s">
        <v>1506</v>
      </c>
      <c r="AU19" s="18" t="s">
        <v>1507</v>
      </c>
      <c r="AV19" s="18" t="s">
        <v>2600</v>
      </c>
      <c r="AW19" s="30" t="s">
        <v>2605</v>
      </c>
      <c r="AX19" s="18" t="s">
        <v>928</v>
      </c>
      <c r="AY19" s="18" t="s">
        <v>2602</v>
      </c>
    </row>
    <row r="20" customFormat="false" ht="14.25" hidden="false" customHeight="true" outlineLevel="0" collapsed="false">
      <c r="A20" s="18" t="s">
        <v>914</v>
      </c>
      <c r="B20" s="18" t="s">
        <v>914</v>
      </c>
      <c r="C20" s="18" t="s">
        <v>915</v>
      </c>
      <c r="D20" s="18" t="n">
        <v>2020</v>
      </c>
      <c r="E20" s="18" t="s">
        <v>916</v>
      </c>
      <c r="F20" s="18" t="s">
        <v>815</v>
      </c>
      <c r="G20" s="18" t="s">
        <v>919</v>
      </c>
      <c r="H20" s="18" t="n">
        <v>28.4</v>
      </c>
      <c r="I20" s="18" t="n">
        <v>77.1</v>
      </c>
      <c r="J20" s="18" t="s">
        <v>83</v>
      </c>
      <c r="K20" s="18" t="s">
        <v>1504</v>
      </c>
      <c r="L20" s="18" t="s">
        <v>802</v>
      </c>
      <c r="M20" s="18" t="s">
        <v>85</v>
      </c>
      <c r="N20" s="18" t="s">
        <v>86</v>
      </c>
      <c r="O20" s="18" t="s">
        <v>1472</v>
      </c>
      <c r="P20" s="18"/>
      <c r="Q20" s="18" t="n">
        <f aca="false">ROUND(15.7*BD!Q19*15*0.1,1)</f>
        <v>37</v>
      </c>
      <c r="R20" s="18"/>
      <c r="S20" s="18"/>
      <c r="T20" s="18"/>
      <c r="U20" s="18"/>
      <c r="V20" s="18" t="n">
        <f aca="false">ROUND(18.3*BD!V19*15*0.1,1)</f>
        <v>40.9</v>
      </c>
      <c r="W20" s="18"/>
      <c r="X20" s="18"/>
      <c r="Y20" s="18"/>
      <c r="Z20" s="18"/>
      <c r="AA20" s="18"/>
      <c r="AB20" s="18" t="n">
        <v>2</v>
      </c>
      <c r="AC20" s="18" t="n">
        <v>3</v>
      </c>
      <c r="AD20" s="18" t="n">
        <f aca="false">IF(AND(N(AB20)&gt;0,N(AC20)&gt;0),SQRT(2*AB20/AC20),"")</f>
        <v>1.15470053837925</v>
      </c>
      <c r="AE20" s="18" t="n">
        <v>25.4</v>
      </c>
      <c r="AF20" s="18" t="n">
        <v>18</v>
      </c>
      <c r="AG20" s="18" t="n">
        <v>35.2</v>
      </c>
      <c r="AH20" s="18" t="n">
        <v>750</v>
      </c>
      <c r="AI20" s="18" t="n">
        <v>28.4</v>
      </c>
      <c r="AJ20" s="18" t="n">
        <v>12</v>
      </c>
      <c r="AK20" s="18"/>
      <c r="AL20" s="18"/>
      <c r="AM20" s="18" t="n">
        <v>8.45</v>
      </c>
      <c r="AN20" s="18" t="n">
        <v>5.1</v>
      </c>
      <c r="AO20" s="18" t="n">
        <v>1.5</v>
      </c>
      <c r="AP20" s="18" t="n">
        <v>52.1</v>
      </c>
      <c r="AQ20" s="18" t="n">
        <v>22.5</v>
      </c>
      <c r="AR20" s="18" t="s">
        <v>2599</v>
      </c>
      <c r="AS20" s="18" t="s">
        <v>1517</v>
      </c>
      <c r="AT20" s="18" t="s">
        <v>1506</v>
      </c>
      <c r="AU20" s="18" t="s">
        <v>1507</v>
      </c>
      <c r="AV20" s="18" t="s">
        <v>2600</v>
      </c>
      <c r="AW20" s="30" t="s">
        <v>2606</v>
      </c>
      <c r="AX20" s="18" t="s">
        <v>928</v>
      </c>
      <c r="AY20" s="18" t="s">
        <v>2602</v>
      </c>
    </row>
    <row r="21" customFormat="false" ht="14.25" hidden="false" customHeight="true" outlineLevel="0" collapsed="false">
      <c r="A21" s="18" t="s">
        <v>914</v>
      </c>
      <c r="B21" s="18" t="s">
        <v>914</v>
      </c>
      <c r="C21" s="18" t="s">
        <v>915</v>
      </c>
      <c r="D21" s="18" t="n">
        <v>2020</v>
      </c>
      <c r="E21" s="18" t="s">
        <v>916</v>
      </c>
      <c r="F21" s="18" t="s">
        <v>815</v>
      </c>
      <c r="G21" s="18" t="s">
        <v>919</v>
      </c>
      <c r="H21" s="18" t="n">
        <v>28.4</v>
      </c>
      <c r="I21" s="18" t="n">
        <v>77.1</v>
      </c>
      <c r="J21" s="18" t="s">
        <v>83</v>
      </c>
      <c r="K21" s="18" t="s">
        <v>1504</v>
      </c>
      <c r="L21" s="18" t="s">
        <v>802</v>
      </c>
      <c r="M21" s="18" t="s">
        <v>85</v>
      </c>
      <c r="N21" s="18" t="s">
        <v>86</v>
      </c>
      <c r="O21" s="18" t="s">
        <v>1472</v>
      </c>
      <c r="P21" s="18"/>
      <c r="Q21" s="18" t="n">
        <f aca="false">ROUND(15.7*BD!Q20*15*0.1,1)</f>
        <v>37</v>
      </c>
      <c r="R21" s="18"/>
      <c r="S21" s="18"/>
      <c r="T21" s="18"/>
      <c r="U21" s="18"/>
      <c r="V21" s="18" t="n">
        <f aca="false">ROUND(20.2*BD!V20*15*0.1,1)</f>
        <v>43.6</v>
      </c>
      <c r="W21" s="18"/>
      <c r="X21" s="18"/>
      <c r="Y21" s="18"/>
      <c r="Z21" s="18"/>
      <c r="AA21" s="18"/>
      <c r="AB21" s="18" t="n">
        <v>2</v>
      </c>
      <c r="AC21" s="18" t="n">
        <v>3</v>
      </c>
      <c r="AD21" s="18" t="n">
        <f aca="false">IF(AND(N(AB21)&gt;0,N(AC21)&gt;0),SQRT(2*AB21/AC21),"")</f>
        <v>1.15470053837925</v>
      </c>
      <c r="AE21" s="18" t="n">
        <v>25.4</v>
      </c>
      <c r="AF21" s="18" t="n">
        <v>18</v>
      </c>
      <c r="AG21" s="18" t="n">
        <v>35.2</v>
      </c>
      <c r="AH21" s="18" t="n">
        <v>750</v>
      </c>
      <c r="AI21" s="18" t="n">
        <v>28.4</v>
      </c>
      <c r="AJ21" s="18" t="n">
        <v>12</v>
      </c>
      <c r="AK21" s="18"/>
      <c r="AL21" s="18"/>
      <c r="AM21" s="18" t="n">
        <v>8.45</v>
      </c>
      <c r="AN21" s="18" t="n">
        <v>5.1</v>
      </c>
      <c r="AO21" s="18" t="n">
        <v>1.5</v>
      </c>
      <c r="AP21" s="18" t="n">
        <v>52.1</v>
      </c>
      <c r="AQ21" s="18" t="n">
        <v>22.5</v>
      </c>
      <c r="AR21" s="18" t="s">
        <v>2599</v>
      </c>
      <c r="AS21" s="18" t="s">
        <v>1519</v>
      </c>
      <c r="AT21" s="18" t="s">
        <v>1506</v>
      </c>
      <c r="AU21" s="18" t="s">
        <v>1507</v>
      </c>
      <c r="AV21" s="18" t="s">
        <v>2600</v>
      </c>
      <c r="AW21" s="30" t="s">
        <v>2607</v>
      </c>
      <c r="AX21" s="18" t="s">
        <v>928</v>
      </c>
      <c r="AY21" s="18" t="s">
        <v>2602</v>
      </c>
    </row>
    <row r="22" customFormat="false" ht="14.25" hidden="false" customHeight="true" outlineLevel="0" collapsed="false">
      <c r="A22" s="18" t="s">
        <v>914</v>
      </c>
      <c r="B22" s="18" t="s">
        <v>914</v>
      </c>
      <c r="C22" s="18" t="s">
        <v>915</v>
      </c>
      <c r="D22" s="18" t="n">
        <v>2020</v>
      </c>
      <c r="E22" s="18" t="s">
        <v>916</v>
      </c>
      <c r="F22" s="18" t="s">
        <v>815</v>
      </c>
      <c r="G22" s="18" t="s">
        <v>919</v>
      </c>
      <c r="H22" s="18" t="n">
        <v>28.4</v>
      </c>
      <c r="I22" s="18" t="n">
        <v>77.1</v>
      </c>
      <c r="J22" s="18" t="s">
        <v>83</v>
      </c>
      <c r="K22" s="18" t="s">
        <v>1504</v>
      </c>
      <c r="L22" s="18" t="s">
        <v>802</v>
      </c>
      <c r="M22" s="18" t="s">
        <v>85</v>
      </c>
      <c r="N22" s="18" t="s">
        <v>86</v>
      </c>
      <c r="O22" s="18" t="s">
        <v>1472</v>
      </c>
      <c r="P22" s="18"/>
      <c r="Q22" s="18" t="n">
        <f aca="false">ROUND(17.1*BD!Q21*15*0.1,1)</f>
        <v>39.2</v>
      </c>
      <c r="R22" s="18"/>
      <c r="S22" s="18"/>
      <c r="T22" s="18"/>
      <c r="U22" s="18"/>
      <c r="V22" s="18" t="n">
        <f aca="false">ROUND(19.2*BD!V21*15*0.1,1)</f>
        <v>42</v>
      </c>
      <c r="W22" s="18"/>
      <c r="X22" s="18"/>
      <c r="Y22" s="18"/>
      <c r="Z22" s="18"/>
      <c r="AA22" s="18"/>
      <c r="AB22" s="18" t="n">
        <v>2</v>
      </c>
      <c r="AC22" s="18" t="n">
        <v>3</v>
      </c>
      <c r="AD22" s="18" t="n">
        <f aca="false">IF(AND(N(AB22)&gt;0,N(AC22)&gt;0),SQRT(2*AB22/AC22),"")</f>
        <v>1.15470053837925</v>
      </c>
      <c r="AE22" s="18" t="n">
        <v>25.4</v>
      </c>
      <c r="AF22" s="18" t="n">
        <v>18</v>
      </c>
      <c r="AG22" s="18" t="n">
        <v>35.2</v>
      </c>
      <c r="AH22" s="18" t="n">
        <v>750</v>
      </c>
      <c r="AI22" s="18" t="n">
        <v>28.4</v>
      </c>
      <c r="AJ22" s="18" t="n">
        <v>12</v>
      </c>
      <c r="AK22" s="18"/>
      <c r="AL22" s="18"/>
      <c r="AM22" s="18" t="n">
        <v>8.45</v>
      </c>
      <c r="AN22" s="18" t="n">
        <v>5.1</v>
      </c>
      <c r="AO22" s="18" t="n">
        <v>1.5</v>
      </c>
      <c r="AP22" s="18" t="n">
        <v>52.1</v>
      </c>
      <c r="AQ22" s="18" t="n">
        <v>22.5</v>
      </c>
      <c r="AR22" s="18" t="s">
        <v>2599</v>
      </c>
      <c r="AS22" s="18" t="s">
        <v>1521</v>
      </c>
      <c r="AT22" s="18" t="s">
        <v>1506</v>
      </c>
      <c r="AU22" s="18" t="s">
        <v>1507</v>
      </c>
      <c r="AV22" s="18" t="s">
        <v>2600</v>
      </c>
      <c r="AW22" s="30" t="s">
        <v>2608</v>
      </c>
      <c r="AX22" s="18" t="s">
        <v>928</v>
      </c>
      <c r="AY22" s="18" t="s">
        <v>2602</v>
      </c>
    </row>
    <row r="23" customFormat="false" ht="14.25" hidden="false" customHeight="true" outlineLevel="0" collapsed="false">
      <c r="A23" s="18" t="s">
        <v>914</v>
      </c>
      <c r="B23" s="18" t="s">
        <v>914</v>
      </c>
      <c r="C23" s="18" t="s">
        <v>915</v>
      </c>
      <c r="D23" s="18" t="n">
        <v>2020</v>
      </c>
      <c r="E23" s="18" t="s">
        <v>916</v>
      </c>
      <c r="F23" s="18" t="s">
        <v>815</v>
      </c>
      <c r="G23" s="18" t="s">
        <v>919</v>
      </c>
      <c r="H23" s="18" t="n">
        <v>28.4</v>
      </c>
      <c r="I23" s="18" t="n">
        <v>77.1</v>
      </c>
      <c r="J23" s="18" t="s">
        <v>83</v>
      </c>
      <c r="K23" s="18" t="s">
        <v>1504</v>
      </c>
      <c r="L23" s="18" t="s">
        <v>802</v>
      </c>
      <c r="M23" s="18" t="s">
        <v>85</v>
      </c>
      <c r="N23" s="18" t="s">
        <v>86</v>
      </c>
      <c r="O23" s="18" t="s">
        <v>1472</v>
      </c>
      <c r="P23" s="18"/>
      <c r="Q23" s="18" t="n">
        <f aca="false">ROUND(17.1*BD!Q22*15*0.1,1)</f>
        <v>39.2</v>
      </c>
      <c r="R23" s="18"/>
      <c r="S23" s="18"/>
      <c r="T23" s="18"/>
      <c r="U23" s="18"/>
      <c r="V23" s="18" t="n">
        <f aca="false">ROUND(22.4*BD!V22*15*0.1,1)</f>
        <v>47.4</v>
      </c>
      <c r="W23" s="18"/>
      <c r="X23" s="18"/>
      <c r="Y23" s="18"/>
      <c r="Z23" s="18"/>
      <c r="AA23" s="18"/>
      <c r="AB23" s="18" t="n">
        <v>2</v>
      </c>
      <c r="AC23" s="18" t="n">
        <v>3</v>
      </c>
      <c r="AD23" s="18" t="n">
        <f aca="false">IF(AND(N(AB23)&gt;0,N(AC23)&gt;0),SQRT(2*AB23/AC23),"")</f>
        <v>1.15470053837925</v>
      </c>
      <c r="AE23" s="18" t="n">
        <v>25.4</v>
      </c>
      <c r="AF23" s="18" t="n">
        <v>18</v>
      </c>
      <c r="AG23" s="18" t="n">
        <v>35.2</v>
      </c>
      <c r="AH23" s="18" t="n">
        <v>750</v>
      </c>
      <c r="AI23" s="18" t="n">
        <v>28.4</v>
      </c>
      <c r="AJ23" s="18" t="n">
        <v>12</v>
      </c>
      <c r="AK23" s="18"/>
      <c r="AL23" s="18"/>
      <c r="AM23" s="18" t="n">
        <v>8.45</v>
      </c>
      <c r="AN23" s="18" t="n">
        <v>5.1</v>
      </c>
      <c r="AO23" s="18" t="n">
        <v>1.5</v>
      </c>
      <c r="AP23" s="18" t="n">
        <v>52.1</v>
      </c>
      <c r="AQ23" s="18" t="n">
        <v>22.5</v>
      </c>
      <c r="AR23" s="18" t="s">
        <v>2599</v>
      </c>
      <c r="AS23" s="18" t="s">
        <v>1523</v>
      </c>
      <c r="AT23" s="18" t="s">
        <v>1506</v>
      </c>
      <c r="AU23" s="18" t="s">
        <v>1507</v>
      </c>
      <c r="AV23" s="18" t="s">
        <v>2600</v>
      </c>
      <c r="AW23" s="30" t="s">
        <v>2609</v>
      </c>
      <c r="AX23" s="18" t="s">
        <v>928</v>
      </c>
      <c r="AY23" s="18" t="s">
        <v>2602</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2610</v>
      </c>
      <c r="Q1" s="25" t="s">
        <v>2611</v>
      </c>
      <c r="R1" s="25" t="s">
        <v>2612</v>
      </c>
      <c r="S1" s="25" t="s">
        <v>2613</v>
      </c>
      <c r="T1" s="25" t="s">
        <v>2614</v>
      </c>
      <c r="U1" s="25" t="s">
        <v>2615</v>
      </c>
      <c r="V1" s="25" t="s">
        <v>2616</v>
      </c>
      <c r="W1" s="25" t="s">
        <v>2617</v>
      </c>
      <c r="X1" s="28" t="s">
        <v>2618</v>
      </c>
      <c r="Y1" s="28" t="s">
        <v>2619</v>
      </c>
      <c r="Z1" s="28" t="s">
        <v>2620</v>
      </c>
      <c r="AA1" s="28" t="s">
        <v>2621</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A2" s="5" t="n">
        <v>165</v>
      </c>
      <c r="B2" s="5" t="n">
        <v>165</v>
      </c>
      <c r="C2" s="5" t="s">
        <v>811</v>
      </c>
      <c r="D2" s="5" t="n">
        <v>2012</v>
      </c>
      <c r="E2" s="5" t="s">
        <v>812</v>
      </c>
      <c r="F2" s="5" t="s">
        <v>815</v>
      </c>
      <c r="G2" s="5" t="s">
        <v>816</v>
      </c>
      <c r="H2" s="5" t="n">
        <v>28.633</v>
      </c>
      <c r="I2" s="5" t="n">
        <v>77.183</v>
      </c>
      <c r="J2" s="5" t="s">
        <v>83</v>
      </c>
      <c r="K2" s="5" t="s">
        <v>2029</v>
      </c>
      <c r="L2" s="5" t="s">
        <v>821</v>
      </c>
      <c r="M2" s="5" t="s">
        <v>85</v>
      </c>
      <c r="N2" s="5" t="s">
        <v>86</v>
      </c>
      <c r="O2" s="5" t="s">
        <v>2030</v>
      </c>
      <c r="P2" s="5"/>
      <c r="Q2" s="5" t="n">
        <f aca="false">ROUND(195*2.24,1)</f>
        <v>436.8</v>
      </c>
      <c r="R2" s="5"/>
      <c r="S2" s="5"/>
      <c r="T2" s="5"/>
      <c r="U2" s="5"/>
      <c r="V2" s="5" t="n">
        <f aca="false">ROUND(223*2.24,1)</f>
        <v>499.5</v>
      </c>
      <c r="W2" s="5"/>
      <c r="X2" s="5"/>
      <c r="Y2" s="5"/>
      <c r="Z2" s="5"/>
      <c r="AA2" s="5"/>
      <c r="AB2" s="5" t="n">
        <v>1</v>
      </c>
      <c r="AC2" s="5" t="n">
        <v>3</v>
      </c>
      <c r="AD2" s="5" t="n">
        <f aca="false">IF(AND(N(AB2)&gt;0,N(AC2)&gt;0),SQRT(2*AB2/AC2),"")</f>
        <v>0.816496580927726</v>
      </c>
      <c r="AE2" s="5" t="n">
        <v>25.4</v>
      </c>
      <c r="AF2" s="5"/>
      <c r="AG2" s="5"/>
      <c r="AH2" s="5"/>
      <c r="AI2" s="5" t="n">
        <v>28.633</v>
      </c>
      <c r="AJ2" s="5" t="n">
        <v>1</v>
      </c>
      <c r="AK2" s="5"/>
      <c r="AL2" s="5"/>
      <c r="AM2" s="5" t="n">
        <v>8.16</v>
      </c>
      <c r="AN2" s="5" t="n">
        <v>5.2</v>
      </c>
      <c r="AO2" s="5" t="n">
        <v>1.5</v>
      </c>
      <c r="AP2" s="5" t="n">
        <v>52.06</v>
      </c>
      <c r="AQ2" s="5" t="n">
        <v>22.54</v>
      </c>
      <c r="AR2" s="5" t="s">
        <v>2622</v>
      </c>
      <c r="AS2" s="5" t="s">
        <v>1482</v>
      </c>
      <c r="AT2" s="5" t="s">
        <v>2031</v>
      </c>
      <c r="AU2" s="5" t="s">
        <v>1484</v>
      </c>
      <c r="AV2" s="5" t="s">
        <v>1870</v>
      </c>
      <c r="AW2" s="23" t="s">
        <v>2623</v>
      </c>
      <c r="AX2" s="5" t="s">
        <v>829</v>
      </c>
      <c r="AY2" s="5" t="s">
        <v>2624</v>
      </c>
      <c r="BA2" s="31" t="s">
        <v>1092</v>
      </c>
    </row>
    <row r="3" customFormat="false" ht="15" hidden="false" customHeight="true" outlineLevel="0" collapsed="false">
      <c r="A3" s="5" t="n">
        <v>165</v>
      </c>
      <c r="B3" s="5" t="n">
        <v>165</v>
      </c>
      <c r="C3" s="5" t="s">
        <v>811</v>
      </c>
      <c r="D3" s="5" t="n">
        <v>2012</v>
      </c>
      <c r="E3" s="5" t="s">
        <v>812</v>
      </c>
      <c r="F3" s="5" t="s">
        <v>815</v>
      </c>
      <c r="G3" s="5" t="s">
        <v>816</v>
      </c>
      <c r="H3" s="5" t="n">
        <v>28.633</v>
      </c>
      <c r="I3" s="5" t="n">
        <v>77.183</v>
      </c>
      <c r="J3" s="5" t="s">
        <v>83</v>
      </c>
      <c r="K3" s="5" t="s">
        <v>2029</v>
      </c>
      <c r="L3" s="5" t="s">
        <v>821</v>
      </c>
      <c r="M3" s="5" t="s">
        <v>85</v>
      </c>
      <c r="N3" s="5" t="s">
        <v>86</v>
      </c>
      <c r="O3" s="5" t="s">
        <v>2030</v>
      </c>
      <c r="P3" s="5"/>
      <c r="Q3" s="5" t="n">
        <f aca="false">ROUND(204*2.24,1)</f>
        <v>457</v>
      </c>
      <c r="R3" s="5"/>
      <c r="S3" s="5"/>
      <c r="T3" s="5"/>
      <c r="U3" s="5"/>
      <c r="V3" s="5" t="n">
        <f aca="false">ROUND(234*2.24,1)</f>
        <v>524.2</v>
      </c>
      <c r="W3" s="5"/>
      <c r="X3" s="5"/>
      <c r="Y3" s="5"/>
      <c r="Z3" s="5"/>
      <c r="AA3" s="5"/>
      <c r="AB3" s="5" t="n">
        <v>1</v>
      </c>
      <c r="AC3" s="5" t="n">
        <v>3</v>
      </c>
      <c r="AD3" s="5" t="n">
        <f aca="false">IF(AND(N(AB3)&gt;0,N(AC3)&gt;0),SQRT(2*AB3/AC3),"")</f>
        <v>0.816496580927726</v>
      </c>
      <c r="AE3" s="5" t="n">
        <v>25.4</v>
      </c>
      <c r="AF3" s="5"/>
      <c r="AG3" s="5"/>
      <c r="AH3" s="5"/>
      <c r="AI3" s="5" t="n">
        <v>28.633</v>
      </c>
      <c r="AJ3" s="5" t="n">
        <v>1</v>
      </c>
      <c r="AK3" s="5"/>
      <c r="AL3" s="5"/>
      <c r="AM3" s="5" t="n">
        <v>8.16</v>
      </c>
      <c r="AN3" s="5" t="n">
        <v>5.2</v>
      </c>
      <c r="AO3" s="5" t="n">
        <v>1.5</v>
      </c>
      <c r="AP3" s="5" t="n">
        <v>52.06</v>
      </c>
      <c r="AQ3" s="5" t="n">
        <v>22.54</v>
      </c>
      <c r="AR3" s="5" t="s">
        <v>2622</v>
      </c>
      <c r="AS3" s="5" t="s">
        <v>1488</v>
      </c>
      <c r="AT3" s="5" t="s">
        <v>2034</v>
      </c>
      <c r="AU3" s="5" t="s">
        <v>1484</v>
      </c>
      <c r="AV3" s="5" t="s">
        <v>1870</v>
      </c>
      <c r="AW3" s="23" t="s">
        <v>2625</v>
      </c>
      <c r="AX3" s="5" t="s">
        <v>829</v>
      </c>
      <c r="AY3" s="5" t="s">
        <v>2624</v>
      </c>
    </row>
    <row r="4" customFormat="false" ht="14.25" hidden="false" customHeight="true" outlineLevel="0" collapsed="false">
      <c r="A4" s="5" t="n">
        <v>165</v>
      </c>
      <c r="B4" s="5" t="n">
        <v>165</v>
      </c>
      <c r="C4" s="5" t="s">
        <v>811</v>
      </c>
      <c r="D4" s="5" t="n">
        <v>2012</v>
      </c>
      <c r="E4" s="5" t="s">
        <v>812</v>
      </c>
      <c r="F4" s="5" t="s">
        <v>815</v>
      </c>
      <c r="G4" s="5" t="s">
        <v>816</v>
      </c>
      <c r="H4" s="5" t="n">
        <v>28.633</v>
      </c>
      <c r="I4" s="5" t="n">
        <v>77.183</v>
      </c>
      <c r="J4" s="5" t="s">
        <v>83</v>
      </c>
      <c r="K4" s="5" t="s">
        <v>1481</v>
      </c>
      <c r="L4" s="5" t="s">
        <v>821</v>
      </c>
      <c r="M4" s="5" t="s">
        <v>85</v>
      </c>
      <c r="N4" s="5" t="s">
        <v>86</v>
      </c>
      <c r="O4" s="5" t="s">
        <v>2030</v>
      </c>
      <c r="P4" s="5"/>
      <c r="Q4" s="5" t="n">
        <f aca="false">ROUND(197*2.24,1)</f>
        <v>441.3</v>
      </c>
      <c r="R4" s="5"/>
      <c r="S4" s="5"/>
      <c r="T4" s="5"/>
      <c r="U4" s="5"/>
      <c r="V4" s="5" t="n">
        <f aca="false">ROUND(227*2.24,1)</f>
        <v>508.5</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2622</v>
      </c>
      <c r="AS4" s="5" t="s">
        <v>1482</v>
      </c>
      <c r="AT4" s="5" t="s">
        <v>2036</v>
      </c>
      <c r="AU4" s="5" t="s">
        <v>1484</v>
      </c>
      <c r="AV4" s="5" t="s">
        <v>1870</v>
      </c>
      <c r="AW4" s="23" t="s">
        <v>2626</v>
      </c>
      <c r="AX4" s="5" t="s">
        <v>829</v>
      </c>
      <c r="AY4" s="5" t="s">
        <v>2624</v>
      </c>
    </row>
    <row r="5" customFormat="false" ht="14.25" hidden="false" customHeight="true" outlineLevel="0" collapsed="false">
      <c r="A5" s="5" t="n">
        <v>165</v>
      </c>
      <c r="B5" s="5" t="n">
        <v>165</v>
      </c>
      <c r="C5" s="5" t="s">
        <v>811</v>
      </c>
      <c r="D5" s="5" t="n">
        <v>2012</v>
      </c>
      <c r="E5" s="5" t="s">
        <v>812</v>
      </c>
      <c r="F5" s="5" t="s">
        <v>815</v>
      </c>
      <c r="G5" s="5" t="s">
        <v>816</v>
      </c>
      <c r="H5" s="5" t="n">
        <v>28.633</v>
      </c>
      <c r="I5" s="5" t="n">
        <v>77.183</v>
      </c>
      <c r="J5" s="5" t="s">
        <v>83</v>
      </c>
      <c r="K5" s="5" t="s">
        <v>1481</v>
      </c>
      <c r="L5" s="5" t="s">
        <v>821</v>
      </c>
      <c r="M5" s="5" t="s">
        <v>85</v>
      </c>
      <c r="N5" s="5" t="s">
        <v>86</v>
      </c>
      <c r="O5" s="5" t="s">
        <v>2030</v>
      </c>
      <c r="P5" s="5"/>
      <c r="Q5" s="5" t="n">
        <f aca="false">ROUND(207*2.24,1)</f>
        <v>463.7</v>
      </c>
      <c r="R5" s="5"/>
      <c r="S5" s="5"/>
      <c r="T5" s="5"/>
      <c r="U5" s="5"/>
      <c r="V5" s="5" t="n">
        <f aca="false">ROUND(241*2.24,1)</f>
        <v>539.8</v>
      </c>
      <c r="W5" s="5"/>
      <c r="X5" s="5"/>
      <c r="Y5" s="5"/>
      <c r="Z5" s="5"/>
      <c r="AA5" s="5"/>
      <c r="AB5" s="5" t="n">
        <v>1</v>
      </c>
      <c r="AC5" s="5" t="n">
        <v>3</v>
      </c>
      <c r="AD5" s="5" t="n">
        <f aca="false">IF(AND(N(AB5)&gt;0,N(AC5)&gt;0),SQRT(2*AB5/AC5),"")</f>
        <v>0.816496580927726</v>
      </c>
      <c r="AE5" s="5" t="n">
        <v>25.4</v>
      </c>
      <c r="AF5" s="5"/>
      <c r="AG5" s="5"/>
      <c r="AH5" s="5"/>
      <c r="AI5" s="5" t="n">
        <v>28.633</v>
      </c>
      <c r="AJ5" s="5" t="n">
        <v>2</v>
      </c>
      <c r="AK5" s="5"/>
      <c r="AL5" s="5"/>
      <c r="AM5" s="5" t="n">
        <v>8.16</v>
      </c>
      <c r="AN5" s="5" t="n">
        <v>5.2</v>
      </c>
      <c r="AO5" s="5" t="n">
        <v>1.5</v>
      </c>
      <c r="AP5" s="5" t="n">
        <v>52.06</v>
      </c>
      <c r="AQ5" s="5" t="n">
        <v>22.54</v>
      </c>
      <c r="AR5" s="5" t="s">
        <v>2622</v>
      </c>
      <c r="AS5" s="5" t="s">
        <v>1488</v>
      </c>
      <c r="AT5" s="5" t="s">
        <v>2037</v>
      </c>
      <c r="AU5" s="5" t="s">
        <v>1484</v>
      </c>
      <c r="AV5" s="5" t="s">
        <v>1870</v>
      </c>
      <c r="AW5" s="23" t="s">
        <v>2627</v>
      </c>
      <c r="AX5" s="5" t="s">
        <v>829</v>
      </c>
      <c r="AY5" s="5" t="s">
        <v>2624</v>
      </c>
    </row>
    <row r="6" customFormat="false" ht="14.25" hidden="false" customHeight="true" outlineLevel="0" collapsed="false">
      <c r="A6" s="5" t="n">
        <v>164</v>
      </c>
      <c r="B6" s="5" t="n">
        <v>164</v>
      </c>
      <c r="C6" s="5" t="s">
        <v>791</v>
      </c>
      <c r="D6" s="5" t="n">
        <v>2000</v>
      </c>
      <c r="E6" s="5" t="s">
        <v>792</v>
      </c>
      <c r="F6" s="5" t="s">
        <v>866</v>
      </c>
      <c r="G6" s="5" t="s">
        <v>2038</v>
      </c>
      <c r="H6" s="5" t="n">
        <v>30.933</v>
      </c>
      <c r="I6" s="5" t="n">
        <v>75.867</v>
      </c>
      <c r="J6" s="5" t="s">
        <v>870</v>
      </c>
      <c r="K6" s="5" t="s">
        <v>2039</v>
      </c>
      <c r="L6" s="5" t="s">
        <v>802</v>
      </c>
      <c r="M6" s="5" t="s">
        <v>85</v>
      </c>
      <c r="N6" s="5" t="s">
        <v>86</v>
      </c>
      <c r="O6" s="5" t="s">
        <v>1472</v>
      </c>
      <c r="P6" s="5"/>
      <c r="Q6" s="5" t="n">
        <f aca="false">ROUND(48.5*2.24,1)</f>
        <v>108.6</v>
      </c>
      <c r="R6" s="5"/>
      <c r="S6" s="5"/>
      <c r="T6" s="5"/>
      <c r="U6" s="5"/>
      <c r="V6" s="5" t="n">
        <f aca="false">ROUND(51.5*2.24,1)</f>
        <v>115.4</v>
      </c>
      <c r="W6" s="5"/>
      <c r="X6" s="5"/>
      <c r="Y6" s="5"/>
      <c r="Z6" s="5"/>
      <c r="AA6" s="5"/>
      <c r="AB6" s="5" t="n">
        <v>1</v>
      </c>
      <c r="AC6" s="5" t="n">
        <v>4</v>
      </c>
      <c r="AD6" s="5" t="n">
        <f aca="false">IF(AND(N(AB6)&gt;0,N(AC6)&gt;0),SQRT(2*AB6/AC6),"")</f>
        <v>0.707106781186548</v>
      </c>
      <c r="AE6" s="5"/>
      <c r="AF6" s="5"/>
      <c r="AG6" s="5"/>
      <c r="AH6" s="5" t="n">
        <v>500</v>
      </c>
      <c r="AI6" s="5" t="n">
        <v>30.933</v>
      </c>
      <c r="AJ6" s="5" t="n">
        <v>15</v>
      </c>
      <c r="AK6" s="5"/>
      <c r="AL6" s="5"/>
      <c r="AM6" s="5"/>
      <c r="AN6" s="5" t="n">
        <v>3.1</v>
      </c>
      <c r="AO6" s="5"/>
      <c r="AP6" s="5"/>
      <c r="AQ6" s="5"/>
      <c r="AR6" s="5" t="s">
        <v>2628</v>
      </c>
      <c r="AS6" s="5" t="s">
        <v>2040</v>
      </c>
      <c r="AT6" s="5" t="s">
        <v>2041</v>
      </c>
      <c r="AU6" s="5" t="s">
        <v>2042</v>
      </c>
      <c r="AV6" s="5" t="s">
        <v>2629</v>
      </c>
      <c r="AW6" s="23" t="s">
        <v>2630</v>
      </c>
      <c r="AX6" s="5" t="s">
        <v>807</v>
      </c>
      <c r="AY6" s="5" t="s">
        <v>2631</v>
      </c>
    </row>
    <row r="7" customFormat="false" ht="14.25" hidden="false" customHeight="true" outlineLevel="0" collapsed="false">
      <c r="A7" s="5" t="n">
        <v>164</v>
      </c>
      <c r="B7" s="5" t="n">
        <v>164</v>
      </c>
      <c r="C7" s="5" t="s">
        <v>791</v>
      </c>
      <c r="D7" s="5" t="n">
        <v>2000</v>
      </c>
      <c r="E7" s="5" t="s">
        <v>792</v>
      </c>
      <c r="F7" s="5" t="s">
        <v>1415</v>
      </c>
      <c r="G7" s="5" t="s">
        <v>2046</v>
      </c>
      <c r="H7" s="5" t="n">
        <v>29</v>
      </c>
      <c r="I7" s="5" t="n">
        <v>79.083</v>
      </c>
      <c r="J7" s="5" t="s">
        <v>83</v>
      </c>
      <c r="K7" s="5" t="s">
        <v>2039</v>
      </c>
      <c r="L7" s="5" t="s">
        <v>802</v>
      </c>
      <c r="M7" s="5" t="s">
        <v>85</v>
      </c>
      <c r="N7" s="5" t="s">
        <v>86</v>
      </c>
      <c r="O7" s="5" t="s">
        <v>1472</v>
      </c>
      <c r="P7" s="5"/>
      <c r="Q7" s="5" t="n">
        <f aca="false">ROUND(53.75*2.24,1)</f>
        <v>120.4</v>
      </c>
      <c r="R7" s="5"/>
      <c r="S7" s="5"/>
      <c r="T7" s="5"/>
      <c r="U7" s="5"/>
      <c r="V7" s="5" t="n">
        <f aca="false">ROUND(55*2.24,1)</f>
        <v>123.2</v>
      </c>
      <c r="W7" s="5"/>
      <c r="X7" s="5"/>
      <c r="Y7" s="5"/>
      <c r="Z7" s="5"/>
      <c r="AA7" s="5"/>
      <c r="AB7" s="5" t="n">
        <v>1</v>
      </c>
      <c r="AC7" s="5" t="n">
        <v>4</v>
      </c>
      <c r="AD7" s="5" t="n">
        <f aca="false">IF(AND(N(AB7)&gt;0,N(AC7)&gt;0),SQRT(2*AB7/AC7),"")</f>
        <v>0.707106781186548</v>
      </c>
      <c r="AE7" s="5"/>
      <c r="AF7" s="5"/>
      <c r="AG7" s="5"/>
      <c r="AH7" s="5" t="n">
        <v>1350</v>
      </c>
      <c r="AI7" s="5" t="n">
        <v>29</v>
      </c>
      <c r="AJ7" s="5" t="n">
        <v>15</v>
      </c>
      <c r="AK7" s="5"/>
      <c r="AL7" s="5"/>
      <c r="AM7" s="5"/>
      <c r="AN7" s="5" t="n">
        <v>14.2</v>
      </c>
      <c r="AO7" s="5"/>
      <c r="AP7" s="5"/>
      <c r="AQ7" s="5"/>
      <c r="AR7" s="5" t="s">
        <v>2628</v>
      </c>
      <c r="AS7" s="5" t="s">
        <v>2040</v>
      </c>
      <c r="AT7" s="5" t="s">
        <v>2041</v>
      </c>
      <c r="AU7" s="5" t="s">
        <v>2047</v>
      </c>
      <c r="AV7" s="5" t="s">
        <v>2629</v>
      </c>
      <c r="AW7" s="23" t="s">
        <v>2632</v>
      </c>
      <c r="AX7" s="5" t="s">
        <v>807</v>
      </c>
      <c r="AY7" s="5" t="s">
        <v>2631</v>
      </c>
    </row>
    <row r="8" customFormat="false" ht="14.25" hidden="false" customHeight="true" outlineLevel="0" collapsed="false">
      <c r="A8" s="5" t="n">
        <v>164</v>
      </c>
      <c r="B8" s="5" t="n">
        <v>164</v>
      </c>
      <c r="C8" s="5" t="s">
        <v>791</v>
      </c>
      <c r="D8" s="5" t="n">
        <v>2000</v>
      </c>
      <c r="E8" s="5" t="s">
        <v>792</v>
      </c>
      <c r="F8" s="5" t="s">
        <v>836</v>
      </c>
      <c r="G8" s="5" t="s">
        <v>2049</v>
      </c>
      <c r="H8" s="5" t="n">
        <v>26.967</v>
      </c>
      <c r="I8" s="5" t="n">
        <v>80.567</v>
      </c>
      <c r="J8" s="5" t="s">
        <v>83</v>
      </c>
      <c r="K8" s="5" t="s">
        <v>2039</v>
      </c>
      <c r="L8" s="5" t="s">
        <v>802</v>
      </c>
      <c r="M8" s="5"/>
      <c r="N8" s="5" t="s">
        <v>86</v>
      </c>
      <c r="O8" s="5" t="s">
        <v>1472</v>
      </c>
      <c r="P8" s="5"/>
      <c r="Q8" s="5" t="n">
        <f aca="false">ROUND(73.25*2.24,1)</f>
        <v>164.1</v>
      </c>
      <c r="R8" s="5"/>
      <c r="S8" s="5"/>
      <c r="T8" s="5"/>
      <c r="U8" s="5"/>
      <c r="V8" s="5" t="n">
        <f aca="false">ROUND(75.25*2.24,1)</f>
        <v>168.6</v>
      </c>
      <c r="W8" s="5"/>
      <c r="X8" s="5"/>
      <c r="Y8" s="5"/>
      <c r="Z8" s="5"/>
      <c r="AA8" s="5"/>
      <c r="AB8" s="5" t="n">
        <v>1</v>
      </c>
      <c r="AC8" s="5" t="n">
        <v>4</v>
      </c>
      <c r="AD8" s="5" t="n">
        <f aca="false">IF(AND(N(AB8)&gt;0,N(AC8)&gt;0),SQRT(2*AB8/AC8),"")</f>
        <v>0.707106781186548</v>
      </c>
      <c r="AE8" s="5"/>
      <c r="AF8" s="5"/>
      <c r="AG8" s="5"/>
      <c r="AH8" s="5" t="n">
        <v>818</v>
      </c>
      <c r="AI8" s="5" t="n">
        <v>26.967</v>
      </c>
      <c r="AJ8" s="5" t="n">
        <v>13</v>
      </c>
      <c r="AK8" s="5"/>
      <c r="AL8" s="5"/>
      <c r="AM8" s="5" t="n">
        <v>8</v>
      </c>
      <c r="AN8" s="5" t="n">
        <v>2.9</v>
      </c>
      <c r="AO8" s="5"/>
      <c r="AP8" s="5"/>
      <c r="AQ8" s="5"/>
      <c r="AR8" s="5" t="s">
        <v>2628</v>
      </c>
      <c r="AS8" s="5" t="s">
        <v>2040</v>
      </c>
      <c r="AT8" s="5" t="s">
        <v>2041</v>
      </c>
      <c r="AU8" s="5" t="s">
        <v>2050</v>
      </c>
      <c r="AV8" s="5" t="s">
        <v>2629</v>
      </c>
      <c r="AW8" s="23" t="s">
        <v>2633</v>
      </c>
      <c r="AX8" s="5" t="s">
        <v>807</v>
      </c>
      <c r="AY8" s="5" t="s">
        <v>2631</v>
      </c>
    </row>
    <row r="9" customFormat="false" ht="14.25" hidden="false" customHeight="true" outlineLevel="0" collapsed="false">
      <c r="A9" s="5" t="n">
        <v>164</v>
      </c>
      <c r="B9" s="5" t="n">
        <v>164</v>
      </c>
      <c r="C9" s="5" t="s">
        <v>791</v>
      </c>
      <c r="D9" s="5" t="n">
        <v>2000</v>
      </c>
      <c r="E9" s="5" t="s">
        <v>792</v>
      </c>
      <c r="F9" s="5" t="s">
        <v>836</v>
      </c>
      <c r="G9" s="5" t="s">
        <v>2052</v>
      </c>
      <c r="H9" s="5" t="n">
        <v>26.067</v>
      </c>
      <c r="I9" s="5" t="n">
        <v>82.133</v>
      </c>
      <c r="J9" s="5" t="s">
        <v>83</v>
      </c>
      <c r="K9" s="5" t="s">
        <v>2039</v>
      </c>
      <c r="L9" s="5" t="s">
        <v>802</v>
      </c>
      <c r="M9" s="5" t="s">
        <v>85</v>
      </c>
      <c r="N9" s="5" t="s">
        <v>86</v>
      </c>
      <c r="O9" s="5" t="s">
        <v>1472</v>
      </c>
      <c r="P9" s="5"/>
      <c r="Q9" s="5" t="n">
        <f aca="false">ROUND(134*2.24,1)</f>
        <v>300.2</v>
      </c>
      <c r="R9" s="5"/>
      <c r="S9" s="5"/>
      <c r="T9" s="5"/>
      <c r="U9" s="5"/>
      <c r="V9" s="5" t="n">
        <f aca="false">ROUND(145.75*2.24,1)</f>
        <v>326.5</v>
      </c>
      <c r="W9" s="5"/>
      <c r="X9" s="5"/>
      <c r="Y9" s="5"/>
      <c r="Z9" s="5"/>
      <c r="AA9" s="5"/>
      <c r="AB9" s="5" t="n">
        <v>1</v>
      </c>
      <c r="AC9" s="5" t="n">
        <v>4</v>
      </c>
      <c r="AD9" s="5" t="n">
        <f aca="false">IF(AND(N(AB9)&gt;0,N(AC9)&gt;0),SQRT(2*AB9/AC9),"")</f>
        <v>0.707106781186548</v>
      </c>
      <c r="AE9" s="5"/>
      <c r="AF9" s="5"/>
      <c r="AG9" s="5"/>
      <c r="AH9" s="5" t="n">
        <v>1100</v>
      </c>
      <c r="AI9" s="5" t="n">
        <v>26.067</v>
      </c>
      <c r="AJ9" s="5" t="n">
        <v>14</v>
      </c>
      <c r="AK9" s="5"/>
      <c r="AL9" s="5"/>
      <c r="AM9" s="5"/>
      <c r="AN9" s="5" t="n">
        <v>3.7</v>
      </c>
      <c r="AO9" s="5"/>
      <c r="AP9" s="5"/>
      <c r="AQ9" s="5"/>
      <c r="AR9" s="5" t="s">
        <v>2628</v>
      </c>
      <c r="AS9" s="5" t="s">
        <v>2040</v>
      </c>
      <c r="AT9" s="5" t="s">
        <v>2041</v>
      </c>
      <c r="AU9" s="5" t="s">
        <v>2053</v>
      </c>
      <c r="AV9" s="5" t="s">
        <v>2629</v>
      </c>
      <c r="AW9" s="23" t="s">
        <v>2634</v>
      </c>
      <c r="AX9" s="5" t="s">
        <v>807</v>
      </c>
      <c r="AY9" s="5" t="s">
        <v>2631</v>
      </c>
    </row>
    <row r="10" customFormat="false" ht="14.25" hidden="false" customHeight="true" outlineLevel="0" collapsed="false">
      <c r="A10" s="5" t="n">
        <v>164</v>
      </c>
      <c r="B10" s="5" t="n">
        <v>164</v>
      </c>
      <c r="C10" s="5" t="s">
        <v>791</v>
      </c>
      <c r="D10" s="5" t="n">
        <v>2000</v>
      </c>
      <c r="E10" s="5" t="s">
        <v>792</v>
      </c>
      <c r="F10" s="5" t="s">
        <v>1427</v>
      </c>
      <c r="G10" s="5" t="s">
        <v>2055</v>
      </c>
      <c r="H10" s="5" t="n">
        <v>25.233</v>
      </c>
      <c r="I10" s="5" t="n">
        <v>87.067</v>
      </c>
      <c r="J10" s="5" t="s">
        <v>83</v>
      </c>
      <c r="K10" s="5" t="s">
        <v>2039</v>
      </c>
      <c r="L10" s="5" t="s">
        <v>802</v>
      </c>
      <c r="M10" s="5" t="s">
        <v>2056</v>
      </c>
      <c r="N10" s="5" t="s">
        <v>86</v>
      </c>
      <c r="O10" s="5" t="s">
        <v>1472</v>
      </c>
      <c r="P10" s="5"/>
      <c r="Q10" s="5" t="n">
        <f aca="false">ROUND(55.25*2.24,1)</f>
        <v>123.8</v>
      </c>
      <c r="R10" s="5"/>
      <c r="S10" s="5"/>
      <c r="T10" s="5"/>
      <c r="U10" s="5"/>
      <c r="V10" s="5" t="n">
        <f aca="false">ROUND(54.25*2.24,1)</f>
        <v>121.5</v>
      </c>
      <c r="W10" s="5"/>
      <c r="X10" s="5"/>
      <c r="Y10" s="5"/>
      <c r="Z10" s="5"/>
      <c r="AA10" s="5"/>
      <c r="AB10" s="5" t="n">
        <v>1</v>
      </c>
      <c r="AC10" s="5" t="n">
        <v>4</v>
      </c>
      <c r="AD10" s="5" t="n">
        <f aca="false">IF(AND(N(AB10)&gt;0,N(AC10)&gt;0),SQRT(2*AB10/AC10),"")</f>
        <v>0.707106781186548</v>
      </c>
      <c r="AE10" s="5"/>
      <c r="AF10" s="5"/>
      <c r="AG10" s="5"/>
      <c r="AH10" s="5" t="n">
        <v>1358</v>
      </c>
      <c r="AI10" s="5" t="n">
        <v>25.233</v>
      </c>
      <c r="AJ10" s="5" t="n">
        <v>12</v>
      </c>
      <c r="AK10" s="5"/>
      <c r="AL10" s="5"/>
      <c r="AM10" s="5"/>
      <c r="AN10" s="5" t="n">
        <v>4.6</v>
      </c>
      <c r="AO10" s="5"/>
      <c r="AP10" s="5"/>
      <c r="AQ10" s="5"/>
      <c r="AR10" s="5" t="s">
        <v>2628</v>
      </c>
      <c r="AS10" s="5" t="s">
        <v>2040</v>
      </c>
      <c r="AT10" s="5" t="s">
        <v>2041</v>
      </c>
      <c r="AU10" s="5" t="s">
        <v>2057</v>
      </c>
      <c r="AV10" s="5" t="s">
        <v>2629</v>
      </c>
      <c r="AW10" s="23" t="s">
        <v>2635</v>
      </c>
      <c r="AX10" s="5" t="s">
        <v>807</v>
      </c>
      <c r="AY10" s="5" t="s">
        <v>2631</v>
      </c>
    </row>
    <row r="11" customFormat="false" ht="14.25" hidden="false" customHeight="true" outlineLevel="0" collapsed="false">
      <c r="A11" s="5" t="n">
        <v>164</v>
      </c>
      <c r="B11" s="5" t="n">
        <v>164</v>
      </c>
      <c r="C11" s="5" t="s">
        <v>791</v>
      </c>
      <c r="D11" s="5" t="n">
        <v>2000</v>
      </c>
      <c r="E11" s="5" t="s">
        <v>792</v>
      </c>
      <c r="F11" s="5" t="s">
        <v>1431</v>
      </c>
      <c r="G11" s="5" t="s">
        <v>2059</v>
      </c>
      <c r="H11" s="5" t="n">
        <v>23</v>
      </c>
      <c r="I11" s="5" t="n">
        <v>89</v>
      </c>
      <c r="J11" s="5" t="s">
        <v>83</v>
      </c>
      <c r="K11" s="5" t="s">
        <v>2060</v>
      </c>
      <c r="L11" s="5" t="s">
        <v>802</v>
      </c>
      <c r="M11" s="5"/>
      <c r="N11" s="5" t="s">
        <v>86</v>
      </c>
      <c r="O11" s="5" t="s">
        <v>1472</v>
      </c>
      <c r="P11" s="5"/>
      <c r="Q11" s="5" t="n">
        <f aca="false">ROUND(102.75*2.24,1)</f>
        <v>230.2</v>
      </c>
      <c r="R11" s="5"/>
      <c r="S11" s="5"/>
      <c r="T11" s="5"/>
      <c r="U11" s="5"/>
      <c r="V11" s="5" t="n">
        <f aca="false">ROUND(69*2.24,1)</f>
        <v>154.6</v>
      </c>
      <c r="W11" s="5"/>
      <c r="X11" s="5"/>
      <c r="Y11" s="5"/>
      <c r="Z11" s="5"/>
      <c r="AA11" s="5"/>
      <c r="AB11" s="5" t="n">
        <v>1</v>
      </c>
      <c r="AC11" s="5" t="n">
        <v>4</v>
      </c>
      <c r="AD11" s="5" t="n">
        <f aca="false">IF(AND(N(AB11)&gt;0,N(AC11)&gt;0),SQRT(2*AB11/AC11),"")</f>
        <v>0.707106781186548</v>
      </c>
      <c r="AE11" s="5"/>
      <c r="AF11" s="5"/>
      <c r="AG11" s="5"/>
      <c r="AH11" s="5"/>
      <c r="AI11" s="5" t="n">
        <v>23</v>
      </c>
      <c r="AJ11" s="5" t="n">
        <v>13</v>
      </c>
      <c r="AK11" s="5"/>
      <c r="AL11" s="5"/>
      <c r="AM11" s="5"/>
      <c r="AN11" s="5" t="n">
        <v>9.2</v>
      </c>
      <c r="AO11" s="5"/>
      <c r="AP11" s="5"/>
      <c r="AQ11" s="5"/>
      <c r="AR11" s="5" t="s">
        <v>2628</v>
      </c>
      <c r="AS11" s="5" t="s">
        <v>2040</v>
      </c>
      <c r="AT11" s="5" t="s">
        <v>2061</v>
      </c>
      <c r="AU11" s="5" t="s">
        <v>2062</v>
      </c>
      <c r="AV11" s="5" t="s">
        <v>2629</v>
      </c>
      <c r="AW11" s="23" t="s">
        <v>2636</v>
      </c>
      <c r="AX11" s="5" t="s">
        <v>807</v>
      </c>
      <c r="AY11" s="5" t="s">
        <v>2631</v>
      </c>
    </row>
    <row r="12" customFormat="false" ht="14.25" hidden="false" customHeight="true" outlineLevel="0" collapsed="false">
      <c r="A12" s="5" t="n">
        <v>164</v>
      </c>
      <c r="B12" s="5" t="n">
        <v>164</v>
      </c>
      <c r="C12" s="5" t="s">
        <v>791</v>
      </c>
      <c r="D12" s="5" t="n">
        <v>2000</v>
      </c>
      <c r="E12" s="5" t="s">
        <v>792</v>
      </c>
      <c r="F12" s="5" t="s">
        <v>1436</v>
      </c>
      <c r="G12" s="5" t="s">
        <v>2064</v>
      </c>
      <c r="H12" s="5" t="n">
        <v>23.167</v>
      </c>
      <c r="I12" s="5" t="n">
        <v>79.95</v>
      </c>
      <c r="J12" s="5" t="s">
        <v>83</v>
      </c>
      <c r="K12" s="5" t="s">
        <v>2039</v>
      </c>
      <c r="L12" s="5" t="s">
        <v>802</v>
      </c>
      <c r="M12" s="5" t="s">
        <v>2056</v>
      </c>
      <c r="N12" s="5" t="s">
        <v>86</v>
      </c>
      <c r="O12" s="5" t="s">
        <v>1472</v>
      </c>
      <c r="P12" s="5"/>
      <c r="Q12" s="5" t="n">
        <f aca="false">ROUND(268.75*2.24,1)</f>
        <v>602</v>
      </c>
      <c r="R12" s="5"/>
      <c r="S12" s="5"/>
      <c r="T12" s="5"/>
      <c r="U12" s="5"/>
      <c r="V12" s="5" t="n">
        <f aca="false">ROUND(291.25*2.24,1)</f>
        <v>652.4</v>
      </c>
      <c r="W12" s="5"/>
      <c r="X12" s="5"/>
      <c r="Y12" s="5"/>
      <c r="Z12" s="5"/>
      <c r="AA12" s="5"/>
      <c r="AB12" s="5" t="n">
        <v>1</v>
      </c>
      <c r="AC12" s="5" t="n">
        <v>4</v>
      </c>
      <c r="AD12" s="5" t="n">
        <f aca="false">IF(AND(N(AB12)&gt;0,N(AC12)&gt;0),SQRT(2*AB12/AC12),"")</f>
        <v>0.707106781186548</v>
      </c>
      <c r="AE12" s="5"/>
      <c r="AF12" s="5"/>
      <c r="AG12" s="5"/>
      <c r="AH12" s="5" t="n">
        <v>850</v>
      </c>
      <c r="AI12" s="5" t="n">
        <v>23.167</v>
      </c>
      <c r="AJ12" s="5" t="n">
        <v>12</v>
      </c>
      <c r="AK12" s="5"/>
      <c r="AL12" s="5"/>
      <c r="AM12" s="5"/>
      <c r="AN12" s="5" t="n">
        <v>6.9</v>
      </c>
      <c r="AO12" s="5"/>
      <c r="AP12" s="5"/>
      <c r="AQ12" s="5"/>
      <c r="AR12" s="5" t="s">
        <v>2628</v>
      </c>
      <c r="AS12" s="5" t="s">
        <v>2040</v>
      </c>
      <c r="AT12" s="5" t="s">
        <v>2041</v>
      </c>
      <c r="AU12" s="5" t="s">
        <v>2065</v>
      </c>
      <c r="AV12" s="5" t="s">
        <v>2629</v>
      </c>
      <c r="AW12" s="23" t="s">
        <v>2637</v>
      </c>
      <c r="AX12" s="5" t="s">
        <v>807</v>
      </c>
      <c r="AY12" s="5" t="s">
        <v>2631</v>
      </c>
    </row>
    <row r="13" customFormat="false" ht="14.25" hidden="false" customHeight="true" outlineLevel="0" collapsed="false">
      <c r="A13" s="5" t="s">
        <v>931</v>
      </c>
      <c r="B13" s="5" t="s">
        <v>931</v>
      </c>
      <c r="C13" s="5" t="s">
        <v>932</v>
      </c>
      <c r="D13" s="5" t="n">
        <v>2023</v>
      </c>
      <c r="E13" s="5" t="s">
        <v>933</v>
      </c>
      <c r="F13" s="5" t="s">
        <v>936</v>
      </c>
      <c r="G13" s="5" t="s">
        <v>937</v>
      </c>
      <c r="H13" s="5" t="n">
        <v>35.27</v>
      </c>
      <c r="I13" s="5" t="n">
        <v>119.38</v>
      </c>
      <c r="J13" s="5" t="s">
        <v>870</v>
      </c>
      <c r="K13" s="5" t="n">
        <v>2020</v>
      </c>
      <c r="L13" s="5" t="s">
        <v>821</v>
      </c>
      <c r="M13" s="5"/>
      <c r="N13" s="5" t="s">
        <v>86</v>
      </c>
      <c r="O13" s="5" t="s">
        <v>1491</v>
      </c>
      <c r="P13" s="5" t="n">
        <f aca="false">ROUND(106.36*BD!P8*10*0.1,1)</f>
        <v>147</v>
      </c>
      <c r="Q13" s="5"/>
      <c r="R13" s="5"/>
      <c r="S13" s="5"/>
      <c r="T13" s="5"/>
      <c r="U13" s="5"/>
      <c r="V13" s="5"/>
      <c r="W13" s="5"/>
      <c r="X13" s="5" t="n">
        <f aca="false">ROUND(102.55*BD!X8*10*0.1,1)</f>
        <v>144.4</v>
      </c>
      <c r="Y13" s="5"/>
      <c r="Z13" s="5"/>
      <c r="AA13" s="5"/>
      <c r="AB13" s="5" t="n">
        <v>1</v>
      </c>
      <c r="AC13" s="5" t="n">
        <v>3</v>
      </c>
      <c r="AD13" s="5" t="n">
        <f aca="false">IF(AND(N(AB13)&gt;0,N(AC13)&gt;0),SQRT(2*AB13/AC13),"")</f>
        <v>0.816496580927726</v>
      </c>
      <c r="AE13" s="5"/>
      <c r="AF13" s="5"/>
      <c r="AG13" s="5"/>
      <c r="AH13" s="5" t="n">
        <v>916</v>
      </c>
      <c r="AI13" s="5" t="n">
        <v>35.27</v>
      </c>
      <c r="AJ13" s="5" t="n">
        <v>3</v>
      </c>
      <c r="AK13" s="5" t="n">
        <v>12.6</v>
      </c>
      <c r="AL13" s="5"/>
      <c r="AM13" s="5" t="n">
        <v>6.8</v>
      </c>
      <c r="AN13" s="5" t="n">
        <v>5.75</v>
      </c>
      <c r="AO13" s="5" t="n">
        <v>1.423</v>
      </c>
      <c r="AP13" s="5"/>
      <c r="AQ13" s="5"/>
      <c r="AR13" s="5" t="s">
        <v>2638</v>
      </c>
      <c r="AS13" s="5" t="s">
        <v>1492</v>
      </c>
      <c r="AT13" s="5" t="s">
        <v>1633</v>
      </c>
      <c r="AU13" s="5" t="s">
        <v>1494</v>
      </c>
      <c r="AV13" s="5" t="s">
        <v>1713</v>
      </c>
      <c r="AW13" s="23" t="s">
        <v>2639</v>
      </c>
      <c r="AX13" s="5" t="s">
        <v>947</v>
      </c>
      <c r="AY13" s="5" t="s">
        <v>2640</v>
      </c>
    </row>
    <row r="14" customFormat="false" ht="14.25" hidden="false" customHeight="true" outlineLevel="0" collapsed="false">
      <c r="A14" s="5" t="s">
        <v>931</v>
      </c>
      <c r="B14" s="5" t="s">
        <v>931</v>
      </c>
      <c r="C14" s="5" t="s">
        <v>932</v>
      </c>
      <c r="D14" s="5" t="n">
        <v>2023</v>
      </c>
      <c r="E14" s="5" t="s">
        <v>933</v>
      </c>
      <c r="F14" s="5" t="s">
        <v>936</v>
      </c>
      <c r="G14" s="5" t="s">
        <v>937</v>
      </c>
      <c r="H14" s="5" t="n">
        <v>35.27</v>
      </c>
      <c r="I14" s="5" t="n">
        <v>119.38</v>
      </c>
      <c r="J14" s="5" t="s">
        <v>870</v>
      </c>
      <c r="K14" s="5" t="n">
        <v>2020</v>
      </c>
      <c r="L14" s="5" t="s">
        <v>821</v>
      </c>
      <c r="M14" s="5"/>
      <c r="N14" s="5" t="s">
        <v>1479</v>
      </c>
      <c r="O14" s="5" t="s">
        <v>1500</v>
      </c>
      <c r="P14" s="5" t="n">
        <f aca="false">ROUND(90.56*BD!P11*10*0.1,1)</f>
        <v>131.8</v>
      </c>
      <c r="Q14" s="5"/>
      <c r="R14" s="5"/>
      <c r="S14" s="5"/>
      <c r="T14" s="5"/>
      <c r="U14" s="5"/>
      <c r="V14" s="5"/>
      <c r="W14" s="5"/>
      <c r="X14" s="5" t="n">
        <f aca="false">ROUND(99.47*BD!X11*10*0.1,1)</f>
        <v>143.3</v>
      </c>
      <c r="Y14" s="5"/>
      <c r="Z14" s="5"/>
      <c r="AA14" s="5"/>
      <c r="AB14" s="5" t="n">
        <v>2</v>
      </c>
      <c r="AC14" s="5" t="n">
        <v>3</v>
      </c>
      <c r="AD14" s="5" t="n">
        <f aca="false">IF(AND(N(AB14)&gt;0,N(AC14)&gt;0),SQRT(2*AB14/AC14),"")</f>
        <v>1.15470053837925</v>
      </c>
      <c r="AE14" s="5"/>
      <c r="AF14" s="5"/>
      <c r="AG14" s="5"/>
      <c r="AH14" s="5" t="n">
        <v>916</v>
      </c>
      <c r="AI14" s="5" t="n">
        <v>35.27</v>
      </c>
      <c r="AJ14" s="5" t="n">
        <v>3</v>
      </c>
      <c r="AK14" s="5" t="n">
        <v>12.6</v>
      </c>
      <c r="AL14" s="5"/>
      <c r="AM14" s="5" t="n">
        <v>6.8</v>
      </c>
      <c r="AN14" s="5" t="n">
        <v>5.75</v>
      </c>
      <c r="AO14" s="5" t="n">
        <v>1.423</v>
      </c>
      <c r="AP14" s="5"/>
      <c r="AQ14" s="5"/>
      <c r="AR14" s="5" t="s">
        <v>2638</v>
      </c>
      <c r="AS14" s="5" t="s">
        <v>1492</v>
      </c>
      <c r="AT14" s="5" t="s">
        <v>1633</v>
      </c>
      <c r="AU14" s="5" t="s">
        <v>1494</v>
      </c>
      <c r="AV14" s="5" t="s">
        <v>1713</v>
      </c>
      <c r="AW14" s="23" t="s">
        <v>2641</v>
      </c>
      <c r="AX14" s="5" t="s">
        <v>947</v>
      </c>
      <c r="AY14" s="5" t="s">
        <v>2640</v>
      </c>
    </row>
    <row r="15" customFormat="false" ht="14.25" hidden="false" customHeight="true" outlineLevel="0" collapsed="false">
      <c r="A15" s="5" t="s">
        <v>931</v>
      </c>
      <c r="B15" s="5" t="s">
        <v>931</v>
      </c>
      <c r="C15" s="5" t="s">
        <v>932</v>
      </c>
      <c r="D15" s="5" t="n">
        <v>2023</v>
      </c>
      <c r="E15" s="5" t="s">
        <v>933</v>
      </c>
      <c r="F15" s="5" t="s">
        <v>936</v>
      </c>
      <c r="G15" s="5" t="s">
        <v>937</v>
      </c>
      <c r="H15" s="5" t="n">
        <v>35.27</v>
      </c>
      <c r="I15" s="5" t="n">
        <v>119.38</v>
      </c>
      <c r="J15" s="5" t="s">
        <v>870</v>
      </c>
      <c r="K15" s="5" t="n">
        <v>2020</v>
      </c>
      <c r="L15" s="5" t="s">
        <v>821</v>
      </c>
      <c r="M15" s="5"/>
      <c r="N15" s="5" t="s">
        <v>1479</v>
      </c>
      <c r="O15" s="5" t="s">
        <v>1502</v>
      </c>
      <c r="P15" s="5" t="n">
        <f aca="false">ROUND(80.56*BD!P14*10*0.1,1)</f>
        <v>119.5</v>
      </c>
      <c r="Q15" s="5"/>
      <c r="R15" s="5"/>
      <c r="S15" s="5"/>
      <c r="T15" s="5"/>
      <c r="U15" s="5"/>
      <c r="V15" s="5"/>
      <c r="W15" s="5"/>
      <c r="X15" s="5" t="n">
        <f aca="false">ROUND(69.47*BD!X14*10*0.1,1)</f>
        <v>106.5</v>
      </c>
      <c r="Y15" s="5"/>
      <c r="Z15" s="5"/>
      <c r="AA15" s="5"/>
      <c r="AB15" s="5" t="n">
        <v>2</v>
      </c>
      <c r="AC15" s="5" t="n">
        <v>3</v>
      </c>
      <c r="AD15" s="5" t="n">
        <f aca="false">IF(AND(N(AB15)&gt;0,N(AC15)&gt;0),SQRT(2*AB15/AC15),"")</f>
        <v>1.15470053837925</v>
      </c>
      <c r="AE15" s="5"/>
      <c r="AF15" s="5"/>
      <c r="AG15" s="5"/>
      <c r="AH15" s="5" t="n">
        <v>916</v>
      </c>
      <c r="AI15" s="5" t="n">
        <v>35.27</v>
      </c>
      <c r="AJ15" s="5" t="n">
        <v>3</v>
      </c>
      <c r="AK15" s="5" t="n">
        <v>12.6</v>
      </c>
      <c r="AL15" s="5"/>
      <c r="AM15" s="5" t="n">
        <v>6.8</v>
      </c>
      <c r="AN15" s="5" t="n">
        <v>5.75</v>
      </c>
      <c r="AO15" s="5" t="n">
        <v>1.423</v>
      </c>
      <c r="AP15" s="5"/>
      <c r="AQ15" s="5"/>
      <c r="AR15" s="5" t="s">
        <v>2638</v>
      </c>
      <c r="AS15" s="5" t="s">
        <v>1492</v>
      </c>
      <c r="AT15" s="5" t="s">
        <v>1633</v>
      </c>
      <c r="AU15" s="5" t="s">
        <v>1494</v>
      </c>
      <c r="AV15" s="5" t="s">
        <v>1713</v>
      </c>
      <c r="AW15" s="23" t="s">
        <v>2642</v>
      </c>
      <c r="AX15" s="5" t="s">
        <v>947</v>
      </c>
      <c r="AY15" s="5" t="s">
        <v>2640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2643</v>
      </c>
      <c r="Q1" s="25" t="s">
        <v>2644</v>
      </c>
      <c r="R1" s="25" t="s">
        <v>2645</v>
      </c>
      <c r="S1" s="25" t="s">
        <v>2646</v>
      </c>
      <c r="T1" s="25" t="s">
        <v>2647</v>
      </c>
      <c r="U1" s="25" t="s">
        <v>2648</v>
      </c>
      <c r="V1" s="25" t="s">
        <v>2649</v>
      </c>
      <c r="W1" s="25" t="s">
        <v>2650</v>
      </c>
      <c r="X1" s="28" t="s">
        <v>2651</v>
      </c>
      <c r="Y1" s="28" t="s">
        <v>2652</v>
      </c>
      <c r="Z1" s="28" t="s">
        <v>2653</v>
      </c>
      <c r="AA1" s="28" t="s">
        <v>2654</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BA2" s="31" t="s">
        <v>1095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2655</v>
      </c>
      <c r="Q1" s="25" t="s">
        <v>2656</v>
      </c>
      <c r="R1" s="25" t="s">
        <v>2657</v>
      </c>
      <c r="S1" s="25" t="s">
        <v>2658</v>
      </c>
      <c r="T1" s="25" t="s">
        <v>2659</v>
      </c>
      <c r="U1" s="25" t="s">
        <v>2660</v>
      </c>
      <c r="V1" s="25" t="s">
        <v>2661</v>
      </c>
      <c r="W1" s="25" t="s">
        <v>2662</v>
      </c>
      <c r="X1" s="28" t="s">
        <v>2663</v>
      </c>
      <c r="Y1" s="28" t="s">
        <v>2664</v>
      </c>
      <c r="Z1" s="28" t="s">
        <v>2665</v>
      </c>
      <c r="AA1" s="28" t="s">
        <v>2666</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A2" s="5" t="n">
        <v>165</v>
      </c>
      <c r="B2" s="5" t="n">
        <v>165</v>
      </c>
      <c r="C2" s="5" t="s">
        <v>811</v>
      </c>
      <c r="D2" s="5" t="n">
        <v>2012</v>
      </c>
      <c r="E2" s="5" t="s">
        <v>812</v>
      </c>
      <c r="F2" s="5" t="s">
        <v>815</v>
      </c>
      <c r="G2" s="5" t="s">
        <v>816</v>
      </c>
      <c r="H2" s="5" t="n">
        <v>28.633</v>
      </c>
      <c r="I2" s="5" t="n">
        <v>77.183</v>
      </c>
      <c r="J2" s="5" t="s">
        <v>83</v>
      </c>
      <c r="K2" s="5" t="s">
        <v>2029</v>
      </c>
      <c r="L2" s="5" t="s">
        <v>821</v>
      </c>
      <c r="M2" s="5" t="s">
        <v>85</v>
      </c>
      <c r="N2" s="5" t="s">
        <v>86</v>
      </c>
      <c r="O2" s="5" t="s">
        <v>2030</v>
      </c>
      <c r="P2" s="5"/>
      <c r="Q2" s="5" t="n">
        <v>635</v>
      </c>
      <c r="R2" s="5"/>
      <c r="S2" s="5"/>
      <c r="T2" s="5"/>
      <c r="U2" s="5"/>
      <c r="V2" s="5" t="n">
        <v>702</v>
      </c>
      <c r="W2" s="5"/>
      <c r="X2" s="5"/>
      <c r="Y2" s="5"/>
      <c r="Z2" s="5"/>
      <c r="AA2" s="5"/>
      <c r="AB2" s="5" t="n">
        <v>1</v>
      </c>
      <c r="AC2" s="5" t="n">
        <v>3</v>
      </c>
      <c r="AD2" s="5" t="n">
        <f aca="false">IF(AND(N(AB2)&gt;0,N(AC2)&gt;0),SQRT(2*AB2/AC2),"")</f>
        <v>0.816496580927726</v>
      </c>
      <c r="AE2" s="5" t="n">
        <v>25.4</v>
      </c>
      <c r="AF2" s="5"/>
      <c r="AG2" s="5"/>
      <c r="AH2" s="5"/>
      <c r="AI2" s="5" t="n">
        <v>28.633</v>
      </c>
      <c r="AJ2" s="5" t="n">
        <v>1</v>
      </c>
      <c r="AK2" s="5"/>
      <c r="AL2" s="5"/>
      <c r="AM2" s="5" t="n">
        <v>8.16</v>
      </c>
      <c r="AN2" s="5" t="n">
        <v>5.2</v>
      </c>
      <c r="AO2" s="5" t="n">
        <v>1.5</v>
      </c>
      <c r="AP2" s="5" t="n">
        <v>52.06</v>
      </c>
      <c r="AQ2" s="5" t="n">
        <v>22.54</v>
      </c>
      <c r="AR2" s="5" t="s">
        <v>2667</v>
      </c>
      <c r="AS2" s="5" t="s">
        <v>1482</v>
      </c>
      <c r="AT2" s="5" t="s">
        <v>2031</v>
      </c>
      <c r="AU2" s="5" t="s">
        <v>1484</v>
      </c>
      <c r="AV2" s="5" t="s">
        <v>1870</v>
      </c>
      <c r="AW2" s="23" t="s">
        <v>2668</v>
      </c>
      <c r="AX2" s="5" t="s">
        <v>829</v>
      </c>
      <c r="AY2" s="5" t="s">
        <v>2669</v>
      </c>
      <c r="BA2" s="31" t="s">
        <v>727</v>
      </c>
    </row>
    <row r="3" customFormat="false" ht="15" hidden="false" customHeight="true" outlineLevel="0" collapsed="false">
      <c r="A3" s="5" t="n">
        <v>165</v>
      </c>
      <c r="B3" s="5" t="n">
        <v>165</v>
      </c>
      <c r="C3" s="5" t="s">
        <v>811</v>
      </c>
      <c r="D3" s="5" t="n">
        <v>2012</v>
      </c>
      <c r="E3" s="5" t="s">
        <v>812</v>
      </c>
      <c r="F3" s="5" t="s">
        <v>815</v>
      </c>
      <c r="G3" s="5" t="s">
        <v>816</v>
      </c>
      <c r="H3" s="5" t="n">
        <v>28.633</v>
      </c>
      <c r="I3" s="5" t="n">
        <v>77.183</v>
      </c>
      <c r="J3" s="5" t="s">
        <v>83</v>
      </c>
      <c r="K3" s="5" t="s">
        <v>2029</v>
      </c>
      <c r="L3" s="5" t="s">
        <v>821</v>
      </c>
      <c r="M3" s="5" t="s">
        <v>85</v>
      </c>
      <c r="N3" s="5" t="s">
        <v>86</v>
      </c>
      <c r="O3" s="5" t="s">
        <v>2030</v>
      </c>
      <c r="P3" s="5"/>
      <c r="Q3" s="5" t="n">
        <v>698</v>
      </c>
      <c r="R3" s="5"/>
      <c r="S3" s="5"/>
      <c r="T3" s="5"/>
      <c r="U3" s="5"/>
      <c r="V3" s="5" t="n">
        <v>780</v>
      </c>
      <c r="W3" s="5"/>
      <c r="X3" s="5"/>
      <c r="Y3" s="5"/>
      <c r="Z3" s="5"/>
      <c r="AA3" s="5"/>
      <c r="AB3" s="5" t="n">
        <v>1</v>
      </c>
      <c r="AC3" s="5" t="n">
        <v>3</v>
      </c>
      <c r="AD3" s="5" t="n">
        <f aca="false">IF(AND(N(AB3)&gt;0,N(AC3)&gt;0),SQRT(2*AB3/AC3),"")</f>
        <v>0.816496580927726</v>
      </c>
      <c r="AE3" s="5" t="n">
        <v>25.4</v>
      </c>
      <c r="AF3" s="5"/>
      <c r="AG3" s="5"/>
      <c r="AH3" s="5"/>
      <c r="AI3" s="5" t="n">
        <v>28.633</v>
      </c>
      <c r="AJ3" s="5" t="n">
        <v>1</v>
      </c>
      <c r="AK3" s="5"/>
      <c r="AL3" s="5"/>
      <c r="AM3" s="5" t="n">
        <v>8.16</v>
      </c>
      <c r="AN3" s="5" t="n">
        <v>5.2</v>
      </c>
      <c r="AO3" s="5" t="n">
        <v>1.5</v>
      </c>
      <c r="AP3" s="5" t="n">
        <v>52.06</v>
      </c>
      <c r="AQ3" s="5" t="n">
        <v>22.54</v>
      </c>
      <c r="AR3" s="5" t="s">
        <v>2667</v>
      </c>
      <c r="AS3" s="5" t="s">
        <v>1488</v>
      </c>
      <c r="AT3" s="5" t="s">
        <v>2034</v>
      </c>
      <c r="AU3" s="5" t="s">
        <v>1484</v>
      </c>
      <c r="AV3" s="5" t="s">
        <v>1870</v>
      </c>
      <c r="AW3" s="23" t="s">
        <v>2670</v>
      </c>
      <c r="AX3" s="5" t="s">
        <v>829</v>
      </c>
      <c r="AY3" s="5" t="s">
        <v>2669</v>
      </c>
    </row>
    <row r="4" customFormat="false" ht="15" hidden="false" customHeight="true" outlineLevel="0" collapsed="false">
      <c r="A4" s="5" t="n">
        <v>165</v>
      </c>
      <c r="B4" s="5" t="n">
        <v>165</v>
      </c>
      <c r="C4" s="5" t="s">
        <v>811</v>
      </c>
      <c r="D4" s="5" t="n">
        <v>2012</v>
      </c>
      <c r="E4" s="5" t="s">
        <v>812</v>
      </c>
      <c r="F4" s="5" t="s">
        <v>815</v>
      </c>
      <c r="G4" s="5" t="s">
        <v>816</v>
      </c>
      <c r="H4" s="5" t="n">
        <v>28.633</v>
      </c>
      <c r="I4" s="5" t="n">
        <v>77.183</v>
      </c>
      <c r="J4" s="5" t="s">
        <v>83</v>
      </c>
      <c r="K4" s="5" t="s">
        <v>1481</v>
      </c>
      <c r="L4" s="5" t="s">
        <v>821</v>
      </c>
      <c r="M4" s="5" t="s">
        <v>85</v>
      </c>
      <c r="N4" s="5" t="s">
        <v>86</v>
      </c>
      <c r="O4" s="5" t="s">
        <v>2030</v>
      </c>
      <c r="P4" s="5"/>
      <c r="Q4" s="5" t="n">
        <v>789</v>
      </c>
      <c r="R4" s="5"/>
      <c r="S4" s="5"/>
      <c r="T4" s="5"/>
      <c r="U4" s="5"/>
      <c r="V4" s="5" t="n">
        <v>911</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2667</v>
      </c>
      <c r="AS4" s="5" t="s">
        <v>1482</v>
      </c>
      <c r="AT4" s="5" t="s">
        <v>2036</v>
      </c>
      <c r="AU4" s="5" t="s">
        <v>1484</v>
      </c>
      <c r="AV4" s="5" t="s">
        <v>1870</v>
      </c>
      <c r="AW4" s="23" t="s">
        <v>2671</v>
      </c>
      <c r="AX4" s="5" t="s">
        <v>829</v>
      </c>
      <c r="AY4" s="5" t="s">
        <v>2669</v>
      </c>
    </row>
    <row r="5" customFormat="false" ht="15" hidden="false" customHeight="true" outlineLevel="0" collapsed="false">
      <c r="A5" s="5" t="n">
        <v>165</v>
      </c>
      <c r="B5" s="5" t="n">
        <v>165</v>
      </c>
      <c r="C5" s="5" t="s">
        <v>811</v>
      </c>
      <c r="D5" s="5" t="n">
        <v>2012</v>
      </c>
      <c r="E5" s="5" t="s">
        <v>812</v>
      </c>
      <c r="F5" s="5" t="s">
        <v>815</v>
      </c>
      <c r="G5" s="5" t="s">
        <v>816</v>
      </c>
      <c r="H5" s="5" t="n">
        <v>28.633</v>
      </c>
      <c r="I5" s="5" t="n">
        <v>77.183</v>
      </c>
      <c r="J5" s="5" t="s">
        <v>83</v>
      </c>
      <c r="K5" s="5" t="s">
        <v>1481</v>
      </c>
      <c r="L5" s="5" t="s">
        <v>821</v>
      </c>
      <c r="M5" s="5" t="s">
        <v>85</v>
      </c>
      <c r="N5" s="5" t="s">
        <v>86</v>
      </c>
      <c r="O5" s="5" t="s">
        <v>2030</v>
      </c>
      <c r="P5" s="5"/>
      <c r="Q5" s="5" t="n">
        <v>875</v>
      </c>
      <c r="R5" s="5"/>
      <c r="S5" s="5"/>
      <c r="T5" s="5"/>
      <c r="U5" s="5"/>
      <c r="V5" s="5" t="n">
        <v>998</v>
      </c>
      <c r="W5" s="5"/>
      <c r="X5" s="5"/>
      <c r="Y5" s="5"/>
      <c r="Z5" s="5"/>
      <c r="AA5" s="5"/>
      <c r="AB5" s="5" t="n">
        <v>1</v>
      </c>
      <c r="AC5" s="5" t="n">
        <v>3</v>
      </c>
      <c r="AD5" s="5" t="n">
        <f aca="false">IF(AND(N(AB5)&gt;0,N(AC5)&gt;0),SQRT(2*AB5/AC5),"")</f>
        <v>0.816496580927726</v>
      </c>
      <c r="AE5" s="5" t="n">
        <v>25.4</v>
      </c>
      <c r="AF5" s="5"/>
      <c r="AG5" s="5"/>
      <c r="AH5" s="5"/>
      <c r="AI5" s="5" t="n">
        <v>28.633</v>
      </c>
      <c r="AJ5" s="5" t="n">
        <v>2</v>
      </c>
      <c r="AK5" s="5"/>
      <c r="AL5" s="5"/>
      <c r="AM5" s="5" t="n">
        <v>8.16</v>
      </c>
      <c r="AN5" s="5" t="n">
        <v>5.2</v>
      </c>
      <c r="AO5" s="5" t="n">
        <v>1.5</v>
      </c>
      <c r="AP5" s="5" t="n">
        <v>52.06</v>
      </c>
      <c r="AQ5" s="5" t="n">
        <v>22.54</v>
      </c>
      <c r="AR5" s="5" t="s">
        <v>2667</v>
      </c>
      <c r="AS5" s="5" t="s">
        <v>1488</v>
      </c>
      <c r="AT5" s="5" t="s">
        <v>2037</v>
      </c>
      <c r="AU5" s="5" t="s">
        <v>1484</v>
      </c>
      <c r="AV5" s="5" t="s">
        <v>1870</v>
      </c>
      <c r="AW5" s="23" t="s">
        <v>2670</v>
      </c>
      <c r="AX5" s="5" t="s">
        <v>829</v>
      </c>
      <c r="AY5" s="5" t="s">
        <v>2669</v>
      </c>
    </row>
    <row r="6" customFormat="false" ht="15" hidden="false" customHeight="true" outlineLevel="0" collapsed="false">
      <c r="A6" s="5" t="s">
        <v>931</v>
      </c>
      <c r="B6" s="5" t="s">
        <v>931</v>
      </c>
      <c r="C6" s="5" t="s">
        <v>932</v>
      </c>
      <c r="D6" s="5" t="n">
        <v>2023</v>
      </c>
      <c r="E6" s="5" t="s">
        <v>933</v>
      </c>
      <c r="F6" s="5" t="s">
        <v>936</v>
      </c>
      <c r="G6" s="5" t="s">
        <v>937</v>
      </c>
      <c r="H6" s="5" t="n">
        <v>35.27</v>
      </c>
      <c r="I6" s="5" t="n">
        <v>119.38</v>
      </c>
      <c r="J6" s="5" t="s">
        <v>870</v>
      </c>
      <c r="K6" s="5" t="n">
        <v>2020</v>
      </c>
      <c r="L6" s="5" t="s">
        <v>821</v>
      </c>
      <c r="M6" s="5"/>
      <c r="N6" s="5" t="s">
        <v>86</v>
      </c>
      <c r="O6" s="5" t="s">
        <v>1491</v>
      </c>
      <c r="P6" s="5" t="n">
        <f aca="false">ROUND(1.18*1000,0)</f>
        <v>1180</v>
      </c>
      <c r="Q6" s="5"/>
      <c r="R6" s="5"/>
      <c r="S6" s="5"/>
      <c r="T6" s="5"/>
      <c r="U6" s="5"/>
      <c r="V6" s="5"/>
      <c r="W6" s="5"/>
      <c r="X6" s="5" t="n">
        <f aca="false">ROUND(0.96*1000,0)</f>
        <v>960</v>
      </c>
      <c r="Y6" s="5"/>
      <c r="Z6" s="5"/>
      <c r="AA6" s="5"/>
      <c r="AB6" s="5" t="n">
        <v>1</v>
      </c>
      <c r="AC6" s="5" t="n">
        <v>3</v>
      </c>
      <c r="AD6" s="5" t="n">
        <f aca="false">IF(AND(N(AB6)&gt;0,N(AC6)&gt;0),SQRT(2*AB6/AC6),"")</f>
        <v>0.816496580927726</v>
      </c>
      <c r="AE6" s="5"/>
      <c r="AF6" s="5"/>
      <c r="AG6" s="5"/>
      <c r="AH6" s="5" t="n">
        <v>916</v>
      </c>
      <c r="AI6" s="5" t="n">
        <v>35.27</v>
      </c>
      <c r="AJ6" s="5" t="n">
        <v>3</v>
      </c>
      <c r="AK6" s="5" t="n">
        <v>12.6</v>
      </c>
      <c r="AL6" s="5"/>
      <c r="AM6" s="5" t="n">
        <v>6.8</v>
      </c>
      <c r="AN6" s="5" t="n">
        <v>5.75</v>
      </c>
      <c r="AO6" s="5" t="n">
        <v>1.423</v>
      </c>
      <c r="AP6" s="5"/>
      <c r="AQ6" s="5"/>
      <c r="AR6" s="5" t="s">
        <v>2672</v>
      </c>
      <c r="AS6" s="5" t="s">
        <v>1492</v>
      </c>
      <c r="AT6" s="5" t="s">
        <v>1633</v>
      </c>
      <c r="AU6" s="5" t="s">
        <v>1494</v>
      </c>
      <c r="AV6" s="5" t="s">
        <v>1713</v>
      </c>
      <c r="AW6" s="23" t="s">
        <v>2067</v>
      </c>
      <c r="AX6" s="5" t="s">
        <v>947</v>
      </c>
      <c r="AY6" s="5" t="s">
        <v>2673</v>
      </c>
    </row>
    <row r="7" customFormat="false" ht="15" hidden="false" customHeight="true" outlineLevel="0" collapsed="false">
      <c r="A7" s="5" t="s">
        <v>931</v>
      </c>
      <c r="B7" s="5" t="s">
        <v>931</v>
      </c>
      <c r="C7" s="5" t="s">
        <v>932</v>
      </c>
      <c r="D7" s="5" t="n">
        <v>2023</v>
      </c>
      <c r="E7" s="5" t="s">
        <v>933</v>
      </c>
      <c r="F7" s="5" t="s">
        <v>936</v>
      </c>
      <c r="G7" s="5" t="s">
        <v>937</v>
      </c>
      <c r="H7" s="5" t="n">
        <v>35.27</v>
      </c>
      <c r="I7" s="5" t="n">
        <v>119.38</v>
      </c>
      <c r="J7" s="5" t="s">
        <v>870</v>
      </c>
      <c r="K7" s="5" t="n">
        <v>2020</v>
      </c>
      <c r="L7" s="5" t="s">
        <v>821</v>
      </c>
      <c r="M7" s="5"/>
      <c r="N7" s="5" t="s">
        <v>1479</v>
      </c>
      <c r="O7" s="5" t="s">
        <v>1500</v>
      </c>
      <c r="P7" s="5" t="n">
        <f aca="false">ROUND(0.82*1000,0)</f>
        <v>820</v>
      </c>
      <c r="Q7" s="5"/>
      <c r="R7" s="5"/>
      <c r="S7" s="5"/>
      <c r="T7" s="5"/>
      <c r="U7" s="5"/>
      <c r="V7" s="5"/>
      <c r="W7" s="5"/>
      <c r="X7" s="5" t="n">
        <f aca="false">ROUND(0.97*1000,0)</f>
        <v>970</v>
      </c>
      <c r="Y7" s="5"/>
      <c r="Z7" s="5"/>
      <c r="AA7" s="5"/>
      <c r="AB7" s="5" t="n">
        <v>2</v>
      </c>
      <c r="AC7" s="5" t="n">
        <v>3</v>
      </c>
      <c r="AD7" s="5" t="n">
        <f aca="false">IF(AND(N(AB7)&gt;0,N(AC7)&gt;0),SQRT(2*AB7/AC7),"")</f>
        <v>1.15470053837925</v>
      </c>
      <c r="AE7" s="5"/>
      <c r="AF7" s="5"/>
      <c r="AG7" s="5"/>
      <c r="AH7" s="5" t="n">
        <v>916</v>
      </c>
      <c r="AI7" s="5" t="n">
        <v>35.27</v>
      </c>
      <c r="AJ7" s="5" t="n">
        <v>3</v>
      </c>
      <c r="AK7" s="5" t="n">
        <v>12.6</v>
      </c>
      <c r="AL7" s="5"/>
      <c r="AM7" s="5" t="n">
        <v>6.8</v>
      </c>
      <c r="AN7" s="5" t="n">
        <v>5.75</v>
      </c>
      <c r="AO7" s="5" t="n">
        <v>1.423</v>
      </c>
      <c r="AP7" s="5"/>
      <c r="AQ7" s="5"/>
      <c r="AR7" s="5" t="s">
        <v>2672</v>
      </c>
      <c r="AS7" s="5" t="s">
        <v>1492</v>
      </c>
      <c r="AT7" s="5" t="s">
        <v>1633</v>
      </c>
      <c r="AU7" s="5" t="s">
        <v>1494</v>
      </c>
      <c r="AV7" s="5" t="s">
        <v>1713</v>
      </c>
      <c r="AW7" s="23" t="s">
        <v>2067</v>
      </c>
      <c r="AX7" s="5" t="s">
        <v>947</v>
      </c>
      <c r="AY7" s="5" t="s">
        <v>2673</v>
      </c>
    </row>
    <row r="8" customFormat="false" ht="14.25" hidden="false" customHeight="true" outlineLevel="0" collapsed="false">
      <c r="A8" s="5" t="s">
        <v>931</v>
      </c>
      <c r="B8" s="5" t="s">
        <v>931</v>
      </c>
      <c r="C8" s="5" t="s">
        <v>932</v>
      </c>
      <c r="D8" s="5" t="n">
        <v>2023</v>
      </c>
      <c r="E8" s="5" t="s">
        <v>933</v>
      </c>
      <c r="F8" s="5" t="s">
        <v>936</v>
      </c>
      <c r="G8" s="5" t="s">
        <v>937</v>
      </c>
      <c r="H8" s="5" t="n">
        <v>35.27</v>
      </c>
      <c r="I8" s="5" t="n">
        <v>119.38</v>
      </c>
      <c r="J8" s="5" t="s">
        <v>870</v>
      </c>
      <c r="K8" s="5" t="n">
        <v>2020</v>
      </c>
      <c r="L8" s="5" t="s">
        <v>821</v>
      </c>
      <c r="M8" s="5"/>
      <c r="N8" s="5" t="s">
        <v>1479</v>
      </c>
      <c r="O8" s="5" t="s">
        <v>1502</v>
      </c>
      <c r="P8" s="5" t="n">
        <f aca="false">ROUND(0.78*1000,0)</f>
        <v>780</v>
      </c>
      <c r="Q8" s="5"/>
      <c r="R8" s="5"/>
      <c r="S8" s="5"/>
      <c r="T8" s="5"/>
      <c r="U8" s="5"/>
      <c r="V8" s="5"/>
      <c r="W8" s="5"/>
      <c r="X8" s="5" t="n">
        <f aca="false">ROUND(0.68*1000,0)</f>
        <v>680</v>
      </c>
      <c r="Y8" s="5"/>
      <c r="Z8" s="5"/>
      <c r="AA8" s="5"/>
      <c r="AB8" s="5" t="n">
        <v>2</v>
      </c>
      <c r="AC8" s="5" t="n">
        <v>3</v>
      </c>
      <c r="AD8" s="5" t="n">
        <f aca="false">IF(AND(N(AB8)&gt;0,N(AC8)&gt;0),SQRT(2*AB8/AC8),"")</f>
        <v>1.15470053837925</v>
      </c>
      <c r="AE8" s="5"/>
      <c r="AF8" s="5"/>
      <c r="AG8" s="5"/>
      <c r="AH8" s="5" t="n">
        <v>916</v>
      </c>
      <c r="AI8" s="5" t="n">
        <v>35.27</v>
      </c>
      <c r="AJ8" s="5" t="n">
        <v>3</v>
      </c>
      <c r="AK8" s="5" t="n">
        <v>12.6</v>
      </c>
      <c r="AL8" s="5"/>
      <c r="AM8" s="5" t="n">
        <v>6.8</v>
      </c>
      <c r="AN8" s="5" t="n">
        <v>5.75</v>
      </c>
      <c r="AO8" s="5" t="n">
        <v>1.423</v>
      </c>
      <c r="AP8" s="5"/>
      <c r="AQ8" s="5"/>
      <c r="AR8" s="5" t="s">
        <v>2672</v>
      </c>
      <c r="AS8" s="5" t="s">
        <v>1492</v>
      </c>
      <c r="AT8" s="5" t="s">
        <v>1633</v>
      </c>
      <c r="AU8" s="5" t="s">
        <v>1494</v>
      </c>
      <c r="AV8" s="5" t="s">
        <v>1713</v>
      </c>
      <c r="AW8" s="23" t="s">
        <v>2067</v>
      </c>
      <c r="AX8" s="5" t="s">
        <v>947</v>
      </c>
      <c r="AY8" s="5" t="s">
        <v>2673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2674</v>
      </c>
      <c r="Q1" s="25" t="s">
        <v>2675</v>
      </c>
      <c r="R1" s="25" t="s">
        <v>2676</v>
      </c>
      <c r="S1" s="25" t="s">
        <v>2677</v>
      </c>
      <c r="T1" s="25" t="s">
        <v>2678</v>
      </c>
      <c r="U1" s="25" t="s">
        <v>2679</v>
      </c>
      <c r="V1" s="25" t="s">
        <v>2680</v>
      </c>
      <c r="W1" s="25" t="s">
        <v>2681</v>
      </c>
      <c r="X1" s="28" t="s">
        <v>2682</v>
      </c>
      <c r="Y1" s="28" t="s">
        <v>2683</v>
      </c>
      <c r="Z1" s="28" t="s">
        <v>2684</v>
      </c>
      <c r="AA1" s="28" t="s">
        <v>2685</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BA2" s="32" t="s">
        <v>1099</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2686</v>
      </c>
      <c r="Q1" s="25" t="s">
        <v>2687</v>
      </c>
      <c r="R1" s="25" t="s">
        <v>2688</v>
      </c>
      <c r="S1" s="25" t="s">
        <v>2689</v>
      </c>
      <c r="T1" s="25" t="s">
        <v>2690</v>
      </c>
      <c r="U1" s="25" t="s">
        <v>2691</v>
      </c>
      <c r="V1" s="25" t="s">
        <v>2692</v>
      </c>
      <c r="W1" s="25" t="s">
        <v>2693</v>
      </c>
      <c r="X1" s="28" t="s">
        <v>2694</v>
      </c>
      <c r="Y1" s="28" t="s">
        <v>2695</v>
      </c>
      <c r="Z1" s="28" t="s">
        <v>2696</v>
      </c>
      <c r="AA1" s="28" t="s">
        <v>2697</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BA2" s="1" t="s">
        <v>1101</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2698</v>
      </c>
      <c r="Q1" s="25" t="s">
        <v>2699</v>
      </c>
      <c r="R1" s="25" t="s">
        <v>2700</v>
      </c>
      <c r="S1" s="25" t="s">
        <v>2701</v>
      </c>
      <c r="T1" s="25" t="s">
        <v>2702</v>
      </c>
      <c r="U1" s="25" t="s">
        <v>2703</v>
      </c>
      <c r="V1" s="25" t="s">
        <v>2704</v>
      </c>
      <c r="W1" s="25" t="s">
        <v>2705</v>
      </c>
      <c r="X1" s="28" t="s">
        <v>2706</v>
      </c>
      <c r="Y1" s="28" t="s">
        <v>2707</v>
      </c>
      <c r="Z1" s="28" t="s">
        <v>2708</v>
      </c>
      <c r="AA1" s="28" t="s">
        <v>2709</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BA2" s="1" t="s">
        <v>1103</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2710</v>
      </c>
      <c r="Q1" s="25" t="s">
        <v>2711</v>
      </c>
      <c r="R1" s="25" t="s">
        <v>2712</v>
      </c>
      <c r="S1" s="25" t="s">
        <v>2713</v>
      </c>
      <c r="T1" s="25" t="s">
        <v>2714</v>
      </c>
      <c r="U1" s="25" t="s">
        <v>2715</v>
      </c>
      <c r="V1" s="25" t="s">
        <v>2716</v>
      </c>
      <c r="W1" s="25" t="s">
        <v>2717</v>
      </c>
      <c r="X1" s="28" t="s">
        <v>2718</v>
      </c>
      <c r="Y1" s="28" t="s">
        <v>2719</v>
      </c>
      <c r="Z1" s="28" t="s">
        <v>2720</v>
      </c>
      <c r="AA1" s="28" t="s">
        <v>2721</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BA2" s="1" t="s">
        <v>1105</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2722</v>
      </c>
      <c r="Q1" s="25" t="s">
        <v>2723</v>
      </c>
      <c r="R1" s="25" t="s">
        <v>2724</v>
      </c>
      <c r="S1" s="25" t="s">
        <v>2725</v>
      </c>
      <c r="T1" s="25" t="s">
        <v>2726</v>
      </c>
      <c r="U1" s="25" t="s">
        <v>2727</v>
      </c>
      <c r="V1" s="25" t="s">
        <v>2728</v>
      </c>
      <c r="W1" s="25" t="s">
        <v>2729</v>
      </c>
      <c r="X1" s="28" t="s">
        <v>2730</v>
      </c>
      <c r="Y1" s="28" t="s">
        <v>2731</v>
      </c>
      <c r="Z1" s="28" t="s">
        <v>2732</v>
      </c>
      <c r="AA1" s="28" t="s">
        <v>2733</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BA2" s="1" t="s">
        <v>1107</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K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80" min="80" style="1" width="26"/>
    <col collapsed="false" customWidth="true" hidden="false" outlineLevel="0" max="87" min="86"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2734</v>
      </c>
      <c r="Q1" s="25" t="s">
        <v>2735</v>
      </c>
      <c r="R1" s="25" t="s">
        <v>2736</v>
      </c>
      <c r="S1" s="25" t="s">
        <v>2737</v>
      </c>
      <c r="T1" s="25" t="s">
        <v>2738</v>
      </c>
      <c r="U1" s="25" t="s">
        <v>2739</v>
      </c>
      <c r="V1" s="25" t="s">
        <v>2740</v>
      </c>
      <c r="W1" s="25" t="s">
        <v>2741</v>
      </c>
      <c r="X1" s="28" t="s">
        <v>2742</v>
      </c>
      <c r="Y1" s="28" t="s">
        <v>2743</v>
      </c>
      <c r="Z1" s="28" t="s">
        <v>2744</v>
      </c>
      <c r="AA1" s="28" t="s">
        <v>2745</v>
      </c>
      <c r="AB1" s="25" t="s">
        <v>2746</v>
      </c>
      <c r="AC1" s="25" t="s">
        <v>2747</v>
      </c>
      <c r="AD1" s="25" t="s">
        <v>2748</v>
      </c>
      <c r="AE1" s="25" t="s">
        <v>2749</v>
      </c>
      <c r="AF1" s="25" t="s">
        <v>2750</v>
      </c>
      <c r="AG1" s="25" t="s">
        <v>2751</v>
      </c>
      <c r="AH1" s="25" t="s">
        <v>2752</v>
      </c>
      <c r="AI1" s="25" t="s">
        <v>2753</v>
      </c>
      <c r="AJ1" s="28" t="s">
        <v>2754</v>
      </c>
      <c r="AK1" s="28" t="s">
        <v>2755</v>
      </c>
      <c r="AL1" s="28" t="s">
        <v>2756</v>
      </c>
      <c r="AM1" s="28" t="s">
        <v>2757</v>
      </c>
      <c r="AN1" s="25" t="s">
        <v>2758</v>
      </c>
      <c r="AO1" s="25" t="s">
        <v>2759</v>
      </c>
      <c r="AP1" s="25" t="s">
        <v>2760</v>
      </c>
      <c r="AQ1" s="25" t="s">
        <v>2761</v>
      </c>
      <c r="AR1" s="25" t="s">
        <v>2762</v>
      </c>
      <c r="AS1" s="25" t="s">
        <v>2763</v>
      </c>
      <c r="AT1" s="25" t="s">
        <v>2764</v>
      </c>
      <c r="AU1" s="25" t="s">
        <v>2765</v>
      </c>
      <c r="AV1" s="28" t="s">
        <v>2766</v>
      </c>
      <c r="AW1" s="28" t="s">
        <v>2767</v>
      </c>
      <c r="AX1" s="28" t="s">
        <v>2768</v>
      </c>
      <c r="AY1" s="28" t="s">
        <v>2769</v>
      </c>
      <c r="AZ1" s="25" t="s">
        <v>2770</v>
      </c>
      <c r="BA1" s="25" t="s">
        <v>2771</v>
      </c>
      <c r="BB1" s="25" t="s">
        <v>2772</v>
      </c>
      <c r="BC1" s="25" t="s">
        <v>2773</v>
      </c>
      <c r="BD1" s="25" t="s">
        <v>2774</v>
      </c>
      <c r="BE1" s="25" t="s">
        <v>2775</v>
      </c>
      <c r="BF1" s="25" t="s">
        <v>2776</v>
      </c>
      <c r="BG1" s="25" t="s">
        <v>2777</v>
      </c>
      <c r="BH1" s="28" t="s">
        <v>2778</v>
      </c>
      <c r="BI1" s="28" t="s">
        <v>2779</v>
      </c>
      <c r="BJ1" s="28" t="s">
        <v>2780</v>
      </c>
      <c r="BK1" s="28" t="s">
        <v>2781</v>
      </c>
      <c r="BL1" s="26" t="s">
        <v>35</v>
      </c>
      <c r="BM1" s="26" t="s">
        <v>33</v>
      </c>
      <c r="BN1" s="26" t="s">
        <v>37</v>
      </c>
      <c r="BO1" s="21" t="s">
        <v>73</v>
      </c>
      <c r="BP1" s="21" t="s">
        <v>775</v>
      </c>
      <c r="BQ1" s="21" t="s">
        <v>776</v>
      </c>
      <c r="BR1" s="21" t="s">
        <v>74</v>
      </c>
      <c r="BS1" s="21" t="s">
        <v>1465</v>
      </c>
      <c r="BT1" s="21" t="s">
        <v>1466</v>
      </c>
      <c r="BU1" s="21" t="s">
        <v>777</v>
      </c>
      <c r="BV1" s="21" t="s">
        <v>778</v>
      </c>
      <c r="BW1" s="21" t="s">
        <v>75</v>
      </c>
      <c r="BX1" s="21" t="s">
        <v>773</v>
      </c>
      <c r="BY1" s="21" t="s">
        <v>774</v>
      </c>
      <c r="BZ1" s="21" t="s">
        <v>771</v>
      </c>
      <c r="CA1" s="21" t="s">
        <v>772</v>
      </c>
      <c r="CB1" s="22" t="s">
        <v>76</v>
      </c>
      <c r="CC1" s="22" t="s">
        <v>77</v>
      </c>
      <c r="CD1" s="22" t="s">
        <v>1467</v>
      </c>
      <c r="CE1" s="22" t="s">
        <v>1468</v>
      </c>
      <c r="CF1" s="22" t="s">
        <v>78</v>
      </c>
      <c r="CG1" s="22" t="s">
        <v>790</v>
      </c>
      <c r="CH1" s="22" t="s">
        <v>1469</v>
      </c>
      <c r="CI1" s="22" t="s">
        <v>1470</v>
      </c>
      <c r="CK1" s="29" t="s">
        <v>1471</v>
      </c>
    </row>
    <row r="2" customFormat="false" ht="15" hidden="false" customHeight="true" outlineLevel="0" collapsed="false">
      <c r="CK2" s="31" t="s">
        <v>1109</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sheetData>
  <autoFilter ref="A1:CI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2782</v>
      </c>
      <c r="Q1" s="25" t="s">
        <v>2783</v>
      </c>
      <c r="R1" s="25" t="s">
        <v>2784</v>
      </c>
      <c r="S1" s="25" t="s">
        <v>2785</v>
      </c>
      <c r="T1" s="25" t="s">
        <v>2786</v>
      </c>
      <c r="U1" s="25" t="s">
        <v>2787</v>
      </c>
      <c r="V1" s="25" t="s">
        <v>2788</v>
      </c>
      <c r="W1" s="25" t="s">
        <v>2789</v>
      </c>
      <c r="X1" s="28" t="s">
        <v>2790</v>
      </c>
      <c r="Y1" s="28" t="s">
        <v>2791</v>
      </c>
      <c r="Z1" s="28" t="s">
        <v>2792</v>
      </c>
      <c r="AA1" s="28" t="s">
        <v>2793</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BA2" s="31" t="s">
        <v>1111</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2794</v>
      </c>
      <c r="Q1" s="25" t="s">
        <v>2795</v>
      </c>
      <c r="R1" s="25" t="s">
        <v>2796</v>
      </c>
      <c r="S1" s="25" t="s">
        <v>2797</v>
      </c>
      <c r="T1" s="25" t="s">
        <v>2798</v>
      </c>
      <c r="U1" s="25" t="s">
        <v>2799</v>
      </c>
      <c r="V1" s="25" t="s">
        <v>2800</v>
      </c>
      <c r="W1" s="25" t="s">
        <v>2801</v>
      </c>
      <c r="X1" s="28" t="s">
        <v>2802</v>
      </c>
      <c r="Y1" s="28" t="s">
        <v>2803</v>
      </c>
      <c r="Z1" s="28" t="s">
        <v>2804</v>
      </c>
      <c r="AA1" s="28" t="s">
        <v>2805</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BA2" s="31" t="s">
        <v>1113</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2806</v>
      </c>
      <c r="Q1" s="25" t="s">
        <v>2807</v>
      </c>
      <c r="R1" s="25" t="s">
        <v>2808</v>
      </c>
      <c r="S1" s="25" t="s">
        <v>2809</v>
      </c>
      <c r="T1" s="25" t="s">
        <v>2810</v>
      </c>
      <c r="U1" s="25" t="s">
        <v>2811</v>
      </c>
      <c r="V1" s="25" t="s">
        <v>2812</v>
      </c>
      <c r="W1" s="25" t="s">
        <v>2813</v>
      </c>
      <c r="X1" s="28" t="s">
        <v>2814</v>
      </c>
      <c r="Y1" s="28" t="s">
        <v>2815</v>
      </c>
      <c r="Z1" s="28" t="s">
        <v>2816</v>
      </c>
      <c r="AA1" s="28" t="s">
        <v>2817</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BA2" s="31" t="s">
        <v>1115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2818</v>
      </c>
      <c r="Q1" s="25" t="s">
        <v>2819</v>
      </c>
      <c r="R1" s="25" t="s">
        <v>2820</v>
      </c>
      <c r="S1" s="25" t="s">
        <v>2821</v>
      </c>
      <c r="T1" s="25" t="s">
        <v>2822</v>
      </c>
      <c r="U1" s="25" t="s">
        <v>2823</v>
      </c>
      <c r="V1" s="25" t="s">
        <v>2824</v>
      </c>
      <c r="W1" s="25" t="s">
        <v>2825</v>
      </c>
      <c r="X1" s="28" t="s">
        <v>2826</v>
      </c>
      <c r="Y1" s="28" t="s">
        <v>2827</v>
      </c>
      <c r="Z1" s="28" t="s">
        <v>2828</v>
      </c>
      <c r="AA1" s="28" t="s">
        <v>2829</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A2" s="18" t="s">
        <v>914</v>
      </c>
      <c r="B2" s="18" t="s">
        <v>914</v>
      </c>
      <c r="C2" s="18" t="s">
        <v>915</v>
      </c>
      <c r="D2" s="18" t="n">
        <v>2020</v>
      </c>
      <c r="E2" s="18" t="s">
        <v>916</v>
      </c>
      <c r="F2" s="18" t="s">
        <v>815</v>
      </c>
      <c r="G2" s="18" t="s">
        <v>919</v>
      </c>
      <c r="H2" s="18" t="n">
        <v>28.4</v>
      </c>
      <c r="I2" s="18" t="n">
        <v>77.1</v>
      </c>
      <c r="J2" s="18" t="s">
        <v>83</v>
      </c>
      <c r="K2" s="18" t="s">
        <v>1504</v>
      </c>
      <c r="L2" s="18" t="s">
        <v>802</v>
      </c>
      <c r="M2" s="18" t="s">
        <v>85</v>
      </c>
      <c r="N2" s="18" t="s">
        <v>86</v>
      </c>
      <c r="O2" s="18" t="s">
        <v>1472</v>
      </c>
      <c r="P2" s="18"/>
      <c r="Q2" s="18" t="n">
        <v>29.6</v>
      </c>
      <c r="R2" s="18"/>
      <c r="S2" s="18"/>
      <c r="T2" s="18"/>
      <c r="U2" s="18"/>
      <c r="V2" s="18" t="n">
        <v>27.8</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2830</v>
      </c>
      <c r="AS2" s="18" t="s">
        <v>1505</v>
      </c>
      <c r="AT2" s="18" t="s">
        <v>1506</v>
      </c>
      <c r="AU2" s="18" t="s">
        <v>1507</v>
      </c>
      <c r="AV2" s="18" t="s">
        <v>1870</v>
      </c>
      <c r="AW2" s="30" t="s">
        <v>2831</v>
      </c>
      <c r="AX2" s="18" t="s">
        <v>928</v>
      </c>
      <c r="AY2" s="18" t="s">
        <v>2832</v>
      </c>
      <c r="BA2" s="31" t="s">
        <v>1115</v>
      </c>
    </row>
    <row r="3" customFormat="false" ht="14.25" hidden="false" customHeight="true" outlineLevel="0" collapsed="false">
      <c r="A3" s="18" t="s">
        <v>914</v>
      </c>
      <c r="B3" s="18" t="s">
        <v>914</v>
      </c>
      <c r="C3" s="18" t="s">
        <v>915</v>
      </c>
      <c r="D3" s="18" t="n">
        <v>2020</v>
      </c>
      <c r="E3" s="18" t="s">
        <v>916</v>
      </c>
      <c r="F3" s="18" t="s">
        <v>815</v>
      </c>
      <c r="G3" s="18" t="s">
        <v>919</v>
      </c>
      <c r="H3" s="18" t="n">
        <v>28.4</v>
      </c>
      <c r="I3" s="18" t="n">
        <v>77.1</v>
      </c>
      <c r="J3" s="18" t="s">
        <v>83</v>
      </c>
      <c r="K3" s="18" t="s">
        <v>1504</v>
      </c>
      <c r="L3" s="18" t="s">
        <v>802</v>
      </c>
      <c r="M3" s="18" t="s">
        <v>85</v>
      </c>
      <c r="N3" s="18" t="s">
        <v>86</v>
      </c>
      <c r="O3" s="18" t="s">
        <v>1472</v>
      </c>
      <c r="P3" s="18"/>
      <c r="Q3" s="18" t="n">
        <v>29.6</v>
      </c>
      <c r="R3" s="18"/>
      <c r="S3" s="18"/>
      <c r="T3" s="18"/>
      <c r="U3" s="18"/>
      <c r="V3" s="18" t="n">
        <v>33.5</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2830</v>
      </c>
      <c r="AS3" s="18" t="s">
        <v>1511</v>
      </c>
      <c r="AT3" s="18" t="s">
        <v>1506</v>
      </c>
      <c r="AU3" s="18" t="s">
        <v>1507</v>
      </c>
      <c r="AV3" s="18" t="s">
        <v>1870</v>
      </c>
      <c r="AW3" s="30" t="s">
        <v>2833</v>
      </c>
      <c r="AX3" s="18" t="s">
        <v>928</v>
      </c>
      <c r="AY3" s="18" t="s">
        <v>2832</v>
      </c>
    </row>
    <row r="4" customFormat="false" ht="14.25" hidden="false" customHeight="true" outlineLevel="0" collapsed="false">
      <c r="A4" s="18" t="s">
        <v>914</v>
      </c>
      <c r="B4" s="18" t="s">
        <v>914</v>
      </c>
      <c r="C4" s="18" t="s">
        <v>915</v>
      </c>
      <c r="D4" s="18" t="n">
        <v>2020</v>
      </c>
      <c r="E4" s="18" t="s">
        <v>916</v>
      </c>
      <c r="F4" s="18" t="s">
        <v>815</v>
      </c>
      <c r="G4" s="18" t="s">
        <v>919</v>
      </c>
      <c r="H4" s="18" t="n">
        <v>28.4</v>
      </c>
      <c r="I4" s="18" t="n">
        <v>77.1</v>
      </c>
      <c r="J4" s="18" t="s">
        <v>83</v>
      </c>
      <c r="K4" s="18" t="s">
        <v>1504</v>
      </c>
      <c r="L4" s="18" t="s">
        <v>802</v>
      </c>
      <c r="M4" s="18" t="s">
        <v>85</v>
      </c>
      <c r="N4" s="18" t="s">
        <v>86</v>
      </c>
      <c r="O4" s="18" t="s">
        <v>1472</v>
      </c>
      <c r="P4" s="18"/>
      <c r="Q4" s="18" t="n">
        <v>30.3</v>
      </c>
      <c r="R4" s="18"/>
      <c r="S4" s="18"/>
      <c r="T4" s="18"/>
      <c r="U4" s="18"/>
      <c r="V4" s="18" t="n">
        <v>30.6</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2830</v>
      </c>
      <c r="AS4" s="18" t="s">
        <v>1513</v>
      </c>
      <c r="AT4" s="18" t="s">
        <v>1506</v>
      </c>
      <c r="AU4" s="18" t="s">
        <v>1507</v>
      </c>
      <c r="AV4" s="18" t="s">
        <v>1870</v>
      </c>
      <c r="AW4" s="30" t="s">
        <v>2834</v>
      </c>
      <c r="AX4" s="18" t="s">
        <v>928</v>
      </c>
      <c r="AY4" s="18" t="s">
        <v>2832</v>
      </c>
    </row>
    <row r="5" customFormat="false" ht="14.25" hidden="false" customHeight="true" outlineLevel="0" collapsed="false">
      <c r="A5" s="18" t="s">
        <v>914</v>
      </c>
      <c r="B5" s="18" t="s">
        <v>914</v>
      </c>
      <c r="C5" s="18" t="s">
        <v>915</v>
      </c>
      <c r="D5" s="18" t="n">
        <v>2020</v>
      </c>
      <c r="E5" s="18" t="s">
        <v>916</v>
      </c>
      <c r="F5" s="18" t="s">
        <v>815</v>
      </c>
      <c r="G5" s="18" t="s">
        <v>919</v>
      </c>
      <c r="H5" s="18" t="n">
        <v>28.4</v>
      </c>
      <c r="I5" s="18" t="n">
        <v>77.1</v>
      </c>
      <c r="J5" s="18" t="s">
        <v>83</v>
      </c>
      <c r="K5" s="18" t="s">
        <v>1504</v>
      </c>
      <c r="L5" s="18" t="s">
        <v>802</v>
      </c>
      <c r="M5" s="18" t="s">
        <v>85</v>
      </c>
      <c r="N5" s="18" t="s">
        <v>86</v>
      </c>
      <c r="O5" s="18" t="s">
        <v>1472</v>
      </c>
      <c r="P5" s="18"/>
      <c r="Q5" s="18" t="n">
        <v>30.3</v>
      </c>
      <c r="R5" s="18"/>
      <c r="S5" s="18"/>
      <c r="T5" s="18"/>
      <c r="U5" s="18"/>
      <c r="V5" s="18" t="n">
        <v>32.4</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2830</v>
      </c>
      <c r="AS5" s="18" t="s">
        <v>1515</v>
      </c>
      <c r="AT5" s="18" t="s">
        <v>1506</v>
      </c>
      <c r="AU5" s="18" t="s">
        <v>1507</v>
      </c>
      <c r="AV5" s="18" t="s">
        <v>1870</v>
      </c>
      <c r="AW5" s="30" t="s">
        <v>2835</v>
      </c>
      <c r="AX5" s="18" t="s">
        <v>928</v>
      </c>
      <c r="AY5" s="18" t="s">
        <v>2832</v>
      </c>
    </row>
    <row r="6" customFormat="false" ht="14.25" hidden="false" customHeight="true" outlineLevel="0" collapsed="false">
      <c r="A6" s="18" t="s">
        <v>914</v>
      </c>
      <c r="B6" s="18" t="s">
        <v>914</v>
      </c>
      <c r="C6" s="18" t="s">
        <v>915</v>
      </c>
      <c r="D6" s="18" t="n">
        <v>2020</v>
      </c>
      <c r="E6" s="18" t="s">
        <v>916</v>
      </c>
      <c r="F6" s="18" t="s">
        <v>815</v>
      </c>
      <c r="G6" s="18" t="s">
        <v>919</v>
      </c>
      <c r="H6" s="18" t="n">
        <v>28.4</v>
      </c>
      <c r="I6" s="18" t="n">
        <v>77.1</v>
      </c>
      <c r="J6" s="18" t="s">
        <v>83</v>
      </c>
      <c r="K6" s="18" t="s">
        <v>1504</v>
      </c>
      <c r="L6" s="18" t="s">
        <v>802</v>
      </c>
      <c r="M6" s="18" t="s">
        <v>85</v>
      </c>
      <c r="N6" s="18" t="s">
        <v>86</v>
      </c>
      <c r="O6" s="18" t="s">
        <v>1472</v>
      </c>
      <c r="P6" s="18"/>
      <c r="Q6" s="18" t="n">
        <v>30</v>
      </c>
      <c r="R6" s="18"/>
      <c r="S6" s="18"/>
      <c r="T6" s="18"/>
      <c r="U6" s="18"/>
      <c r="V6" s="18" t="n">
        <v>29.5</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2830</v>
      </c>
      <c r="AS6" s="18" t="s">
        <v>1517</v>
      </c>
      <c r="AT6" s="18" t="s">
        <v>1506</v>
      </c>
      <c r="AU6" s="18" t="s">
        <v>1507</v>
      </c>
      <c r="AV6" s="18" t="s">
        <v>1870</v>
      </c>
      <c r="AW6" s="30" t="s">
        <v>2836</v>
      </c>
      <c r="AX6" s="18" t="s">
        <v>928</v>
      </c>
      <c r="AY6" s="18" t="s">
        <v>2832</v>
      </c>
    </row>
    <row r="7" customFormat="false" ht="14.25" hidden="false" customHeight="true" outlineLevel="0" collapsed="false">
      <c r="A7" s="18" t="s">
        <v>914</v>
      </c>
      <c r="B7" s="18" t="s">
        <v>914</v>
      </c>
      <c r="C7" s="18" t="s">
        <v>915</v>
      </c>
      <c r="D7" s="18" t="n">
        <v>2020</v>
      </c>
      <c r="E7" s="18" t="s">
        <v>916</v>
      </c>
      <c r="F7" s="18" t="s">
        <v>815</v>
      </c>
      <c r="G7" s="18" t="s">
        <v>919</v>
      </c>
      <c r="H7" s="18" t="n">
        <v>28.4</v>
      </c>
      <c r="I7" s="18" t="n">
        <v>77.1</v>
      </c>
      <c r="J7" s="18" t="s">
        <v>83</v>
      </c>
      <c r="K7" s="18" t="s">
        <v>1504</v>
      </c>
      <c r="L7" s="18" t="s">
        <v>802</v>
      </c>
      <c r="M7" s="18" t="s">
        <v>85</v>
      </c>
      <c r="N7" s="18" t="s">
        <v>86</v>
      </c>
      <c r="O7" s="18" t="s">
        <v>1472</v>
      </c>
      <c r="P7" s="18"/>
      <c r="Q7" s="18" t="n">
        <v>30</v>
      </c>
      <c r="R7" s="18"/>
      <c r="S7" s="18"/>
      <c r="T7" s="18"/>
      <c r="U7" s="18"/>
      <c r="V7" s="18" t="n">
        <v>28.4</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2830</v>
      </c>
      <c r="AS7" s="18" t="s">
        <v>1519</v>
      </c>
      <c r="AT7" s="18" t="s">
        <v>1506</v>
      </c>
      <c r="AU7" s="18" t="s">
        <v>1507</v>
      </c>
      <c r="AV7" s="18" t="s">
        <v>1870</v>
      </c>
      <c r="AW7" s="30" t="s">
        <v>2837</v>
      </c>
      <c r="AX7" s="18" t="s">
        <v>928</v>
      </c>
      <c r="AY7" s="18" t="s">
        <v>2832</v>
      </c>
    </row>
    <row r="8" customFormat="false" ht="14.25" hidden="false" customHeight="true" outlineLevel="0" collapsed="false">
      <c r="A8" s="18" t="s">
        <v>914</v>
      </c>
      <c r="B8" s="18" t="s">
        <v>914</v>
      </c>
      <c r="C8" s="18" t="s">
        <v>915</v>
      </c>
      <c r="D8" s="18" t="n">
        <v>2020</v>
      </c>
      <c r="E8" s="18" t="s">
        <v>916</v>
      </c>
      <c r="F8" s="18" t="s">
        <v>815</v>
      </c>
      <c r="G8" s="18" t="s">
        <v>919</v>
      </c>
      <c r="H8" s="18" t="n">
        <v>28.4</v>
      </c>
      <c r="I8" s="18" t="n">
        <v>77.1</v>
      </c>
      <c r="J8" s="18" t="s">
        <v>83</v>
      </c>
      <c r="K8" s="18" t="s">
        <v>1504</v>
      </c>
      <c r="L8" s="18" t="s">
        <v>802</v>
      </c>
      <c r="M8" s="18" t="s">
        <v>85</v>
      </c>
      <c r="N8" s="18" t="s">
        <v>86</v>
      </c>
      <c r="O8" s="18" t="s">
        <v>1472</v>
      </c>
      <c r="P8" s="18"/>
      <c r="Q8" s="18" t="n">
        <v>34.3</v>
      </c>
      <c r="R8" s="18"/>
      <c r="S8" s="18"/>
      <c r="T8" s="18"/>
      <c r="U8" s="18"/>
      <c r="V8" s="18" t="n">
        <v>28.9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2830</v>
      </c>
      <c r="AS8" s="18" t="s">
        <v>1521</v>
      </c>
      <c r="AT8" s="18" t="s">
        <v>1506</v>
      </c>
      <c r="AU8" s="18" t="s">
        <v>1507</v>
      </c>
      <c r="AV8" s="18" t="s">
        <v>1870</v>
      </c>
      <c r="AW8" s="30" t="s">
        <v>2838</v>
      </c>
      <c r="AX8" s="18" t="s">
        <v>928</v>
      </c>
      <c r="AY8" s="18" t="s">
        <v>2832</v>
      </c>
    </row>
    <row r="9" customFormat="false" ht="14.25" hidden="false" customHeight="true" outlineLevel="0" collapsed="false">
      <c r="A9" s="18" t="s">
        <v>914</v>
      </c>
      <c r="B9" s="18" t="s">
        <v>914</v>
      </c>
      <c r="C9" s="18" t="s">
        <v>915</v>
      </c>
      <c r="D9" s="18" t="n">
        <v>2020</v>
      </c>
      <c r="E9" s="18" t="s">
        <v>916</v>
      </c>
      <c r="F9" s="18" t="s">
        <v>815</v>
      </c>
      <c r="G9" s="18" t="s">
        <v>919</v>
      </c>
      <c r="H9" s="18" t="n">
        <v>28.4</v>
      </c>
      <c r="I9" s="18" t="n">
        <v>77.1</v>
      </c>
      <c r="J9" s="18" t="s">
        <v>83</v>
      </c>
      <c r="K9" s="18" t="s">
        <v>1504</v>
      </c>
      <c r="L9" s="18" t="s">
        <v>802</v>
      </c>
      <c r="M9" s="18" t="s">
        <v>85</v>
      </c>
      <c r="N9" s="18" t="s">
        <v>86</v>
      </c>
      <c r="O9" s="18" t="s">
        <v>1472</v>
      </c>
      <c r="P9" s="18"/>
      <c r="Q9" s="18" t="n">
        <v>34.3</v>
      </c>
      <c r="R9" s="18"/>
      <c r="S9" s="18"/>
      <c r="T9" s="18"/>
      <c r="U9" s="18"/>
      <c r="V9" s="18" t="n">
        <v>32.4</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2830</v>
      </c>
      <c r="AS9" s="18" t="s">
        <v>1523</v>
      </c>
      <c r="AT9" s="18" t="s">
        <v>1506</v>
      </c>
      <c r="AU9" s="18" t="s">
        <v>1507</v>
      </c>
      <c r="AV9" s="18" t="s">
        <v>1870</v>
      </c>
      <c r="AW9" s="30" t="s">
        <v>2839</v>
      </c>
      <c r="AX9" s="18" t="s">
        <v>928</v>
      </c>
      <c r="AY9" s="18" t="s">
        <v>2832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2840</v>
      </c>
      <c r="Q1" s="25" t="s">
        <v>2841</v>
      </c>
      <c r="R1" s="25" t="s">
        <v>2842</v>
      </c>
      <c r="S1" s="25" t="s">
        <v>2843</v>
      </c>
      <c r="T1" s="25" t="s">
        <v>2844</v>
      </c>
      <c r="U1" s="25" t="s">
        <v>2845</v>
      </c>
      <c r="V1" s="25" t="s">
        <v>2846</v>
      </c>
      <c r="W1" s="25" t="s">
        <v>2847</v>
      </c>
      <c r="X1" s="28" t="s">
        <v>2848</v>
      </c>
      <c r="Y1" s="28" t="s">
        <v>2849</v>
      </c>
      <c r="Z1" s="28" t="s">
        <v>2850</v>
      </c>
      <c r="AA1" s="28" t="s">
        <v>2851</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A2" s="18" t="s">
        <v>914</v>
      </c>
      <c r="B2" s="18" t="s">
        <v>914</v>
      </c>
      <c r="C2" s="18" t="s">
        <v>915</v>
      </c>
      <c r="D2" s="18" t="n">
        <v>2020</v>
      </c>
      <c r="E2" s="18" t="s">
        <v>916</v>
      </c>
      <c r="F2" s="18" t="s">
        <v>815</v>
      </c>
      <c r="G2" s="18" t="s">
        <v>919</v>
      </c>
      <c r="H2" s="18" t="n">
        <v>28.4</v>
      </c>
      <c r="I2" s="18" t="n">
        <v>77.1</v>
      </c>
      <c r="J2" s="18" t="s">
        <v>83</v>
      </c>
      <c r="K2" s="18" t="s">
        <v>1504</v>
      </c>
      <c r="L2" s="18" t="s">
        <v>802</v>
      </c>
      <c r="M2" s="18" t="s">
        <v>85</v>
      </c>
      <c r="N2" s="18" t="s">
        <v>86</v>
      </c>
      <c r="O2" s="18" t="s">
        <v>1472</v>
      </c>
      <c r="P2" s="18"/>
      <c r="Q2" s="18" t="n">
        <v>12.08</v>
      </c>
      <c r="R2" s="18"/>
      <c r="S2" s="18"/>
      <c r="T2" s="18"/>
      <c r="U2" s="18"/>
      <c r="V2" s="18" t="n">
        <v>11.56</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2830</v>
      </c>
      <c r="AS2" s="18" t="s">
        <v>1505</v>
      </c>
      <c r="AT2" s="18" t="s">
        <v>1506</v>
      </c>
      <c r="AU2" s="18" t="s">
        <v>1507</v>
      </c>
      <c r="AV2" s="18" t="s">
        <v>1870</v>
      </c>
      <c r="AW2" s="30" t="s">
        <v>2852</v>
      </c>
      <c r="AX2" s="18" t="s">
        <v>928</v>
      </c>
      <c r="AY2" s="18" t="s">
        <v>2832</v>
      </c>
      <c r="BA2" s="31" t="s">
        <v>1115</v>
      </c>
    </row>
    <row r="3" customFormat="false" ht="14.25" hidden="false" customHeight="true" outlineLevel="0" collapsed="false">
      <c r="A3" s="18" t="s">
        <v>914</v>
      </c>
      <c r="B3" s="18" t="s">
        <v>914</v>
      </c>
      <c r="C3" s="18" t="s">
        <v>915</v>
      </c>
      <c r="D3" s="18" t="n">
        <v>2020</v>
      </c>
      <c r="E3" s="18" t="s">
        <v>916</v>
      </c>
      <c r="F3" s="18" t="s">
        <v>815</v>
      </c>
      <c r="G3" s="18" t="s">
        <v>919</v>
      </c>
      <c r="H3" s="18" t="n">
        <v>28.4</v>
      </c>
      <c r="I3" s="18" t="n">
        <v>77.1</v>
      </c>
      <c r="J3" s="18" t="s">
        <v>83</v>
      </c>
      <c r="K3" s="18" t="s">
        <v>1504</v>
      </c>
      <c r="L3" s="18" t="s">
        <v>802</v>
      </c>
      <c r="M3" s="18" t="s">
        <v>85</v>
      </c>
      <c r="N3" s="18" t="s">
        <v>86</v>
      </c>
      <c r="O3" s="18" t="s">
        <v>1472</v>
      </c>
      <c r="P3" s="18"/>
      <c r="Q3" s="18" t="n">
        <v>12.08</v>
      </c>
      <c r="R3" s="18"/>
      <c r="S3" s="18"/>
      <c r="T3" s="18"/>
      <c r="U3" s="18"/>
      <c r="V3" s="18" t="n">
        <v>11.8</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2830</v>
      </c>
      <c r="AS3" s="18" t="s">
        <v>1511</v>
      </c>
      <c r="AT3" s="18" t="s">
        <v>1506</v>
      </c>
      <c r="AU3" s="18" t="s">
        <v>1507</v>
      </c>
      <c r="AV3" s="18" t="s">
        <v>1870</v>
      </c>
      <c r="AW3" s="30" t="s">
        <v>2853</v>
      </c>
      <c r="AX3" s="18" t="s">
        <v>928</v>
      </c>
      <c r="AY3" s="18" t="s">
        <v>2832</v>
      </c>
    </row>
    <row r="4" customFormat="false" ht="14.25" hidden="false" customHeight="true" outlineLevel="0" collapsed="false">
      <c r="A4" s="18" t="s">
        <v>914</v>
      </c>
      <c r="B4" s="18" t="s">
        <v>914</v>
      </c>
      <c r="C4" s="18" t="s">
        <v>915</v>
      </c>
      <c r="D4" s="18" t="n">
        <v>2020</v>
      </c>
      <c r="E4" s="18" t="s">
        <v>916</v>
      </c>
      <c r="F4" s="18" t="s">
        <v>815</v>
      </c>
      <c r="G4" s="18" t="s">
        <v>919</v>
      </c>
      <c r="H4" s="18" t="n">
        <v>28.4</v>
      </c>
      <c r="I4" s="18" t="n">
        <v>77.1</v>
      </c>
      <c r="J4" s="18" t="s">
        <v>83</v>
      </c>
      <c r="K4" s="18" t="s">
        <v>1504</v>
      </c>
      <c r="L4" s="18" t="s">
        <v>802</v>
      </c>
      <c r="M4" s="18" t="s">
        <v>85</v>
      </c>
      <c r="N4" s="18" t="s">
        <v>86</v>
      </c>
      <c r="O4" s="18" t="s">
        <v>1472</v>
      </c>
      <c r="P4" s="18"/>
      <c r="Q4" s="18" t="n">
        <v>12.87</v>
      </c>
      <c r="R4" s="18"/>
      <c r="S4" s="18"/>
      <c r="T4" s="18"/>
      <c r="U4" s="18"/>
      <c r="V4" s="18" t="n">
        <v>11.93</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2830</v>
      </c>
      <c r="AS4" s="18" t="s">
        <v>1513</v>
      </c>
      <c r="AT4" s="18" t="s">
        <v>1506</v>
      </c>
      <c r="AU4" s="18" t="s">
        <v>1507</v>
      </c>
      <c r="AV4" s="18" t="s">
        <v>1870</v>
      </c>
      <c r="AW4" s="30" t="s">
        <v>2854</v>
      </c>
      <c r="AX4" s="18" t="s">
        <v>928</v>
      </c>
      <c r="AY4" s="18" t="s">
        <v>2832</v>
      </c>
    </row>
    <row r="5" customFormat="false" ht="14.25" hidden="false" customHeight="true" outlineLevel="0" collapsed="false">
      <c r="A5" s="18" t="s">
        <v>914</v>
      </c>
      <c r="B5" s="18" t="s">
        <v>914</v>
      </c>
      <c r="C5" s="18" t="s">
        <v>915</v>
      </c>
      <c r="D5" s="18" t="n">
        <v>2020</v>
      </c>
      <c r="E5" s="18" t="s">
        <v>916</v>
      </c>
      <c r="F5" s="18" t="s">
        <v>815</v>
      </c>
      <c r="G5" s="18" t="s">
        <v>919</v>
      </c>
      <c r="H5" s="18" t="n">
        <v>28.4</v>
      </c>
      <c r="I5" s="18" t="n">
        <v>77.1</v>
      </c>
      <c r="J5" s="18" t="s">
        <v>83</v>
      </c>
      <c r="K5" s="18" t="s">
        <v>1504</v>
      </c>
      <c r="L5" s="18" t="s">
        <v>802</v>
      </c>
      <c r="M5" s="18" t="s">
        <v>85</v>
      </c>
      <c r="N5" s="18" t="s">
        <v>86</v>
      </c>
      <c r="O5" s="18" t="s">
        <v>1472</v>
      </c>
      <c r="P5" s="18"/>
      <c r="Q5" s="18" t="n">
        <v>12.87</v>
      </c>
      <c r="R5" s="18"/>
      <c r="S5" s="18"/>
      <c r="T5" s="18"/>
      <c r="U5" s="18"/>
      <c r="V5" s="18" t="n">
        <v>12.06</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2830</v>
      </c>
      <c r="AS5" s="18" t="s">
        <v>1515</v>
      </c>
      <c r="AT5" s="18" t="s">
        <v>1506</v>
      </c>
      <c r="AU5" s="18" t="s">
        <v>1507</v>
      </c>
      <c r="AV5" s="18" t="s">
        <v>1870</v>
      </c>
      <c r="AW5" s="30" t="s">
        <v>2855</v>
      </c>
      <c r="AX5" s="18" t="s">
        <v>928</v>
      </c>
      <c r="AY5" s="18" t="s">
        <v>2832</v>
      </c>
    </row>
    <row r="6" customFormat="false" ht="14.25" hidden="false" customHeight="true" outlineLevel="0" collapsed="false">
      <c r="A6" s="18" t="s">
        <v>914</v>
      </c>
      <c r="B6" s="18" t="s">
        <v>914</v>
      </c>
      <c r="C6" s="18" t="s">
        <v>915</v>
      </c>
      <c r="D6" s="18" t="n">
        <v>2020</v>
      </c>
      <c r="E6" s="18" t="s">
        <v>916</v>
      </c>
      <c r="F6" s="18" t="s">
        <v>815</v>
      </c>
      <c r="G6" s="18" t="s">
        <v>919</v>
      </c>
      <c r="H6" s="18" t="n">
        <v>28.4</v>
      </c>
      <c r="I6" s="18" t="n">
        <v>77.1</v>
      </c>
      <c r="J6" s="18" t="s">
        <v>83</v>
      </c>
      <c r="K6" s="18" t="s">
        <v>1504</v>
      </c>
      <c r="L6" s="18" t="s">
        <v>802</v>
      </c>
      <c r="M6" s="18" t="s">
        <v>85</v>
      </c>
      <c r="N6" s="18" t="s">
        <v>86</v>
      </c>
      <c r="O6" s="18" t="s">
        <v>1472</v>
      </c>
      <c r="P6" s="18"/>
      <c r="Q6" s="18" t="n">
        <v>14.33</v>
      </c>
      <c r="R6" s="18"/>
      <c r="S6" s="18"/>
      <c r="T6" s="18"/>
      <c r="U6" s="18"/>
      <c r="V6" s="18" t="n">
        <v>15.84</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2830</v>
      </c>
      <c r="AS6" s="18" t="s">
        <v>1517</v>
      </c>
      <c r="AT6" s="18" t="s">
        <v>1506</v>
      </c>
      <c r="AU6" s="18" t="s">
        <v>1507</v>
      </c>
      <c r="AV6" s="18" t="s">
        <v>1870</v>
      </c>
      <c r="AW6" s="30" t="s">
        <v>2856</v>
      </c>
      <c r="AX6" s="18" t="s">
        <v>928</v>
      </c>
      <c r="AY6" s="18" t="s">
        <v>2832</v>
      </c>
    </row>
    <row r="7" customFormat="false" ht="14.25" hidden="false" customHeight="true" outlineLevel="0" collapsed="false">
      <c r="A7" s="18" t="s">
        <v>914</v>
      </c>
      <c r="B7" s="18" t="s">
        <v>914</v>
      </c>
      <c r="C7" s="18" t="s">
        <v>915</v>
      </c>
      <c r="D7" s="18" t="n">
        <v>2020</v>
      </c>
      <c r="E7" s="18" t="s">
        <v>916</v>
      </c>
      <c r="F7" s="18" t="s">
        <v>815</v>
      </c>
      <c r="G7" s="18" t="s">
        <v>919</v>
      </c>
      <c r="H7" s="18" t="n">
        <v>28.4</v>
      </c>
      <c r="I7" s="18" t="n">
        <v>77.1</v>
      </c>
      <c r="J7" s="18" t="s">
        <v>83</v>
      </c>
      <c r="K7" s="18" t="s">
        <v>1504</v>
      </c>
      <c r="L7" s="18" t="s">
        <v>802</v>
      </c>
      <c r="M7" s="18" t="s">
        <v>85</v>
      </c>
      <c r="N7" s="18" t="s">
        <v>86</v>
      </c>
      <c r="O7" s="18" t="s">
        <v>1472</v>
      </c>
      <c r="P7" s="18"/>
      <c r="Q7" s="18" t="n">
        <v>14.33</v>
      </c>
      <c r="R7" s="18"/>
      <c r="S7" s="18"/>
      <c r="T7" s="18"/>
      <c r="U7" s="18"/>
      <c r="V7" s="18" t="n">
        <v>12.63</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2830</v>
      </c>
      <c r="AS7" s="18" t="s">
        <v>1519</v>
      </c>
      <c r="AT7" s="18" t="s">
        <v>1506</v>
      </c>
      <c r="AU7" s="18" t="s">
        <v>1507</v>
      </c>
      <c r="AV7" s="18" t="s">
        <v>1870</v>
      </c>
      <c r="AW7" s="30" t="s">
        <v>2857</v>
      </c>
      <c r="AX7" s="18" t="s">
        <v>928</v>
      </c>
      <c r="AY7" s="18" t="s">
        <v>2832</v>
      </c>
    </row>
    <row r="8" customFormat="false" ht="14.25" hidden="false" customHeight="true" outlineLevel="0" collapsed="false">
      <c r="A8" s="18" t="s">
        <v>914</v>
      </c>
      <c r="B8" s="18" t="s">
        <v>914</v>
      </c>
      <c r="C8" s="18" t="s">
        <v>915</v>
      </c>
      <c r="D8" s="18" t="n">
        <v>2020</v>
      </c>
      <c r="E8" s="18" t="s">
        <v>916</v>
      </c>
      <c r="F8" s="18" t="s">
        <v>815</v>
      </c>
      <c r="G8" s="18" t="s">
        <v>919</v>
      </c>
      <c r="H8" s="18" t="n">
        <v>28.4</v>
      </c>
      <c r="I8" s="18" t="n">
        <v>77.1</v>
      </c>
      <c r="J8" s="18" t="s">
        <v>83</v>
      </c>
      <c r="K8" s="18" t="s">
        <v>1504</v>
      </c>
      <c r="L8" s="18" t="s">
        <v>802</v>
      </c>
      <c r="M8" s="18" t="s">
        <v>85</v>
      </c>
      <c r="N8" s="18" t="s">
        <v>86</v>
      </c>
      <c r="O8" s="18" t="s">
        <v>1472</v>
      </c>
      <c r="P8" s="18"/>
      <c r="Q8" s="18" t="n">
        <v>12.73</v>
      </c>
      <c r="R8" s="18"/>
      <c r="S8" s="18"/>
      <c r="T8" s="18"/>
      <c r="U8" s="18"/>
      <c r="V8" s="18" t="n">
        <v>12.98</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2830</v>
      </c>
      <c r="AS8" s="18" t="s">
        <v>1521</v>
      </c>
      <c r="AT8" s="18" t="s">
        <v>1506</v>
      </c>
      <c r="AU8" s="18" t="s">
        <v>1507</v>
      </c>
      <c r="AV8" s="18" t="s">
        <v>1870</v>
      </c>
      <c r="AW8" s="30" t="s">
        <v>2858</v>
      </c>
      <c r="AX8" s="18" t="s">
        <v>928</v>
      </c>
      <c r="AY8" s="18" t="s">
        <v>2832</v>
      </c>
    </row>
    <row r="9" customFormat="false" ht="14.25" hidden="false" customHeight="true" outlineLevel="0" collapsed="false">
      <c r="A9" s="18" t="s">
        <v>914</v>
      </c>
      <c r="B9" s="18" t="s">
        <v>914</v>
      </c>
      <c r="C9" s="18" t="s">
        <v>915</v>
      </c>
      <c r="D9" s="18" t="n">
        <v>2020</v>
      </c>
      <c r="E9" s="18" t="s">
        <v>916</v>
      </c>
      <c r="F9" s="18" t="s">
        <v>815</v>
      </c>
      <c r="G9" s="18" t="s">
        <v>919</v>
      </c>
      <c r="H9" s="18" t="n">
        <v>28.4</v>
      </c>
      <c r="I9" s="18" t="n">
        <v>77.1</v>
      </c>
      <c r="J9" s="18" t="s">
        <v>83</v>
      </c>
      <c r="K9" s="18" t="s">
        <v>1504</v>
      </c>
      <c r="L9" s="18" t="s">
        <v>802</v>
      </c>
      <c r="M9" s="18" t="s">
        <v>85</v>
      </c>
      <c r="N9" s="18" t="s">
        <v>86</v>
      </c>
      <c r="O9" s="18" t="s">
        <v>1472</v>
      </c>
      <c r="P9" s="18"/>
      <c r="Q9" s="18" t="n">
        <v>12.73</v>
      </c>
      <c r="R9" s="18"/>
      <c r="S9" s="18"/>
      <c r="T9" s="18"/>
      <c r="U9" s="18"/>
      <c r="V9" s="18" t="n">
        <v>13.24</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2830</v>
      </c>
      <c r="AS9" s="18" t="s">
        <v>1523</v>
      </c>
      <c r="AT9" s="18" t="s">
        <v>1506</v>
      </c>
      <c r="AU9" s="18" t="s">
        <v>1507</v>
      </c>
      <c r="AV9" s="18" t="s">
        <v>1870</v>
      </c>
      <c r="AW9" s="30" t="s">
        <v>2859</v>
      </c>
      <c r="AX9" s="18" t="s">
        <v>928</v>
      </c>
      <c r="AY9" s="18" t="s">
        <v>2832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2860</v>
      </c>
      <c r="Q1" s="25" t="s">
        <v>2861</v>
      </c>
      <c r="R1" s="25" t="s">
        <v>2862</v>
      </c>
      <c r="S1" s="25" t="s">
        <v>2863</v>
      </c>
      <c r="T1" s="25" t="s">
        <v>2864</v>
      </c>
      <c r="U1" s="25" t="s">
        <v>2865</v>
      </c>
      <c r="V1" s="25" t="s">
        <v>2866</v>
      </c>
      <c r="W1" s="25" t="s">
        <v>2867</v>
      </c>
      <c r="X1" s="28" t="s">
        <v>2868</v>
      </c>
      <c r="Y1" s="28" t="s">
        <v>2869</v>
      </c>
      <c r="Z1" s="28" t="s">
        <v>2870</v>
      </c>
      <c r="AA1" s="28" t="s">
        <v>2871</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A2" s="18" t="s">
        <v>914</v>
      </c>
      <c r="B2" s="18" t="s">
        <v>914</v>
      </c>
      <c r="C2" s="18" t="s">
        <v>915</v>
      </c>
      <c r="D2" s="18" t="n">
        <v>2020</v>
      </c>
      <c r="E2" s="18" t="s">
        <v>916</v>
      </c>
      <c r="F2" s="18" t="s">
        <v>815</v>
      </c>
      <c r="G2" s="18" t="s">
        <v>919</v>
      </c>
      <c r="H2" s="18" t="n">
        <v>28.4</v>
      </c>
      <c r="I2" s="18" t="n">
        <v>77.1</v>
      </c>
      <c r="J2" s="18" t="s">
        <v>83</v>
      </c>
      <c r="K2" s="18" t="s">
        <v>1504</v>
      </c>
      <c r="L2" s="18" t="s">
        <v>802</v>
      </c>
      <c r="M2" s="18" t="s">
        <v>85</v>
      </c>
      <c r="N2" s="18" t="s">
        <v>86</v>
      </c>
      <c r="O2" s="18" t="s">
        <v>1472</v>
      </c>
      <c r="P2" s="18"/>
      <c r="Q2" s="18" t="n">
        <v>4</v>
      </c>
      <c r="R2" s="18"/>
      <c r="S2" s="18"/>
      <c r="T2" s="18"/>
      <c r="U2" s="18"/>
      <c r="V2" s="18" t="n">
        <v>3.85</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2830</v>
      </c>
      <c r="AS2" s="18" t="s">
        <v>1505</v>
      </c>
      <c r="AT2" s="18" t="s">
        <v>1506</v>
      </c>
      <c r="AU2" s="18" t="s">
        <v>1507</v>
      </c>
      <c r="AV2" s="18" t="s">
        <v>1870</v>
      </c>
      <c r="AW2" s="30" t="s">
        <v>2872</v>
      </c>
      <c r="AX2" s="18" t="s">
        <v>928</v>
      </c>
      <c r="AY2" s="18" t="s">
        <v>2832</v>
      </c>
      <c r="BA2" s="31" t="s">
        <v>1115</v>
      </c>
    </row>
    <row r="3" customFormat="false" ht="14.25" hidden="false" customHeight="true" outlineLevel="0" collapsed="false">
      <c r="A3" s="18" t="s">
        <v>914</v>
      </c>
      <c r="B3" s="18" t="s">
        <v>914</v>
      </c>
      <c r="C3" s="18" t="s">
        <v>915</v>
      </c>
      <c r="D3" s="18" t="n">
        <v>2020</v>
      </c>
      <c r="E3" s="18" t="s">
        <v>916</v>
      </c>
      <c r="F3" s="18" t="s">
        <v>815</v>
      </c>
      <c r="G3" s="18" t="s">
        <v>919</v>
      </c>
      <c r="H3" s="18" t="n">
        <v>28.4</v>
      </c>
      <c r="I3" s="18" t="n">
        <v>77.1</v>
      </c>
      <c r="J3" s="18" t="s">
        <v>83</v>
      </c>
      <c r="K3" s="18" t="s">
        <v>1504</v>
      </c>
      <c r="L3" s="18" t="s">
        <v>802</v>
      </c>
      <c r="M3" s="18" t="s">
        <v>85</v>
      </c>
      <c r="N3" s="18" t="s">
        <v>86</v>
      </c>
      <c r="O3" s="18" t="s">
        <v>1472</v>
      </c>
      <c r="P3" s="18"/>
      <c r="Q3" s="18" t="n">
        <v>4</v>
      </c>
      <c r="R3" s="18"/>
      <c r="S3" s="18"/>
      <c r="T3" s="18"/>
      <c r="U3" s="18"/>
      <c r="V3" s="18" t="n">
        <v>4.11</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2830</v>
      </c>
      <c r="AS3" s="18" t="s">
        <v>1511</v>
      </c>
      <c r="AT3" s="18" t="s">
        <v>1506</v>
      </c>
      <c r="AU3" s="18" t="s">
        <v>1507</v>
      </c>
      <c r="AV3" s="18" t="s">
        <v>1870</v>
      </c>
      <c r="AW3" s="30" t="s">
        <v>2873</v>
      </c>
      <c r="AX3" s="18" t="s">
        <v>928</v>
      </c>
      <c r="AY3" s="18" t="s">
        <v>2832</v>
      </c>
    </row>
    <row r="4" customFormat="false" ht="14.25" hidden="false" customHeight="true" outlineLevel="0" collapsed="false">
      <c r="A4" s="18" t="s">
        <v>914</v>
      </c>
      <c r="B4" s="18" t="s">
        <v>914</v>
      </c>
      <c r="C4" s="18" t="s">
        <v>915</v>
      </c>
      <c r="D4" s="18" t="n">
        <v>2020</v>
      </c>
      <c r="E4" s="18" t="s">
        <v>916</v>
      </c>
      <c r="F4" s="18" t="s">
        <v>815</v>
      </c>
      <c r="G4" s="18" t="s">
        <v>919</v>
      </c>
      <c r="H4" s="18" t="n">
        <v>28.4</v>
      </c>
      <c r="I4" s="18" t="n">
        <v>77.1</v>
      </c>
      <c r="J4" s="18" t="s">
        <v>83</v>
      </c>
      <c r="K4" s="18" t="s">
        <v>1504</v>
      </c>
      <c r="L4" s="18" t="s">
        <v>802</v>
      </c>
      <c r="M4" s="18" t="s">
        <v>85</v>
      </c>
      <c r="N4" s="18" t="s">
        <v>86</v>
      </c>
      <c r="O4" s="18" t="s">
        <v>1472</v>
      </c>
      <c r="P4" s="18"/>
      <c r="Q4" s="18" t="n">
        <v>4.09</v>
      </c>
      <c r="R4" s="18"/>
      <c r="S4" s="18"/>
      <c r="T4" s="18"/>
      <c r="U4" s="18"/>
      <c r="V4" s="18" t="n">
        <v>3.96</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2830</v>
      </c>
      <c r="AS4" s="18" t="s">
        <v>1513</v>
      </c>
      <c r="AT4" s="18" t="s">
        <v>1506</v>
      </c>
      <c r="AU4" s="18" t="s">
        <v>1507</v>
      </c>
      <c r="AV4" s="18" t="s">
        <v>1870</v>
      </c>
      <c r="AW4" s="30" t="s">
        <v>2874</v>
      </c>
      <c r="AX4" s="18" t="s">
        <v>928</v>
      </c>
      <c r="AY4" s="18" t="s">
        <v>2832</v>
      </c>
    </row>
    <row r="5" customFormat="false" ht="14.25" hidden="false" customHeight="true" outlineLevel="0" collapsed="false">
      <c r="A5" s="18" t="s">
        <v>914</v>
      </c>
      <c r="B5" s="18" t="s">
        <v>914</v>
      </c>
      <c r="C5" s="18" t="s">
        <v>915</v>
      </c>
      <c r="D5" s="18" t="n">
        <v>2020</v>
      </c>
      <c r="E5" s="18" t="s">
        <v>916</v>
      </c>
      <c r="F5" s="18" t="s">
        <v>815</v>
      </c>
      <c r="G5" s="18" t="s">
        <v>919</v>
      </c>
      <c r="H5" s="18" t="n">
        <v>28.4</v>
      </c>
      <c r="I5" s="18" t="n">
        <v>77.1</v>
      </c>
      <c r="J5" s="18" t="s">
        <v>83</v>
      </c>
      <c r="K5" s="18" t="s">
        <v>1504</v>
      </c>
      <c r="L5" s="18" t="s">
        <v>802</v>
      </c>
      <c r="M5" s="18" t="s">
        <v>85</v>
      </c>
      <c r="N5" s="18" t="s">
        <v>86</v>
      </c>
      <c r="O5" s="18" t="s">
        <v>1472</v>
      </c>
      <c r="P5" s="18"/>
      <c r="Q5" s="18" t="n">
        <v>4.09</v>
      </c>
      <c r="R5" s="18"/>
      <c r="S5" s="18"/>
      <c r="T5" s="18"/>
      <c r="U5" s="18"/>
      <c r="V5" s="18" t="n">
        <v>4.22</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2830</v>
      </c>
      <c r="AS5" s="18" t="s">
        <v>1515</v>
      </c>
      <c r="AT5" s="18" t="s">
        <v>1506</v>
      </c>
      <c r="AU5" s="18" t="s">
        <v>1507</v>
      </c>
      <c r="AV5" s="18" t="s">
        <v>1870</v>
      </c>
      <c r="AW5" s="30" t="s">
        <v>2875</v>
      </c>
      <c r="AX5" s="18" t="s">
        <v>928</v>
      </c>
      <c r="AY5" s="18" t="s">
        <v>2832</v>
      </c>
    </row>
    <row r="6" customFormat="false" ht="14.25" hidden="false" customHeight="true" outlineLevel="0" collapsed="false">
      <c r="A6" s="18" t="s">
        <v>914</v>
      </c>
      <c r="B6" s="18" t="s">
        <v>914</v>
      </c>
      <c r="C6" s="18" t="s">
        <v>915</v>
      </c>
      <c r="D6" s="18" t="n">
        <v>2020</v>
      </c>
      <c r="E6" s="18" t="s">
        <v>916</v>
      </c>
      <c r="F6" s="18" t="s">
        <v>815</v>
      </c>
      <c r="G6" s="18" t="s">
        <v>919</v>
      </c>
      <c r="H6" s="18" t="n">
        <v>28.4</v>
      </c>
      <c r="I6" s="18" t="n">
        <v>77.1</v>
      </c>
      <c r="J6" s="18" t="s">
        <v>83</v>
      </c>
      <c r="K6" s="18" t="s">
        <v>1504</v>
      </c>
      <c r="L6" s="18" t="s">
        <v>802</v>
      </c>
      <c r="M6" s="18" t="s">
        <v>85</v>
      </c>
      <c r="N6" s="18" t="s">
        <v>86</v>
      </c>
      <c r="O6" s="18" t="s">
        <v>1472</v>
      </c>
      <c r="P6" s="18"/>
      <c r="Q6" s="18" t="n">
        <v>3.96</v>
      </c>
      <c r="R6" s="18"/>
      <c r="S6" s="18"/>
      <c r="T6" s="18"/>
      <c r="U6" s="18"/>
      <c r="V6" s="18" t="n">
        <v>3.99</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2830</v>
      </c>
      <c r="AS6" s="18" t="s">
        <v>1517</v>
      </c>
      <c r="AT6" s="18" t="s">
        <v>1506</v>
      </c>
      <c r="AU6" s="18" t="s">
        <v>1507</v>
      </c>
      <c r="AV6" s="18" t="s">
        <v>1870</v>
      </c>
      <c r="AW6" s="30" t="s">
        <v>2876</v>
      </c>
      <c r="AX6" s="18" t="s">
        <v>928</v>
      </c>
      <c r="AY6" s="18" t="s">
        <v>2832</v>
      </c>
    </row>
    <row r="7" customFormat="false" ht="14.25" hidden="false" customHeight="true" outlineLevel="0" collapsed="false">
      <c r="A7" s="18" t="s">
        <v>914</v>
      </c>
      <c r="B7" s="18" t="s">
        <v>914</v>
      </c>
      <c r="C7" s="18" t="s">
        <v>915</v>
      </c>
      <c r="D7" s="18" t="n">
        <v>2020</v>
      </c>
      <c r="E7" s="18" t="s">
        <v>916</v>
      </c>
      <c r="F7" s="18" t="s">
        <v>815</v>
      </c>
      <c r="G7" s="18" t="s">
        <v>919</v>
      </c>
      <c r="H7" s="18" t="n">
        <v>28.4</v>
      </c>
      <c r="I7" s="18" t="n">
        <v>77.1</v>
      </c>
      <c r="J7" s="18" t="s">
        <v>83</v>
      </c>
      <c r="K7" s="18" t="s">
        <v>1504</v>
      </c>
      <c r="L7" s="18" t="s">
        <v>802</v>
      </c>
      <c r="M7" s="18" t="s">
        <v>85</v>
      </c>
      <c r="N7" s="18" t="s">
        <v>86</v>
      </c>
      <c r="O7" s="18" t="s">
        <v>1472</v>
      </c>
      <c r="P7" s="18"/>
      <c r="Q7" s="18" t="n">
        <v>3.96</v>
      </c>
      <c r="R7" s="18"/>
      <c r="S7" s="18"/>
      <c r="T7" s="18"/>
      <c r="U7" s="18"/>
      <c r="V7" s="18" t="n">
        <v>3.91</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2830</v>
      </c>
      <c r="AS7" s="18" t="s">
        <v>1519</v>
      </c>
      <c r="AT7" s="18" t="s">
        <v>1506</v>
      </c>
      <c r="AU7" s="18" t="s">
        <v>1507</v>
      </c>
      <c r="AV7" s="18" t="s">
        <v>1870</v>
      </c>
      <c r="AW7" s="30" t="s">
        <v>2877</v>
      </c>
      <c r="AX7" s="18" t="s">
        <v>928</v>
      </c>
      <c r="AY7" s="18" t="s">
        <v>2832</v>
      </c>
    </row>
    <row r="8" customFormat="false" ht="14.25" hidden="false" customHeight="true" outlineLevel="0" collapsed="false">
      <c r="A8" s="18" t="s">
        <v>914</v>
      </c>
      <c r="B8" s="18" t="s">
        <v>914</v>
      </c>
      <c r="C8" s="18" t="s">
        <v>915</v>
      </c>
      <c r="D8" s="18" t="n">
        <v>2020</v>
      </c>
      <c r="E8" s="18" t="s">
        <v>916</v>
      </c>
      <c r="F8" s="18" t="s">
        <v>815</v>
      </c>
      <c r="G8" s="18" t="s">
        <v>919</v>
      </c>
      <c r="H8" s="18" t="n">
        <v>28.4</v>
      </c>
      <c r="I8" s="18" t="n">
        <v>77.1</v>
      </c>
      <c r="J8" s="18" t="s">
        <v>83</v>
      </c>
      <c r="K8" s="18" t="s">
        <v>1504</v>
      </c>
      <c r="L8" s="18" t="s">
        <v>802</v>
      </c>
      <c r="M8" s="18" t="s">
        <v>85</v>
      </c>
      <c r="N8" s="18" t="s">
        <v>86</v>
      </c>
      <c r="O8" s="18" t="s">
        <v>1472</v>
      </c>
      <c r="P8" s="18"/>
      <c r="Q8" s="18" t="n">
        <v>4.3</v>
      </c>
      <c r="R8" s="18"/>
      <c r="S8" s="18"/>
      <c r="T8" s="18"/>
      <c r="U8" s="18"/>
      <c r="V8" s="18" t="n">
        <v>4.03</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2830</v>
      </c>
      <c r="AS8" s="18" t="s">
        <v>1521</v>
      </c>
      <c r="AT8" s="18" t="s">
        <v>1506</v>
      </c>
      <c r="AU8" s="18" t="s">
        <v>1507</v>
      </c>
      <c r="AV8" s="18" t="s">
        <v>1870</v>
      </c>
      <c r="AW8" s="30" t="s">
        <v>2878</v>
      </c>
      <c r="AX8" s="18" t="s">
        <v>928</v>
      </c>
      <c r="AY8" s="18" t="s">
        <v>2832</v>
      </c>
    </row>
    <row r="9" customFormat="false" ht="14.25" hidden="false" customHeight="true" outlineLevel="0" collapsed="false">
      <c r="A9" s="18" t="s">
        <v>914</v>
      </c>
      <c r="B9" s="18" t="s">
        <v>914</v>
      </c>
      <c r="C9" s="18" t="s">
        <v>915</v>
      </c>
      <c r="D9" s="18" t="n">
        <v>2020</v>
      </c>
      <c r="E9" s="18" t="s">
        <v>916</v>
      </c>
      <c r="F9" s="18" t="s">
        <v>815</v>
      </c>
      <c r="G9" s="18" t="s">
        <v>919</v>
      </c>
      <c r="H9" s="18" t="n">
        <v>28.4</v>
      </c>
      <c r="I9" s="18" t="n">
        <v>77.1</v>
      </c>
      <c r="J9" s="18" t="s">
        <v>83</v>
      </c>
      <c r="K9" s="18" t="s">
        <v>1504</v>
      </c>
      <c r="L9" s="18" t="s">
        <v>802</v>
      </c>
      <c r="M9" s="18" t="s">
        <v>85</v>
      </c>
      <c r="N9" s="18" t="s">
        <v>86</v>
      </c>
      <c r="O9" s="18" t="s">
        <v>1472</v>
      </c>
      <c r="P9" s="18"/>
      <c r="Q9" s="18" t="n">
        <v>4.3</v>
      </c>
      <c r="R9" s="18"/>
      <c r="S9" s="18"/>
      <c r="T9" s="18"/>
      <c r="U9" s="18"/>
      <c r="V9" s="18" t="n">
        <v>4.3</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2830</v>
      </c>
      <c r="AS9" s="18" t="s">
        <v>1523</v>
      </c>
      <c r="AT9" s="18" t="s">
        <v>1506</v>
      </c>
      <c r="AU9" s="18" t="s">
        <v>1507</v>
      </c>
      <c r="AV9" s="18" t="s">
        <v>1870</v>
      </c>
      <c r="AW9" s="30" t="s">
        <v>2879</v>
      </c>
      <c r="AX9" s="18" t="s">
        <v>928</v>
      </c>
      <c r="AY9" s="18" t="s">
        <v>2832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2880</v>
      </c>
      <c r="Q1" s="25" t="s">
        <v>2881</v>
      </c>
      <c r="R1" s="25" t="s">
        <v>2882</v>
      </c>
      <c r="S1" s="25" t="s">
        <v>2883</v>
      </c>
      <c r="T1" s="25" t="s">
        <v>2884</v>
      </c>
      <c r="U1" s="25" t="s">
        <v>2885</v>
      </c>
      <c r="V1" s="25" t="s">
        <v>2886</v>
      </c>
      <c r="W1" s="25" t="s">
        <v>2887</v>
      </c>
      <c r="X1" s="28" t="s">
        <v>2888</v>
      </c>
      <c r="Y1" s="28" t="s">
        <v>2889</v>
      </c>
      <c r="Z1" s="28" t="s">
        <v>2890</v>
      </c>
      <c r="AA1" s="28" t="s">
        <v>2891</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A2" s="18" t="s">
        <v>914</v>
      </c>
      <c r="B2" s="18" t="s">
        <v>914</v>
      </c>
      <c r="C2" s="18" t="s">
        <v>915</v>
      </c>
      <c r="D2" s="18" t="n">
        <v>2020</v>
      </c>
      <c r="E2" s="18" t="s">
        <v>916</v>
      </c>
      <c r="F2" s="18" t="s">
        <v>815</v>
      </c>
      <c r="G2" s="18" t="s">
        <v>919</v>
      </c>
      <c r="H2" s="18" t="n">
        <v>28.4</v>
      </c>
      <c r="I2" s="18" t="n">
        <v>77.1</v>
      </c>
      <c r="J2" s="18" t="s">
        <v>83</v>
      </c>
      <c r="K2" s="18" t="s">
        <v>1504</v>
      </c>
      <c r="L2" s="18" t="s">
        <v>802</v>
      </c>
      <c r="M2" s="18" t="s">
        <v>85</v>
      </c>
      <c r="N2" s="18" t="s">
        <v>86</v>
      </c>
      <c r="O2" s="18" t="s">
        <v>1472</v>
      </c>
      <c r="P2" s="18"/>
      <c r="Q2" s="18" t="n">
        <v>1.7</v>
      </c>
      <c r="R2" s="18"/>
      <c r="S2" s="18"/>
      <c r="T2" s="18"/>
      <c r="U2" s="18"/>
      <c r="V2" s="18" t="n">
        <v>1.68</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2830</v>
      </c>
      <c r="AS2" s="18" t="s">
        <v>1505</v>
      </c>
      <c r="AT2" s="18" t="s">
        <v>1506</v>
      </c>
      <c r="AU2" s="18" t="s">
        <v>1507</v>
      </c>
      <c r="AV2" s="18" t="s">
        <v>1870</v>
      </c>
      <c r="AW2" s="30" t="s">
        <v>2892</v>
      </c>
      <c r="AX2" s="18" t="s">
        <v>928</v>
      </c>
      <c r="AY2" s="18" t="s">
        <v>2832</v>
      </c>
      <c r="BA2" s="31" t="s">
        <v>1115</v>
      </c>
    </row>
    <row r="3" customFormat="false" ht="14.25" hidden="false" customHeight="true" outlineLevel="0" collapsed="false">
      <c r="A3" s="18" t="s">
        <v>914</v>
      </c>
      <c r="B3" s="18" t="s">
        <v>914</v>
      </c>
      <c r="C3" s="18" t="s">
        <v>915</v>
      </c>
      <c r="D3" s="18" t="n">
        <v>2020</v>
      </c>
      <c r="E3" s="18" t="s">
        <v>916</v>
      </c>
      <c r="F3" s="18" t="s">
        <v>815</v>
      </c>
      <c r="G3" s="18" t="s">
        <v>919</v>
      </c>
      <c r="H3" s="18" t="n">
        <v>28.4</v>
      </c>
      <c r="I3" s="18" t="n">
        <v>77.1</v>
      </c>
      <c r="J3" s="18" t="s">
        <v>83</v>
      </c>
      <c r="K3" s="18" t="s">
        <v>1504</v>
      </c>
      <c r="L3" s="18" t="s">
        <v>802</v>
      </c>
      <c r="M3" s="18" t="s">
        <v>85</v>
      </c>
      <c r="N3" s="18" t="s">
        <v>86</v>
      </c>
      <c r="O3" s="18" t="s">
        <v>1472</v>
      </c>
      <c r="P3" s="18"/>
      <c r="Q3" s="18" t="n">
        <v>1.7</v>
      </c>
      <c r="R3" s="18"/>
      <c r="S3" s="18"/>
      <c r="T3" s="18"/>
      <c r="U3" s="18"/>
      <c r="V3" s="18" t="n">
        <v>1.81</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2830</v>
      </c>
      <c r="AS3" s="18" t="s">
        <v>1511</v>
      </c>
      <c r="AT3" s="18" t="s">
        <v>1506</v>
      </c>
      <c r="AU3" s="18" t="s">
        <v>1507</v>
      </c>
      <c r="AV3" s="18" t="s">
        <v>1870</v>
      </c>
      <c r="AW3" s="30" t="s">
        <v>2893</v>
      </c>
      <c r="AX3" s="18" t="s">
        <v>928</v>
      </c>
      <c r="AY3" s="18" t="s">
        <v>2832</v>
      </c>
    </row>
    <row r="4" customFormat="false" ht="14.25" hidden="false" customHeight="true" outlineLevel="0" collapsed="false">
      <c r="A4" s="18" t="s">
        <v>914</v>
      </c>
      <c r="B4" s="18" t="s">
        <v>914</v>
      </c>
      <c r="C4" s="18" t="s">
        <v>915</v>
      </c>
      <c r="D4" s="18" t="n">
        <v>2020</v>
      </c>
      <c r="E4" s="18" t="s">
        <v>916</v>
      </c>
      <c r="F4" s="18" t="s">
        <v>815</v>
      </c>
      <c r="G4" s="18" t="s">
        <v>919</v>
      </c>
      <c r="H4" s="18" t="n">
        <v>28.4</v>
      </c>
      <c r="I4" s="18" t="n">
        <v>77.1</v>
      </c>
      <c r="J4" s="18" t="s">
        <v>83</v>
      </c>
      <c r="K4" s="18" t="s">
        <v>1504</v>
      </c>
      <c r="L4" s="18" t="s">
        <v>802</v>
      </c>
      <c r="M4" s="18" t="s">
        <v>85</v>
      </c>
      <c r="N4" s="18" t="s">
        <v>86</v>
      </c>
      <c r="O4" s="18" t="s">
        <v>1472</v>
      </c>
      <c r="P4" s="18"/>
      <c r="Q4" s="18" t="n">
        <v>1.69</v>
      </c>
      <c r="R4" s="18"/>
      <c r="S4" s="18"/>
      <c r="T4" s="18"/>
      <c r="U4" s="18"/>
      <c r="V4" s="18" t="n">
        <v>1.69</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2830</v>
      </c>
      <c r="AS4" s="18" t="s">
        <v>1513</v>
      </c>
      <c r="AT4" s="18" t="s">
        <v>1506</v>
      </c>
      <c r="AU4" s="18" t="s">
        <v>1507</v>
      </c>
      <c r="AV4" s="18" t="s">
        <v>1870</v>
      </c>
      <c r="AW4" s="30" t="s">
        <v>2894</v>
      </c>
      <c r="AX4" s="18" t="s">
        <v>928</v>
      </c>
      <c r="AY4" s="18" t="s">
        <v>2832</v>
      </c>
    </row>
    <row r="5" customFormat="false" ht="14.25" hidden="false" customHeight="true" outlineLevel="0" collapsed="false">
      <c r="A5" s="18" t="s">
        <v>914</v>
      </c>
      <c r="B5" s="18" t="s">
        <v>914</v>
      </c>
      <c r="C5" s="18" t="s">
        <v>915</v>
      </c>
      <c r="D5" s="18" t="n">
        <v>2020</v>
      </c>
      <c r="E5" s="18" t="s">
        <v>916</v>
      </c>
      <c r="F5" s="18" t="s">
        <v>815</v>
      </c>
      <c r="G5" s="18" t="s">
        <v>919</v>
      </c>
      <c r="H5" s="18" t="n">
        <v>28.4</v>
      </c>
      <c r="I5" s="18" t="n">
        <v>77.1</v>
      </c>
      <c r="J5" s="18" t="s">
        <v>83</v>
      </c>
      <c r="K5" s="18" t="s">
        <v>1504</v>
      </c>
      <c r="L5" s="18" t="s">
        <v>802</v>
      </c>
      <c r="M5" s="18" t="s">
        <v>85</v>
      </c>
      <c r="N5" s="18" t="s">
        <v>86</v>
      </c>
      <c r="O5" s="18" t="s">
        <v>1472</v>
      </c>
      <c r="P5" s="18"/>
      <c r="Q5" s="18" t="n">
        <v>1.69</v>
      </c>
      <c r="R5" s="18"/>
      <c r="S5" s="18"/>
      <c r="T5" s="18"/>
      <c r="U5" s="18"/>
      <c r="V5" s="18" t="n">
        <v>1.74</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2830</v>
      </c>
      <c r="AS5" s="18" t="s">
        <v>1515</v>
      </c>
      <c r="AT5" s="18" t="s">
        <v>1506</v>
      </c>
      <c r="AU5" s="18" t="s">
        <v>1507</v>
      </c>
      <c r="AV5" s="18" t="s">
        <v>1870</v>
      </c>
      <c r="AW5" s="30" t="s">
        <v>2895</v>
      </c>
      <c r="AX5" s="18" t="s">
        <v>928</v>
      </c>
      <c r="AY5" s="18" t="s">
        <v>2832</v>
      </c>
    </row>
    <row r="6" customFormat="false" ht="14.25" hidden="false" customHeight="true" outlineLevel="0" collapsed="false">
      <c r="A6" s="18" t="s">
        <v>914</v>
      </c>
      <c r="B6" s="18" t="s">
        <v>914</v>
      </c>
      <c r="C6" s="18" t="s">
        <v>915</v>
      </c>
      <c r="D6" s="18" t="n">
        <v>2020</v>
      </c>
      <c r="E6" s="18" t="s">
        <v>916</v>
      </c>
      <c r="F6" s="18" t="s">
        <v>815</v>
      </c>
      <c r="G6" s="18" t="s">
        <v>919</v>
      </c>
      <c r="H6" s="18" t="n">
        <v>28.4</v>
      </c>
      <c r="I6" s="18" t="n">
        <v>77.1</v>
      </c>
      <c r="J6" s="18" t="s">
        <v>83</v>
      </c>
      <c r="K6" s="18" t="s">
        <v>1504</v>
      </c>
      <c r="L6" s="18" t="s">
        <v>802</v>
      </c>
      <c r="M6" s="18" t="s">
        <v>85</v>
      </c>
      <c r="N6" s="18" t="s">
        <v>86</v>
      </c>
      <c r="O6" s="18" t="s">
        <v>1472</v>
      </c>
      <c r="P6" s="18"/>
      <c r="Q6" s="18" t="n">
        <v>1.84</v>
      </c>
      <c r="R6" s="18"/>
      <c r="S6" s="18"/>
      <c r="T6" s="18"/>
      <c r="U6" s="18"/>
      <c r="V6" s="18" t="n">
        <v>1.66</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2830</v>
      </c>
      <c r="AS6" s="18" t="s">
        <v>1517</v>
      </c>
      <c r="AT6" s="18" t="s">
        <v>1506</v>
      </c>
      <c r="AU6" s="18" t="s">
        <v>1507</v>
      </c>
      <c r="AV6" s="18" t="s">
        <v>1870</v>
      </c>
      <c r="AW6" s="30" t="s">
        <v>2896</v>
      </c>
      <c r="AX6" s="18" t="s">
        <v>928</v>
      </c>
      <c r="AY6" s="18" t="s">
        <v>2832</v>
      </c>
    </row>
    <row r="7" customFormat="false" ht="14.25" hidden="false" customHeight="true" outlineLevel="0" collapsed="false">
      <c r="A7" s="18" t="s">
        <v>914</v>
      </c>
      <c r="B7" s="18" t="s">
        <v>914</v>
      </c>
      <c r="C7" s="18" t="s">
        <v>915</v>
      </c>
      <c r="D7" s="18" t="n">
        <v>2020</v>
      </c>
      <c r="E7" s="18" t="s">
        <v>916</v>
      </c>
      <c r="F7" s="18" t="s">
        <v>815</v>
      </c>
      <c r="G7" s="18" t="s">
        <v>919</v>
      </c>
      <c r="H7" s="18" t="n">
        <v>28.4</v>
      </c>
      <c r="I7" s="18" t="n">
        <v>77.1</v>
      </c>
      <c r="J7" s="18" t="s">
        <v>83</v>
      </c>
      <c r="K7" s="18" t="s">
        <v>1504</v>
      </c>
      <c r="L7" s="18" t="s">
        <v>802</v>
      </c>
      <c r="M7" s="18" t="s">
        <v>85</v>
      </c>
      <c r="N7" s="18" t="s">
        <v>86</v>
      </c>
      <c r="O7" s="18" t="s">
        <v>1472</v>
      </c>
      <c r="P7" s="18"/>
      <c r="Q7" s="18" t="n">
        <v>1.84</v>
      </c>
      <c r="R7" s="18"/>
      <c r="S7" s="18"/>
      <c r="T7" s="18"/>
      <c r="U7" s="18"/>
      <c r="V7" s="18" t="n">
        <v>1.66</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2830</v>
      </c>
      <c r="AS7" s="18" t="s">
        <v>1519</v>
      </c>
      <c r="AT7" s="18" t="s">
        <v>1506</v>
      </c>
      <c r="AU7" s="18" t="s">
        <v>1507</v>
      </c>
      <c r="AV7" s="18" t="s">
        <v>1870</v>
      </c>
      <c r="AW7" s="30" t="s">
        <v>2897</v>
      </c>
      <c r="AX7" s="18" t="s">
        <v>928</v>
      </c>
      <c r="AY7" s="18" t="s">
        <v>2832</v>
      </c>
    </row>
    <row r="8" customFormat="false" ht="14.25" hidden="false" customHeight="true" outlineLevel="0" collapsed="false">
      <c r="A8" s="18" t="s">
        <v>914</v>
      </c>
      <c r="B8" s="18" t="s">
        <v>914</v>
      </c>
      <c r="C8" s="18" t="s">
        <v>915</v>
      </c>
      <c r="D8" s="18" t="n">
        <v>2020</v>
      </c>
      <c r="E8" s="18" t="s">
        <v>916</v>
      </c>
      <c r="F8" s="18" t="s">
        <v>815</v>
      </c>
      <c r="G8" s="18" t="s">
        <v>919</v>
      </c>
      <c r="H8" s="18" t="n">
        <v>28.4</v>
      </c>
      <c r="I8" s="18" t="n">
        <v>77.1</v>
      </c>
      <c r="J8" s="18" t="s">
        <v>83</v>
      </c>
      <c r="K8" s="18" t="s">
        <v>1504</v>
      </c>
      <c r="L8" s="18" t="s">
        <v>802</v>
      </c>
      <c r="M8" s="18" t="s">
        <v>85</v>
      </c>
      <c r="N8" s="18" t="s">
        <v>86</v>
      </c>
      <c r="O8" s="18" t="s">
        <v>1472</v>
      </c>
      <c r="P8" s="18"/>
      <c r="Q8" s="18" t="n">
        <v>1.88</v>
      </c>
      <c r="R8" s="18"/>
      <c r="S8" s="18"/>
      <c r="T8" s="18"/>
      <c r="U8" s="18"/>
      <c r="V8" s="18" t="n">
        <v>1.69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2830</v>
      </c>
      <c r="AS8" s="18" t="s">
        <v>1521</v>
      </c>
      <c r="AT8" s="18" t="s">
        <v>1506</v>
      </c>
      <c r="AU8" s="18" t="s">
        <v>1507</v>
      </c>
      <c r="AV8" s="18" t="s">
        <v>1870</v>
      </c>
      <c r="AW8" s="30" t="s">
        <v>2898</v>
      </c>
      <c r="AX8" s="18" t="s">
        <v>928</v>
      </c>
      <c r="AY8" s="18" t="s">
        <v>2832</v>
      </c>
    </row>
    <row r="9" customFormat="false" ht="14.25" hidden="false" customHeight="true" outlineLevel="0" collapsed="false">
      <c r="A9" s="18" t="s">
        <v>914</v>
      </c>
      <c r="B9" s="18" t="s">
        <v>914</v>
      </c>
      <c r="C9" s="18" t="s">
        <v>915</v>
      </c>
      <c r="D9" s="18" t="n">
        <v>2020</v>
      </c>
      <c r="E9" s="18" t="s">
        <v>916</v>
      </c>
      <c r="F9" s="18" t="s">
        <v>815</v>
      </c>
      <c r="G9" s="18" t="s">
        <v>919</v>
      </c>
      <c r="H9" s="18" t="n">
        <v>28.4</v>
      </c>
      <c r="I9" s="18" t="n">
        <v>77.1</v>
      </c>
      <c r="J9" s="18" t="s">
        <v>83</v>
      </c>
      <c r="K9" s="18" t="s">
        <v>1504</v>
      </c>
      <c r="L9" s="18" t="s">
        <v>802</v>
      </c>
      <c r="M9" s="18" t="s">
        <v>85</v>
      </c>
      <c r="N9" s="18" t="s">
        <v>86</v>
      </c>
      <c r="O9" s="18" t="s">
        <v>1472</v>
      </c>
      <c r="P9" s="18"/>
      <c r="Q9" s="18" t="n">
        <v>1.88</v>
      </c>
      <c r="R9" s="18"/>
      <c r="S9" s="18"/>
      <c r="T9" s="18"/>
      <c r="U9" s="18"/>
      <c r="V9" s="18" t="n">
        <v>1.82</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2830</v>
      </c>
      <c r="AS9" s="18" t="s">
        <v>1523</v>
      </c>
      <c r="AT9" s="18" t="s">
        <v>1506</v>
      </c>
      <c r="AU9" s="18" t="s">
        <v>1507</v>
      </c>
      <c r="AV9" s="18" t="s">
        <v>1870</v>
      </c>
      <c r="AW9" s="30" t="s">
        <v>2899</v>
      </c>
      <c r="AX9" s="18" t="s">
        <v>928</v>
      </c>
      <c r="AY9" s="18" t="s">
        <v>2832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2900</v>
      </c>
      <c r="Q1" s="25" t="s">
        <v>2901</v>
      </c>
      <c r="R1" s="25" t="s">
        <v>2902</v>
      </c>
      <c r="S1" s="25" t="s">
        <v>2903</v>
      </c>
      <c r="T1" s="25" t="s">
        <v>2904</v>
      </c>
      <c r="U1" s="25" t="s">
        <v>2905</v>
      </c>
      <c r="V1" s="25" t="s">
        <v>2906</v>
      </c>
      <c r="W1" s="25" t="s">
        <v>2907</v>
      </c>
      <c r="X1" s="28" t="s">
        <v>2908</v>
      </c>
      <c r="Y1" s="28" t="s">
        <v>2909</v>
      </c>
      <c r="Z1" s="28" t="s">
        <v>2910</v>
      </c>
      <c r="AA1" s="28" t="s">
        <v>2911</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A2" s="18" t="n">
        <v>168</v>
      </c>
      <c r="B2" s="18" t="n">
        <v>168</v>
      </c>
      <c r="C2" s="18" t="s">
        <v>862</v>
      </c>
      <c r="D2" s="18" t="n">
        <v>2020</v>
      </c>
      <c r="E2" s="18" t="s">
        <v>863</v>
      </c>
      <c r="F2" s="18" t="s">
        <v>866</v>
      </c>
      <c r="G2" s="18" t="s">
        <v>867</v>
      </c>
      <c r="H2" s="18" t="n">
        <v>30.933</v>
      </c>
      <c r="I2" s="18" t="n">
        <v>75.867</v>
      </c>
      <c r="J2" s="18" t="s">
        <v>870</v>
      </c>
      <c r="K2" s="18" t="n">
        <v>2016</v>
      </c>
      <c r="L2" s="18" t="s">
        <v>84</v>
      </c>
      <c r="M2" s="18" t="s">
        <v>85</v>
      </c>
      <c r="N2" s="18" t="s">
        <v>86</v>
      </c>
      <c r="O2" s="18" t="s">
        <v>1618</v>
      </c>
      <c r="P2" s="18" t="n">
        <v>332.9</v>
      </c>
      <c r="Q2" s="18" t="n">
        <v>83.6</v>
      </c>
      <c r="R2" s="18" t="n">
        <v>138.3</v>
      </c>
      <c r="S2" s="18"/>
      <c r="T2" s="18"/>
      <c r="U2" s="18"/>
      <c r="V2" s="18" t="n">
        <v>211.3</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2912</v>
      </c>
      <c r="AS2" s="18" t="s">
        <v>1473</v>
      </c>
      <c r="AT2" s="18" t="s">
        <v>1474</v>
      </c>
      <c r="AU2" s="18" t="s">
        <v>1475</v>
      </c>
      <c r="AV2" s="18" t="s">
        <v>2467</v>
      </c>
      <c r="AW2" s="30" t="s">
        <v>2913</v>
      </c>
      <c r="AX2" s="18" t="s">
        <v>877</v>
      </c>
      <c r="AY2" s="18" t="s">
        <v>2914</v>
      </c>
      <c r="BA2" s="31" t="s">
        <v>1121</v>
      </c>
    </row>
    <row r="3" customFormat="false" ht="15" hidden="false" customHeight="true" outlineLevel="0" collapsed="false">
      <c r="A3" s="5" t="n">
        <v>165</v>
      </c>
      <c r="B3" s="5" t="n">
        <v>165</v>
      </c>
      <c r="C3" s="5" t="s">
        <v>811</v>
      </c>
      <c r="D3" s="5" t="n">
        <v>2012</v>
      </c>
      <c r="E3" s="5" t="s">
        <v>812</v>
      </c>
      <c r="F3" s="5" t="s">
        <v>815</v>
      </c>
      <c r="G3" s="5" t="s">
        <v>816</v>
      </c>
      <c r="H3" s="5" t="n">
        <v>28.633</v>
      </c>
      <c r="I3" s="5" t="n">
        <v>77.183</v>
      </c>
      <c r="J3" s="5" t="s">
        <v>83</v>
      </c>
      <c r="K3" s="5" t="s">
        <v>1481</v>
      </c>
      <c r="L3" s="5" t="s">
        <v>821</v>
      </c>
      <c r="M3" s="5" t="s">
        <v>85</v>
      </c>
      <c r="N3" s="5" t="s">
        <v>86</v>
      </c>
      <c r="O3" s="5" t="s">
        <v>2030</v>
      </c>
      <c r="P3" s="5"/>
      <c r="Q3" s="5" t="n">
        <v>205.3</v>
      </c>
      <c r="R3" s="5"/>
      <c r="S3" s="5"/>
      <c r="T3" s="5"/>
      <c r="U3" s="5"/>
      <c r="V3" s="5" t="n">
        <v>245.1</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2915</v>
      </c>
      <c r="AS3" s="5" t="s">
        <v>1482</v>
      </c>
      <c r="AT3" s="5" t="s">
        <v>2471</v>
      </c>
      <c r="AU3" s="5" t="s">
        <v>1484</v>
      </c>
      <c r="AV3" s="5" t="s">
        <v>2467</v>
      </c>
      <c r="AW3" s="23" t="s">
        <v>2916</v>
      </c>
      <c r="AX3" s="5" t="s">
        <v>829</v>
      </c>
      <c r="AY3" s="5" t="s">
        <v>2917</v>
      </c>
    </row>
    <row r="4" customFormat="false" ht="15" hidden="false" customHeight="true" outlineLevel="0" collapsed="false">
      <c r="A4" s="5" t="n">
        <v>165</v>
      </c>
      <c r="B4" s="5" t="n">
        <v>165</v>
      </c>
      <c r="C4" s="5" t="s">
        <v>811</v>
      </c>
      <c r="D4" s="5" t="n">
        <v>2012</v>
      </c>
      <c r="E4" s="5" t="s">
        <v>812</v>
      </c>
      <c r="F4" s="5" t="s">
        <v>815</v>
      </c>
      <c r="G4" s="5" t="s">
        <v>816</v>
      </c>
      <c r="H4" s="5" t="n">
        <v>28.633</v>
      </c>
      <c r="I4" s="5" t="n">
        <v>77.183</v>
      </c>
      <c r="J4" s="5" t="s">
        <v>83</v>
      </c>
      <c r="K4" s="5" t="s">
        <v>1481</v>
      </c>
      <c r="L4" s="5" t="s">
        <v>821</v>
      </c>
      <c r="M4" s="5" t="s">
        <v>85</v>
      </c>
      <c r="N4" s="5" t="s">
        <v>86</v>
      </c>
      <c r="O4" s="5" t="s">
        <v>2030</v>
      </c>
      <c r="P4" s="5"/>
      <c r="Q4" s="5" t="n">
        <v>236.4</v>
      </c>
      <c r="R4" s="5"/>
      <c r="S4" s="5"/>
      <c r="T4" s="5"/>
      <c r="U4" s="5"/>
      <c r="V4" s="5" t="n">
        <v>261.4</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2915</v>
      </c>
      <c r="AS4" s="5" t="s">
        <v>1488</v>
      </c>
      <c r="AT4" s="5" t="s">
        <v>2471</v>
      </c>
      <c r="AU4" s="5" t="s">
        <v>1484</v>
      </c>
      <c r="AV4" s="5" t="s">
        <v>2467</v>
      </c>
      <c r="AW4" s="23" t="s">
        <v>2918</v>
      </c>
      <c r="AX4" s="5" t="s">
        <v>829</v>
      </c>
      <c r="AY4" s="5" t="s">
        <v>2917</v>
      </c>
    </row>
    <row r="5" customFormat="false" ht="15" hidden="false" customHeight="true" outlineLevel="0" collapsed="false">
      <c r="A5" s="18" t="s">
        <v>904</v>
      </c>
      <c r="B5" s="18" t="s">
        <v>904</v>
      </c>
      <c r="C5" s="18" t="s">
        <v>905</v>
      </c>
      <c r="D5" s="18" t="n">
        <v>2019</v>
      </c>
      <c r="E5" s="18" t="s">
        <v>2288</v>
      </c>
      <c r="F5" s="18" t="s">
        <v>891</v>
      </c>
      <c r="G5" s="18" t="s">
        <v>892</v>
      </c>
      <c r="H5" s="18" t="n">
        <v>29.7</v>
      </c>
      <c r="I5" s="18" t="n">
        <v>76.96</v>
      </c>
      <c r="J5" s="18" t="s">
        <v>83</v>
      </c>
      <c r="K5" s="18" t="n">
        <v>2013</v>
      </c>
      <c r="L5" s="18" t="s">
        <v>84</v>
      </c>
      <c r="M5" s="18" t="s">
        <v>85</v>
      </c>
      <c r="N5" s="18" t="s">
        <v>86</v>
      </c>
      <c r="O5" s="18" t="s">
        <v>1472</v>
      </c>
      <c r="P5" s="18" t="n">
        <v>626</v>
      </c>
      <c r="Q5" s="18" t="n">
        <v>441</v>
      </c>
      <c r="R5" s="18"/>
      <c r="S5" s="18"/>
      <c r="T5" s="18"/>
      <c r="U5" s="18"/>
      <c r="V5" s="18"/>
      <c r="W5" s="18"/>
      <c r="X5" s="18" t="n">
        <v>1054</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2919</v>
      </c>
      <c r="AS5" s="18" t="s">
        <v>1639</v>
      </c>
      <c r="AT5" s="18" t="s">
        <v>2290</v>
      </c>
      <c r="AU5" s="18" t="s">
        <v>1641</v>
      </c>
      <c r="AV5" s="18" t="s">
        <v>91</v>
      </c>
      <c r="AW5" s="30" t="s">
        <v>2920</v>
      </c>
      <c r="AX5" s="18" t="s">
        <v>911</v>
      </c>
      <c r="AY5" s="18" t="s">
        <v>2921</v>
      </c>
    </row>
    <row r="6" customFormat="false" ht="15" hidden="false" customHeight="true" outlineLevel="0" collapsed="false">
      <c r="A6" s="18" t="s">
        <v>904</v>
      </c>
      <c r="B6" s="18" t="s">
        <v>904</v>
      </c>
      <c r="C6" s="18" t="s">
        <v>905</v>
      </c>
      <c r="D6" s="18" t="n">
        <v>2019</v>
      </c>
      <c r="E6" s="18" t="s">
        <v>2288</v>
      </c>
      <c r="F6" s="18" t="s">
        <v>891</v>
      </c>
      <c r="G6" s="18" t="s">
        <v>892</v>
      </c>
      <c r="H6" s="18" t="n">
        <v>29.7</v>
      </c>
      <c r="I6" s="18" t="n">
        <v>76.96</v>
      </c>
      <c r="J6" s="18" t="s">
        <v>83</v>
      </c>
      <c r="K6" s="18" t="n">
        <v>2013</v>
      </c>
      <c r="L6" s="18" t="s">
        <v>84</v>
      </c>
      <c r="M6" s="18" t="s">
        <v>85</v>
      </c>
      <c r="N6" s="18" t="s">
        <v>1479</v>
      </c>
      <c r="O6" s="18" t="s">
        <v>1480</v>
      </c>
      <c r="P6" s="18" t="n">
        <v>409</v>
      </c>
      <c r="Q6" s="18" t="n">
        <v>387</v>
      </c>
      <c r="R6" s="18"/>
      <c r="S6" s="18"/>
      <c r="T6" s="18"/>
      <c r="U6" s="18"/>
      <c r="V6" s="18"/>
      <c r="W6" s="18"/>
      <c r="X6" s="18" t="n">
        <v>551</v>
      </c>
      <c r="Y6" s="18"/>
      <c r="Z6" s="18"/>
      <c r="AA6" s="18"/>
      <c r="AB6" s="18" t="n">
        <v>1</v>
      </c>
      <c r="AC6" s="18" t="n">
        <v>3</v>
      </c>
      <c r="AD6" s="18" t="n">
        <f aca="false">IF(AND(N(AB6)&gt;0,N(AC6)&gt;0),SQRT(2*AB6/AC6),"")</f>
        <v>0.816496580927726</v>
      </c>
      <c r="AE6" s="18"/>
      <c r="AF6" s="18" t="n">
        <v>11.62</v>
      </c>
      <c r="AG6" s="18" t="n">
        <v>31.68</v>
      </c>
      <c r="AH6" s="18" t="n">
        <v>670</v>
      </c>
      <c r="AI6" s="18" t="n">
        <v>29.7</v>
      </c>
      <c r="AJ6" s="18" t="n">
        <v>4</v>
      </c>
      <c r="AK6" s="18"/>
      <c r="AL6" s="18"/>
      <c r="AM6" s="18"/>
      <c r="AN6" s="18" t="n">
        <v>4.5</v>
      </c>
      <c r="AO6" s="18"/>
      <c r="AP6" s="18"/>
      <c r="AQ6" s="18"/>
      <c r="AR6" s="18" t="s">
        <v>2919</v>
      </c>
      <c r="AS6" s="18" t="s">
        <v>1639</v>
      </c>
      <c r="AT6" s="18" t="s">
        <v>2290</v>
      </c>
      <c r="AU6" s="18" t="s">
        <v>1641</v>
      </c>
      <c r="AV6" s="18" t="s">
        <v>91</v>
      </c>
      <c r="AW6" s="30" t="s">
        <v>2920</v>
      </c>
      <c r="AX6" s="18" t="s">
        <v>911</v>
      </c>
      <c r="AY6" s="18" t="s">
        <v>2921</v>
      </c>
    </row>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2922</v>
      </c>
      <c r="Q1" s="25" t="s">
        <v>2923</v>
      </c>
      <c r="R1" s="25" t="s">
        <v>2924</v>
      </c>
      <c r="S1" s="25" t="s">
        <v>2925</v>
      </c>
      <c r="T1" s="25" t="s">
        <v>2926</v>
      </c>
      <c r="U1" s="25" t="s">
        <v>2927</v>
      </c>
      <c r="V1" s="25" t="s">
        <v>2928</v>
      </c>
      <c r="W1" s="25" t="s">
        <v>2929</v>
      </c>
      <c r="X1" s="28" t="s">
        <v>2930</v>
      </c>
      <c r="Y1" s="28" t="s">
        <v>2931</v>
      </c>
      <c r="Z1" s="28" t="s">
        <v>2932</v>
      </c>
      <c r="AA1" s="28" t="s">
        <v>2933</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A2" s="18" t="s">
        <v>904</v>
      </c>
      <c r="B2" s="18" t="s">
        <v>904</v>
      </c>
      <c r="C2" s="18" t="s">
        <v>905</v>
      </c>
      <c r="D2" s="18" t="n">
        <v>2019</v>
      </c>
      <c r="E2" s="18" t="s">
        <v>2288</v>
      </c>
      <c r="F2" s="18" t="s">
        <v>891</v>
      </c>
      <c r="G2" s="18" t="s">
        <v>892</v>
      </c>
      <c r="H2" s="18" t="n">
        <v>29.7</v>
      </c>
      <c r="I2" s="18" t="n">
        <v>76.96</v>
      </c>
      <c r="J2" s="18" t="s">
        <v>83</v>
      </c>
      <c r="K2" s="18" t="n">
        <v>2013</v>
      </c>
      <c r="L2" s="18" t="s">
        <v>84</v>
      </c>
      <c r="M2" s="18" t="s">
        <v>85</v>
      </c>
      <c r="N2" s="18" t="s">
        <v>86</v>
      </c>
      <c r="O2" s="18" t="s">
        <v>1472</v>
      </c>
      <c r="P2" s="18" t="n">
        <v>63</v>
      </c>
      <c r="Q2" s="18" t="n">
        <v>45</v>
      </c>
      <c r="R2" s="18"/>
      <c r="S2" s="18"/>
      <c r="T2" s="18"/>
      <c r="U2" s="18"/>
      <c r="V2" s="18"/>
      <c r="W2" s="18"/>
      <c r="X2" s="18" t="n">
        <v>145</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2934</v>
      </c>
      <c r="AS2" s="18" t="s">
        <v>1639</v>
      </c>
      <c r="AT2" s="18" t="s">
        <v>2290</v>
      </c>
      <c r="AU2" s="18" t="s">
        <v>1641</v>
      </c>
      <c r="AV2" s="18" t="s">
        <v>91</v>
      </c>
      <c r="AW2" s="30" t="s">
        <v>2920</v>
      </c>
      <c r="AX2" s="18" t="s">
        <v>911</v>
      </c>
      <c r="AY2" s="18" t="s">
        <v>2935</v>
      </c>
      <c r="BA2" s="31" t="s">
        <v>1124</v>
      </c>
    </row>
    <row r="3" customFormat="false" ht="15" hidden="false" customHeight="true" outlineLevel="0" collapsed="false">
      <c r="A3" s="18" t="s">
        <v>904</v>
      </c>
      <c r="B3" s="18" t="s">
        <v>904</v>
      </c>
      <c r="C3" s="18" t="s">
        <v>905</v>
      </c>
      <c r="D3" s="18" t="n">
        <v>2019</v>
      </c>
      <c r="E3" s="18" t="s">
        <v>2288</v>
      </c>
      <c r="F3" s="18" t="s">
        <v>891</v>
      </c>
      <c r="G3" s="18" t="s">
        <v>892</v>
      </c>
      <c r="H3" s="18" t="n">
        <v>29.7</v>
      </c>
      <c r="I3" s="18" t="n">
        <v>76.96</v>
      </c>
      <c r="J3" s="18" t="s">
        <v>83</v>
      </c>
      <c r="K3" s="18" t="n">
        <v>2013</v>
      </c>
      <c r="L3" s="18" t="s">
        <v>84</v>
      </c>
      <c r="M3" s="18" t="s">
        <v>85</v>
      </c>
      <c r="N3" s="18" t="s">
        <v>1479</v>
      </c>
      <c r="O3" s="18" t="s">
        <v>1480</v>
      </c>
      <c r="P3" s="18" t="n">
        <v>21</v>
      </c>
      <c r="Q3" s="18" t="n">
        <v>13</v>
      </c>
      <c r="R3" s="18"/>
      <c r="S3" s="18"/>
      <c r="T3" s="18"/>
      <c r="U3" s="18"/>
      <c r="V3" s="18"/>
      <c r="W3" s="18"/>
      <c r="X3" s="18" t="n">
        <v>46</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2934</v>
      </c>
      <c r="AS3" s="18" t="s">
        <v>1639</v>
      </c>
      <c r="AT3" s="18" t="s">
        <v>2290</v>
      </c>
      <c r="AU3" s="18" t="s">
        <v>1641</v>
      </c>
      <c r="AV3" s="18" t="s">
        <v>91</v>
      </c>
      <c r="AW3" s="30" t="s">
        <v>2920</v>
      </c>
      <c r="AX3" s="18" t="s">
        <v>911</v>
      </c>
      <c r="AY3" s="18" t="s">
        <v>2935</v>
      </c>
    </row>
    <row r="4" customFormat="false" ht="15" hidden="false" customHeight="true" outlineLevel="0" collapsed="false"/>
    <row r="5"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2936</v>
      </c>
      <c r="Q1" s="25" t="s">
        <v>2937</v>
      </c>
      <c r="R1" s="25" t="s">
        <v>2938</v>
      </c>
      <c r="S1" s="25" t="s">
        <v>2939</v>
      </c>
      <c r="T1" s="25" t="s">
        <v>2940</v>
      </c>
      <c r="U1" s="25" t="s">
        <v>2941</v>
      </c>
      <c r="V1" s="25" t="s">
        <v>2942</v>
      </c>
      <c r="W1" s="25" t="s">
        <v>2943</v>
      </c>
      <c r="X1" s="28" t="s">
        <v>2944</v>
      </c>
      <c r="Y1" s="28" t="s">
        <v>2945</v>
      </c>
      <c r="Z1" s="28" t="s">
        <v>2946</v>
      </c>
      <c r="AA1" s="28" t="s">
        <v>2947</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BA2" s="31" t="s">
        <v>1126</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2948</v>
      </c>
      <c r="Q1" s="25" t="s">
        <v>2949</v>
      </c>
      <c r="R1" s="25" t="s">
        <v>2950</v>
      </c>
      <c r="S1" s="25" t="s">
        <v>2951</v>
      </c>
      <c r="T1" s="25" t="s">
        <v>2952</v>
      </c>
      <c r="U1" s="25" t="s">
        <v>2953</v>
      </c>
      <c r="V1" s="25" t="s">
        <v>2954</v>
      </c>
      <c r="W1" s="25" t="s">
        <v>2955</v>
      </c>
      <c r="X1" s="28" t="s">
        <v>2956</v>
      </c>
      <c r="Y1" s="28" t="s">
        <v>2957</v>
      </c>
      <c r="Z1" s="28" t="s">
        <v>2958</v>
      </c>
      <c r="AA1" s="28" t="s">
        <v>2959</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BA2" s="31" t="s">
        <v>1128</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2960</v>
      </c>
      <c r="Q1" s="25" t="s">
        <v>2961</v>
      </c>
      <c r="R1" s="25" t="s">
        <v>2962</v>
      </c>
      <c r="S1" s="25" t="s">
        <v>2963</v>
      </c>
      <c r="T1" s="25" t="s">
        <v>2964</v>
      </c>
      <c r="U1" s="25" t="s">
        <v>2965</v>
      </c>
      <c r="V1" s="25" t="s">
        <v>2966</v>
      </c>
      <c r="W1" s="25" t="s">
        <v>2967</v>
      </c>
      <c r="X1" s="28" t="s">
        <v>2968</v>
      </c>
      <c r="Y1" s="28" t="s">
        <v>2969</v>
      </c>
      <c r="Z1" s="28" t="s">
        <v>2970</v>
      </c>
      <c r="AA1" s="28" t="s">
        <v>2971</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A2" s="18" t="n">
        <v>168</v>
      </c>
      <c r="B2" s="18" t="n">
        <v>168</v>
      </c>
      <c r="C2" s="18" t="s">
        <v>862</v>
      </c>
      <c r="D2" s="18" t="n">
        <v>2020</v>
      </c>
      <c r="E2" s="18" t="s">
        <v>863</v>
      </c>
      <c r="F2" s="18" t="s">
        <v>866</v>
      </c>
      <c r="G2" s="18" t="s">
        <v>867</v>
      </c>
      <c r="H2" s="18" t="n">
        <v>30.933</v>
      </c>
      <c r="I2" s="18" t="n">
        <v>75.867</v>
      </c>
      <c r="J2" s="18" t="s">
        <v>870</v>
      </c>
      <c r="K2" s="18" t="n">
        <v>2016</v>
      </c>
      <c r="L2" s="18" t="s">
        <v>84</v>
      </c>
      <c r="M2" s="18" t="s">
        <v>85</v>
      </c>
      <c r="N2" s="18" t="s">
        <v>86</v>
      </c>
      <c r="O2" s="18" t="s">
        <v>1618</v>
      </c>
      <c r="P2" s="18"/>
      <c r="Q2" s="18" t="n">
        <v>7.11</v>
      </c>
      <c r="R2" s="18" t="n">
        <v>7.76</v>
      </c>
      <c r="S2" s="18"/>
      <c r="T2" s="18"/>
      <c r="U2" s="18"/>
      <c r="V2" s="18"/>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1130</v>
      </c>
      <c r="AS2" s="18" t="s">
        <v>2972</v>
      </c>
      <c r="AT2" s="18" t="s">
        <v>1474</v>
      </c>
      <c r="AU2" s="18" t="s">
        <v>1475</v>
      </c>
      <c r="AV2" s="18" t="s">
        <v>2973</v>
      </c>
      <c r="AW2" s="30" t="s">
        <v>2974</v>
      </c>
      <c r="AX2" s="18" t="s">
        <v>877</v>
      </c>
      <c r="AY2" s="18" t="s">
        <v>2975</v>
      </c>
      <c r="BA2" s="31" t="s">
        <v>1130</v>
      </c>
    </row>
    <row r="3" customFormat="false" ht="15" hidden="false" customHeight="true" outlineLevel="0" collapsed="false">
      <c r="A3" s="5" t="n">
        <v>165</v>
      </c>
      <c r="B3" s="5" t="n">
        <v>165</v>
      </c>
      <c r="C3" s="5" t="s">
        <v>811</v>
      </c>
      <c r="D3" s="5" t="n">
        <v>2012</v>
      </c>
      <c r="E3" s="5" t="s">
        <v>812</v>
      </c>
      <c r="F3" s="5" t="s">
        <v>815</v>
      </c>
      <c r="G3" s="5" t="s">
        <v>816</v>
      </c>
      <c r="H3" s="5" t="n">
        <v>28.633</v>
      </c>
      <c r="I3" s="5" t="n">
        <v>77.183</v>
      </c>
      <c r="J3" s="5" t="s">
        <v>83</v>
      </c>
      <c r="K3" s="5" t="s">
        <v>1481</v>
      </c>
      <c r="L3" s="5" t="s">
        <v>821</v>
      </c>
      <c r="M3" s="5" t="s">
        <v>85</v>
      </c>
      <c r="N3" s="5" t="s">
        <v>86</v>
      </c>
      <c r="O3" s="5" t="s">
        <v>2030</v>
      </c>
      <c r="P3" s="5"/>
      <c r="Q3" s="5" t="n">
        <f aca="false">ROUND(106.2/24,2)</f>
        <v>4.43</v>
      </c>
      <c r="R3" s="5"/>
      <c r="S3" s="5"/>
      <c r="T3" s="5"/>
      <c r="U3" s="5"/>
      <c r="V3" s="5" t="n">
        <f aca="false">ROUND(124/24,2)</f>
        <v>5.17</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2976</v>
      </c>
      <c r="AS3" s="5" t="s">
        <v>1482</v>
      </c>
      <c r="AT3" s="5" t="s">
        <v>2471</v>
      </c>
      <c r="AU3" s="5" t="s">
        <v>1484</v>
      </c>
      <c r="AV3" s="5" t="s">
        <v>2977</v>
      </c>
      <c r="AW3" s="23" t="s">
        <v>2978</v>
      </c>
      <c r="AX3" s="5" t="s">
        <v>829</v>
      </c>
      <c r="AY3" s="5" t="s">
        <v>2979</v>
      </c>
    </row>
    <row r="4" customFormat="false" ht="15" hidden="false" customHeight="true" outlineLevel="0" collapsed="false">
      <c r="A4" s="5" t="n">
        <v>165</v>
      </c>
      <c r="B4" s="5" t="n">
        <v>165</v>
      </c>
      <c r="C4" s="5" t="s">
        <v>811</v>
      </c>
      <c r="D4" s="5" t="n">
        <v>2012</v>
      </c>
      <c r="E4" s="5" t="s">
        <v>812</v>
      </c>
      <c r="F4" s="5" t="s">
        <v>815</v>
      </c>
      <c r="G4" s="5" t="s">
        <v>816</v>
      </c>
      <c r="H4" s="5" t="n">
        <v>28.633</v>
      </c>
      <c r="I4" s="5" t="n">
        <v>77.183</v>
      </c>
      <c r="J4" s="5" t="s">
        <v>83</v>
      </c>
      <c r="K4" s="5" t="s">
        <v>1481</v>
      </c>
      <c r="L4" s="5" t="s">
        <v>821</v>
      </c>
      <c r="M4" s="5" t="s">
        <v>85</v>
      </c>
      <c r="N4" s="5" t="s">
        <v>86</v>
      </c>
      <c r="O4" s="5" t="s">
        <v>2030</v>
      </c>
      <c r="P4" s="5"/>
      <c r="Q4" s="5" t="n">
        <f aca="false">ROUND(114.3/24,2)</f>
        <v>4.76</v>
      </c>
      <c r="R4" s="5"/>
      <c r="S4" s="5"/>
      <c r="T4" s="5"/>
      <c r="U4" s="5"/>
      <c r="V4" s="5" t="n">
        <f aca="false">ROUND(136.9/24,2)</f>
        <v>5.7</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2976</v>
      </c>
      <c r="AS4" s="5" t="s">
        <v>1488</v>
      </c>
      <c r="AT4" s="5" t="s">
        <v>2471</v>
      </c>
      <c r="AU4" s="5" t="s">
        <v>1484</v>
      </c>
      <c r="AV4" s="5" t="s">
        <v>2977</v>
      </c>
      <c r="AW4" s="23" t="s">
        <v>2980</v>
      </c>
      <c r="AX4" s="5" t="s">
        <v>829</v>
      </c>
      <c r="AY4" s="5" t="s">
        <v>2979</v>
      </c>
    </row>
    <row r="5" customFormat="false" ht="15" hidden="false" customHeight="true" outlineLevel="0" collapsed="false">
      <c r="A5" s="18" t="s">
        <v>904</v>
      </c>
      <c r="B5" s="18" t="s">
        <v>904</v>
      </c>
      <c r="C5" s="18" t="s">
        <v>905</v>
      </c>
      <c r="D5" s="18" t="n">
        <v>2019</v>
      </c>
      <c r="E5" s="18" t="s">
        <v>2288</v>
      </c>
      <c r="F5" s="18" t="s">
        <v>891</v>
      </c>
      <c r="G5" s="18" t="s">
        <v>892</v>
      </c>
      <c r="H5" s="18" t="n">
        <v>29.7</v>
      </c>
      <c r="I5" s="18" t="n">
        <v>76.96</v>
      </c>
      <c r="J5" s="18" t="s">
        <v>83</v>
      </c>
      <c r="K5" s="18" t="n">
        <v>2013</v>
      </c>
      <c r="L5" s="18" t="s">
        <v>84</v>
      </c>
      <c r="M5" s="18" t="s">
        <v>85</v>
      </c>
      <c r="N5" s="18" t="s">
        <v>86</v>
      </c>
      <c r="O5" s="18" t="s">
        <v>1472</v>
      </c>
      <c r="P5" s="18" t="n">
        <f aca="false">ROUND(539/24,2)</f>
        <v>22.46</v>
      </c>
      <c r="Q5" s="18" t="n">
        <f aca="false">ROUND(467/24,2)</f>
        <v>19.46</v>
      </c>
      <c r="R5" s="18"/>
      <c r="S5" s="18"/>
      <c r="T5" s="18"/>
      <c r="U5" s="18"/>
      <c r="V5" s="18"/>
      <c r="W5" s="18"/>
      <c r="X5" s="18" t="n">
        <f aca="false">ROUND(843/24,2)</f>
        <v>35.13</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2976</v>
      </c>
      <c r="AS5" s="18" t="s">
        <v>1639</v>
      </c>
      <c r="AT5" s="18" t="s">
        <v>2290</v>
      </c>
      <c r="AU5" s="18" t="s">
        <v>1641</v>
      </c>
      <c r="AV5" s="18" t="s">
        <v>1713</v>
      </c>
      <c r="AW5" s="30" t="s">
        <v>2981</v>
      </c>
      <c r="AX5" s="18" t="s">
        <v>911</v>
      </c>
      <c r="AY5" s="18" t="s">
        <v>2982</v>
      </c>
    </row>
    <row r="6" customFormat="false" ht="15" hidden="false" customHeight="true" outlineLevel="0" collapsed="false">
      <c r="A6" s="18" t="s">
        <v>904</v>
      </c>
      <c r="B6" s="18" t="s">
        <v>904</v>
      </c>
      <c r="C6" s="18" t="s">
        <v>905</v>
      </c>
      <c r="D6" s="18" t="n">
        <v>2019</v>
      </c>
      <c r="E6" s="18" t="s">
        <v>2288</v>
      </c>
      <c r="F6" s="18" t="s">
        <v>891</v>
      </c>
      <c r="G6" s="18" t="s">
        <v>892</v>
      </c>
      <c r="H6" s="18" t="n">
        <v>29.7</v>
      </c>
      <c r="I6" s="18" t="n">
        <v>76.96</v>
      </c>
      <c r="J6" s="18" t="s">
        <v>83</v>
      </c>
      <c r="K6" s="18" t="n">
        <v>2013</v>
      </c>
      <c r="L6" s="18" t="s">
        <v>84</v>
      </c>
      <c r="M6" s="18" t="s">
        <v>85</v>
      </c>
      <c r="N6" s="18" t="s">
        <v>1479</v>
      </c>
      <c r="O6" s="18" t="s">
        <v>1480</v>
      </c>
      <c r="P6" s="18" t="n">
        <f aca="false">ROUND(212.8/24,2)</f>
        <v>8.87</v>
      </c>
      <c r="Q6" s="18" t="n">
        <f aca="false">ROUND(202/24,2)</f>
        <v>8.42</v>
      </c>
      <c r="R6" s="18"/>
      <c r="S6" s="18"/>
      <c r="T6" s="18"/>
      <c r="U6" s="18"/>
      <c r="V6" s="18"/>
      <c r="W6" s="18"/>
      <c r="X6" s="18" t="n">
        <f aca="false">ROUND(309.6/24,2)</f>
        <v>12.9</v>
      </c>
      <c r="Y6" s="18"/>
      <c r="Z6" s="18"/>
      <c r="AA6" s="18"/>
      <c r="AB6" s="18" t="n">
        <v>1</v>
      </c>
      <c r="AC6" s="18" t="n">
        <v>3</v>
      </c>
      <c r="AD6" s="18" t="n">
        <f aca="false">IF(AND(N(AB6)&gt;0,N(AC6)&gt;0),SQRT(2*AB6/AC6),"")</f>
        <v>0.816496580927726</v>
      </c>
      <c r="AE6" s="18"/>
      <c r="AF6" s="18" t="n">
        <v>11.62</v>
      </c>
      <c r="AG6" s="18" t="n">
        <v>31.68</v>
      </c>
      <c r="AH6" s="18" t="n">
        <v>670</v>
      </c>
      <c r="AI6" s="18" t="n">
        <v>29.7</v>
      </c>
      <c r="AJ6" s="18" t="n">
        <v>4</v>
      </c>
      <c r="AK6" s="18"/>
      <c r="AL6" s="18"/>
      <c r="AM6" s="18"/>
      <c r="AN6" s="18" t="n">
        <v>4.5</v>
      </c>
      <c r="AO6" s="18"/>
      <c r="AP6" s="18"/>
      <c r="AQ6" s="18"/>
      <c r="AR6" s="18" t="s">
        <v>2976</v>
      </c>
      <c r="AS6" s="18" t="s">
        <v>1639</v>
      </c>
      <c r="AT6" s="18" t="s">
        <v>2290</v>
      </c>
      <c r="AU6" s="18" t="s">
        <v>1641</v>
      </c>
      <c r="AV6" s="18" t="s">
        <v>1713</v>
      </c>
      <c r="AW6" s="30" t="s">
        <v>2983</v>
      </c>
      <c r="AX6" s="18" t="s">
        <v>911</v>
      </c>
      <c r="AY6" s="18" t="s">
        <v>2982</v>
      </c>
    </row>
    <row r="7"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2984</v>
      </c>
      <c r="Q1" s="25" t="s">
        <v>2985</v>
      </c>
      <c r="R1" s="25" t="s">
        <v>2986</v>
      </c>
      <c r="S1" s="25" t="s">
        <v>2987</v>
      </c>
      <c r="T1" s="25" t="s">
        <v>2988</v>
      </c>
      <c r="U1" s="25" t="s">
        <v>2989</v>
      </c>
      <c r="V1" s="25" t="s">
        <v>2990</v>
      </c>
      <c r="W1" s="25" t="s">
        <v>2991</v>
      </c>
      <c r="X1" s="28" t="s">
        <v>2992</v>
      </c>
      <c r="Y1" s="28" t="s">
        <v>2993</v>
      </c>
      <c r="Z1" s="28" t="s">
        <v>2994</v>
      </c>
      <c r="AA1" s="28" t="s">
        <v>2995</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BA2" s="31" t="s">
        <v>1132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2996</v>
      </c>
      <c r="Q1" s="25" t="s">
        <v>2997</v>
      </c>
      <c r="R1" s="25" t="s">
        <v>2998</v>
      </c>
      <c r="S1" s="25" t="s">
        <v>2999</v>
      </c>
      <c r="T1" s="25" t="s">
        <v>3000</v>
      </c>
      <c r="U1" s="25" t="s">
        <v>3001</v>
      </c>
      <c r="V1" s="25" t="s">
        <v>3002</v>
      </c>
      <c r="W1" s="25" t="s">
        <v>3003</v>
      </c>
      <c r="X1" s="28" t="s">
        <v>3004</v>
      </c>
      <c r="Y1" s="28" t="s">
        <v>3005</v>
      </c>
      <c r="Z1" s="28" t="s">
        <v>3006</v>
      </c>
      <c r="AA1" s="28" t="s">
        <v>3007</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A2" s="18" t="n">
        <v>168</v>
      </c>
      <c r="B2" s="18" t="n">
        <v>168</v>
      </c>
      <c r="C2" s="18" t="s">
        <v>862</v>
      </c>
      <c r="D2" s="18" t="n">
        <v>2020</v>
      </c>
      <c r="E2" s="18" t="s">
        <v>863</v>
      </c>
      <c r="F2" s="18" t="s">
        <v>866</v>
      </c>
      <c r="G2" s="18" t="s">
        <v>867</v>
      </c>
      <c r="H2" s="18" t="n">
        <v>30.933</v>
      </c>
      <c r="I2" s="18" t="n">
        <v>75.867</v>
      </c>
      <c r="J2" s="18" t="s">
        <v>870</v>
      </c>
      <c r="K2" s="18" t="n">
        <v>2016</v>
      </c>
      <c r="L2" s="18" t="s">
        <v>84</v>
      </c>
      <c r="M2" s="18" t="s">
        <v>85</v>
      </c>
      <c r="N2" s="18" t="s">
        <v>86</v>
      </c>
      <c r="O2" s="18" t="s">
        <v>1618</v>
      </c>
      <c r="P2" s="18"/>
      <c r="Q2" s="18" t="n">
        <v>18.09</v>
      </c>
      <c r="R2" s="18" t="n">
        <v>22.57</v>
      </c>
      <c r="S2" s="18"/>
      <c r="T2" s="18"/>
      <c r="U2" s="18"/>
      <c r="V2" s="18"/>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1132</v>
      </c>
      <c r="AS2" s="18" t="s">
        <v>2972</v>
      </c>
      <c r="AT2" s="18" t="s">
        <v>1474</v>
      </c>
      <c r="AU2" s="18" t="s">
        <v>1475</v>
      </c>
      <c r="AV2" s="18" t="s">
        <v>1627</v>
      </c>
      <c r="AW2" s="30" t="s">
        <v>3008</v>
      </c>
      <c r="AX2" s="18" t="s">
        <v>877</v>
      </c>
      <c r="AY2" s="18" t="s">
        <v>3009</v>
      </c>
      <c r="BA2" s="31" t="s">
        <v>1134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3010</v>
      </c>
      <c r="Q1" s="25" t="s">
        <v>3011</v>
      </c>
      <c r="R1" s="25" t="s">
        <v>3012</v>
      </c>
      <c r="S1" s="25" t="s">
        <v>3013</v>
      </c>
      <c r="T1" s="25" t="s">
        <v>3014</v>
      </c>
      <c r="U1" s="25" t="s">
        <v>3015</v>
      </c>
      <c r="V1" s="25" t="s">
        <v>3016</v>
      </c>
      <c r="W1" s="25" t="s">
        <v>3017</v>
      </c>
      <c r="X1" s="28" t="s">
        <v>3018</v>
      </c>
      <c r="Y1" s="28" t="s">
        <v>3019</v>
      </c>
      <c r="Z1" s="28" t="s">
        <v>3020</v>
      </c>
      <c r="AA1" s="28" t="s">
        <v>3021</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A2" s="18" t="n">
        <v>168</v>
      </c>
      <c r="B2" s="18" t="n">
        <v>168</v>
      </c>
      <c r="C2" s="18" t="s">
        <v>862</v>
      </c>
      <c r="D2" s="18" t="n">
        <v>2020</v>
      </c>
      <c r="E2" s="18" t="s">
        <v>863</v>
      </c>
      <c r="F2" s="18" t="s">
        <v>866</v>
      </c>
      <c r="G2" s="18" t="s">
        <v>867</v>
      </c>
      <c r="H2" s="18" t="n">
        <v>30.933</v>
      </c>
      <c r="I2" s="18" t="n">
        <v>75.867</v>
      </c>
      <c r="J2" s="18" t="s">
        <v>870</v>
      </c>
      <c r="K2" s="18" t="n">
        <v>2016</v>
      </c>
      <c r="L2" s="18" t="s">
        <v>84</v>
      </c>
      <c r="M2" s="18" t="s">
        <v>85</v>
      </c>
      <c r="N2" s="18" t="s">
        <v>86</v>
      </c>
      <c r="O2" s="18" t="s">
        <v>1618</v>
      </c>
      <c r="P2" s="18"/>
      <c r="Q2" s="18" t="n">
        <v>22.92</v>
      </c>
      <c r="R2" s="18" t="n">
        <v>26.71</v>
      </c>
      <c r="S2" s="18"/>
      <c r="T2" s="18"/>
      <c r="U2" s="18"/>
      <c r="V2" s="18"/>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1132</v>
      </c>
      <c r="AS2" s="18" t="s">
        <v>2972</v>
      </c>
      <c r="AT2" s="18" t="s">
        <v>1474</v>
      </c>
      <c r="AU2" s="18" t="s">
        <v>1475</v>
      </c>
      <c r="AV2" s="18" t="s">
        <v>1623</v>
      </c>
      <c r="AW2" s="30" t="s">
        <v>3022</v>
      </c>
      <c r="AX2" s="18" t="s">
        <v>877</v>
      </c>
      <c r="AY2" s="18" t="s">
        <v>3023</v>
      </c>
      <c r="BA2" s="32" t="s">
        <v>1136</v>
      </c>
    </row>
    <row r="3" customFormat="false" ht="15" hidden="false" customHeight="true" outlineLevel="0" collapsed="false">
      <c r="A3" s="18" t="s">
        <v>904</v>
      </c>
      <c r="B3" s="18" t="s">
        <v>904</v>
      </c>
      <c r="C3" s="18" t="s">
        <v>905</v>
      </c>
      <c r="D3" s="18" t="n">
        <v>2019</v>
      </c>
      <c r="E3" s="18" t="s">
        <v>2288</v>
      </c>
      <c r="F3" s="18" t="s">
        <v>891</v>
      </c>
      <c r="G3" s="18" t="s">
        <v>892</v>
      </c>
      <c r="H3" s="18" t="n">
        <v>29.7</v>
      </c>
      <c r="I3" s="18" t="n">
        <v>76.96</v>
      </c>
      <c r="J3" s="18" t="s">
        <v>83</v>
      </c>
      <c r="K3" s="18" t="n">
        <v>2013</v>
      </c>
      <c r="L3" s="18" t="s">
        <v>84</v>
      </c>
      <c r="M3" s="18" t="s">
        <v>85</v>
      </c>
      <c r="N3" s="18" t="s">
        <v>86</v>
      </c>
      <c r="O3" s="18" t="s">
        <v>1472</v>
      </c>
      <c r="P3" s="18" t="n">
        <v>146</v>
      </c>
      <c r="Q3" s="18" t="n">
        <v>127</v>
      </c>
      <c r="R3" s="18"/>
      <c r="S3" s="18"/>
      <c r="T3" s="18"/>
      <c r="U3" s="18"/>
      <c r="V3" s="18"/>
      <c r="W3" s="18"/>
      <c r="X3" s="18" t="n">
        <v>181</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1132</v>
      </c>
      <c r="AS3" s="18" t="s">
        <v>1639</v>
      </c>
      <c r="AT3" s="18" t="s">
        <v>2290</v>
      </c>
      <c r="AU3" s="18" t="s">
        <v>1641</v>
      </c>
      <c r="AV3" s="18" t="s">
        <v>91</v>
      </c>
      <c r="AW3" s="30" t="s">
        <v>2920</v>
      </c>
      <c r="AX3" s="18" t="s">
        <v>911</v>
      </c>
      <c r="AY3" s="18" t="s">
        <v>3024</v>
      </c>
    </row>
    <row r="4" customFormat="false" ht="15" hidden="false" customHeight="true" outlineLevel="0" collapsed="false">
      <c r="A4" s="18" t="s">
        <v>904</v>
      </c>
      <c r="B4" s="18" t="s">
        <v>904</v>
      </c>
      <c r="C4" s="18" t="s">
        <v>905</v>
      </c>
      <c r="D4" s="18" t="n">
        <v>2019</v>
      </c>
      <c r="E4" s="18" t="s">
        <v>2288</v>
      </c>
      <c r="F4" s="18" t="s">
        <v>891</v>
      </c>
      <c r="G4" s="18" t="s">
        <v>892</v>
      </c>
      <c r="H4" s="18" t="n">
        <v>29.7</v>
      </c>
      <c r="I4" s="18" t="n">
        <v>76.96</v>
      </c>
      <c r="J4" s="18" t="s">
        <v>83</v>
      </c>
      <c r="K4" s="18" t="n">
        <v>2013</v>
      </c>
      <c r="L4" s="18" t="s">
        <v>84</v>
      </c>
      <c r="M4" s="18" t="s">
        <v>85</v>
      </c>
      <c r="N4" s="18" t="s">
        <v>1479</v>
      </c>
      <c r="O4" s="18" t="s">
        <v>1480</v>
      </c>
      <c r="P4" s="18" t="n">
        <v>144</v>
      </c>
      <c r="Q4" s="18" t="n">
        <v>98</v>
      </c>
      <c r="R4" s="18"/>
      <c r="S4" s="18"/>
      <c r="T4" s="18"/>
      <c r="U4" s="18"/>
      <c r="V4" s="18"/>
      <c r="W4" s="18"/>
      <c r="X4" s="18" t="n">
        <v>120</v>
      </c>
      <c r="Y4" s="18"/>
      <c r="Z4" s="18"/>
      <c r="AA4" s="18"/>
      <c r="AB4" s="18" t="n">
        <v>1</v>
      </c>
      <c r="AC4" s="18" t="n">
        <v>3</v>
      </c>
      <c r="AD4" s="18" t="n">
        <f aca="false">IF(AND(N(AB4)&gt;0,N(AC4)&gt;0),SQRT(2*AB4/AC4),"")</f>
        <v>0.816496580927726</v>
      </c>
      <c r="AE4" s="18"/>
      <c r="AF4" s="18" t="n">
        <v>11.62</v>
      </c>
      <c r="AG4" s="18" t="n">
        <v>31.68</v>
      </c>
      <c r="AH4" s="18" t="n">
        <v>670</v>
      </c>
      <c r="AI4" s="18" t="n">
        <v>29.7</v>
      </c>
      <c r="AJ4" s="18" t="n">
        <v>4</v>
      </c>
      <c r="AK4" s="18"/>
      <c r="AL4" s="18"/>
      <c r="AM4" s="18"/>
      <c r="AN4" s="18" t="n">
        <v>4.5</v>
      </c>
      <c r="AO4" s="18"/>
      <c r="AP4" s="18"/>
      <c r="AQ4" s="18"/>
      <c r="AR4" s="18" t="s">
        <v>1132</v>
      </c>
      <c r="AS4" s="18" t="s">
        <v>1639</v>
      </c>
      <c r="AT4" s="18" t="s">
        <v>2290</v>
      </c>
      <c r="AU4" s="18" t="s">
        <v>1641</v>
      </c>
      <c r="AV4" s="18" t="s">
        <v>91</v>
      </c>
      <c r="AW4" s="30" t="s">
        <v>2920</v>
      </c>
      <c r="AX4" s="18" t="s">
        <v>911</v>
      </c>
      <c r="AY4" s="18" t="s">
        <v>3024</v>
      </c>
    </row>
    <row r="5" customFormat="false" ht="15" hidden="false" customHeight="true" outlineLevel="0" collapsed="false"/>
    <row r="6" customFormat="false" ht="15" hidden="false" customHeight="true" outlineLevel="0" collapsed="false"/>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3025</v>
      </c>
      <c r="Q1" s="25" t="s">
        <v>3026</v>
      </c>
      <c r="R1" s="25" t="s">
        <v>3027</v>
      </c>
      <c r="S1" s="25" t="s">
        <v>3028</v>
      </c>
      <c r="T1" s="25" t="s">
        <v>3029</v>
      </c>
      <c r="U1" s="25" t="s">
        <v>3030</v>
      </c>
      <c r="V1" s="25" t="s">
        <v>3031</v>
      </c>
      <c r="W1" s="25" t="s">
        <v>3032</v>
      </c>
      <c r="X1" s="28" t="s">
        <v>3033</v>
      </c>
      <c r="Y1" s="28" t="s">
        <v>3034</v>
      </c>
      <c r="Z1" s="28" t="s">
        <v>3035</v>
      </c>
      <c r="AA1" s="28" t="s">
        <v>3036</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BA2" s="1" t="s">
        <v>1139</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3037</v>
      </c>
      <c r="Q1" s="25" t="s">
        <v>3038</v>
      </c>
      <c r="R1" s="25" t="s">
        <v>3039</v>
      </c>
      <c r="S1" s="25" t="s">
        <v>3040</v>
      </c>
      <c r="T1" s="25" t="s">
        <v>3041</v>
      </c>
      <c r="U1" s="25" t="s">
        <v>3042</v>
      </c>
      <c r="V1" s="25" t="s">
        <v>3043</v>
      </c>
      <c r="W1" s="25" t="s">
        <v>3044</v>
      </c>
      <c r="X1" s="28" t="s">
        <v>3045</v>
      </c>
      <c r="Y1" s="28" t="s">
        <v>3046</v>
      </c>
      <c r="Z1" s="28" t="s">
        <v>3047</v>
      </c>
      <c r="AA1" s="28" t="s">
        <v>3048</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BA2" s="31" t="s">
        <v>1141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3049</v>
      </c>
      <c r="Q1" s="25" t="s">
        <v>3050</v>
      </c>
      <c r="R1" s="25" t="s">
        <v>3051</v>
      </c>
      <c r="S1" s="25" t="s">
        <v>3052</v>
      </c>
      <c r="T1" s="25" t="s">
        <v>3053</v>
      </c>
      <c r="U1" s="25" t="s">
        <v>3054</v>
      </c>
      <c r="V1" s="25" t="s">
        <v>3055</v>
      </c>
      <c r="W1" s="25" t="s">
        <v>3056</v>
      </c>
      <c r="X1" s="28" t="s">
        <v>3057</v>
      </c>
      <c r="Y1" s="28" t="s">
        <v>3058</v>
      </c>
      <c r="Z1" s="28" t="s">
        <v>3059</v>
      </c>
      <c r="AA1" s="28" t="s">
        <v>3060</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BA2" s="31" t="s">
        <v>1143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3061</v>
      </c>
      <c r="Q1" s="25" t="s">
        <v>3062</v>
      </c>
      <c r="R1" s="25" t="s">
        <v>3063</v>
      </c>
      <c r="S1" s="25" t="s">
        <v>3064</v>
      </c>
      <c r="T1" s="25" t="s">
        <v>3065</v>
      </c>
      <c r="U1" s="25" t="s">
        <v>3066</v>
      </c>
      <c r="V1" s="25" t="s">
        <v>3067</v>
      </c>
      <c r="W1" s="25" t="s">
        <v>3068</v>
      </c>
      <c r="X1" s="28" t="s">
        <v>3069</v>
      </c>
      <c r="Y1" s="28" t="s">
        <v>3070</v>
      </c>
      <c r="Z1" s="28" t="s">
        <v>3071</v>
      </c>
      <c r="AA1" s="28" t="s">
        <v>3072</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BA2" s="31" t="s">
        <v>1145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3073</v>
      </c>
      <c r="Q1" s="25" t="s">
        <v>3074</v>
      </c>
      <c r="R1" s="25" t="s">
        <v>3075</v>
      </c>
      <c r="S1" s="25" t="s">
        <v>3076</v>
      </c>
      <c r="T1" s="25" t="s">
        <v>3077</v>
      </c>
      <c r="U1" s="25" t="s">
        <v>3078</v>
      </c>
      <c r="V1" s="25" t="s">
        <v>3079</v>
      </c>
      <c r="W1" s="25" t="s">
        <v>3080</v>
      </c>
      <c r="X1" s="28" t="s">
        <v>3081</v>
      </c>
      <c r="Y1" s="28" t="s">
        <v>3082</v>
      </c>
      <c r="Z1" s="28" t="s">
        <v>3083</v>
      </c>
      <c r="AA1" s="28" t="s">
        <v>3084</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BA2" s="31" t="s">
        <v>1147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3085</v>
      </c>
      <c r="Q1" s="25" t="s">
        <v>3086</v>
      </c>
      <c r="R1" s="25" t="s">
        <v>3087</v>
      </c>
      <c r="S1" s="25" t="s">
        <v>3088</v>
      </c>
      <c r="T1" s="25" t="s">
        <v>3089</v>
      </c>
      <c r="U1" s="25" t="s">
        <v>3090</v>
      </c>
      <c r="V1" s="25" t="s">
        <v>3091</v>
      </c>
      <c r="W1" s="25" t="s">
        <v>3092</v>
      </c>
      <c r="X1" s="28" t="s">
        <v>3093</v>
      </c>
      <c r="Y1" s="28" t="s">
        <v>3094</v>
      </c>
      <c r="Z1" s="28" t="s">
        <v>3095</v>
      </c>
      <c r="AA1" s="28" t="s">
        <v>3096</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A2" s="18" t="n">
        <v>168</v>
      </c>
      <c r="B2" s="18" t="n">
        <v>168</v>
      </c>
      <c r="C2" s="18" t="s">
        <v>862</v>
      </c>
      <c r="D2" s="18" t="n">
        <v>2020</v>
      </c>
      <c r="E2" s="18" t="s">
        <v>863</v>
      </c>
      <c r="F2" s="18" t="s">
        <v>866</v>
      </c>
      <c r="G2" s="18" t="s">
        <v>867</v>
      </c>
      <c r="H2" s="18" t="n">
        <v>30.933</v>
      </c>
      <c r="I2" s="18" t="n">
        <v>75.867</v>
      </c>
      <c r="J2" s="18" t="s">
        <v>870</v>
      </c>
      <c r="K2" s="18" t="n">
        <v>2016</v>
      </c>
      <c r="L2" s="18" t="s">
        <v>84</v>
      </c>
      <c r="M2" s="18" t="s">
        <v>85</v>
      </c>
      <c r="N2" s="18" t="s">
        <v>86</v>
      </c>
      <c r="O2" s="18" t="s">
        <v>1618</v>
      </c>
      <c r="P2" s="18"/>
      <c r="Q2" s="18" t="n">
        <f aca="false">ROUND(4.8*60,1)</f>
        <v>288</v>
      </c>
      <c r="R2" s="18" t="n">
        <f aca="false">ROUND(5.04*60,1)</f>
        <v>302.4</v>
      </c>
      <c r="S2" s="18"/>
      <c r="T2" s="18"/>
      <c r="U2" s="18"/>
      <c r="V2" s="18"/>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3097</v>
      </c>
      <c r="AS2" s="18" t="s">
        <v>2972</v>
      </c>
      <c r="AT2" s="18" t="s">
        <v>1474</v>
      </c>
      <c r="AU2" s="18" t="s">
        <v>1475</v>
      </c>
      <c r="AV2" s="18" t="s">
        <v>3098</v>
      </c>
      <c r="AW2" s="30" t="s">
        <v>3099</v>
      </c>
      <c r="AX2" s="18" t="s">
        <v>877</v>
      </c>
      <c r="AY2" s="18" t="s">
        <v>3100</v>
      </c>
      <c r="BA2" s="31" t="s">
        <v>1149</v>
      </c>
    </row>
    <row r="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3101</v>
      </c>
      <c r="Q1" s="25" t="s">
        <v>3102</v>
      </c>
      <c r="R1" s="25" t="s">
        <v>3103</v>
      </c>
      <c r="S1" s="25" t="s">
        <v>3104</v>
      </c>
      <c r="T1" s="25" t="s">
        <v>3105</v>
      </c>
      <c r="U1" s="25" t="s">
        <v>3106</v>
      </c>
      <c r="V1" s="25" t="s">
        <v>3107</v>
      </c>
      <c r="W1" s="25" t="s">
        <v>3108</v>
      </c>
      <c r="X1" s="28" t="s">
        <v>3109</v>
      </c>
      <c r="Y1" s="28" t="s">
        <v>3110</v>
      </c>
      <c r="Z1" s="28" t="s">
        <v>3111</v>
      </c>
      <c r="AA1" s="28" t="s">
        <v>3112</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BA2" s="31" t="s">
        <v>1145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3113</v>
      </c>
      <c r="Q1" s="25" t="s">
        <v>3114</v>
      </c>
      <c r="R1" s="25" t="s">
        <v>3115</v>
      </c>
      <c r="S1" s="25" t="s">
        <v>3116</v>
      </c>
      <c r="T1" s="25" t="s">
        <v>3117</v>
      </c>
      <c r="U1" s="25" t="s">
        <v>3118</v>
      </c>
      <c r="V1" s="25" t="s">
        <v>3119</v>
      </c>
      <c r="W1" s="25" t="s">
        <v>3120</v>
      </c>
      <c r="X1" s="28" t="s">
        <v>3121</v>
      </c>
      <c r="Y1" s="28" t="s">
        <v>3122</v>
      </c>
      <c r="Z1" s="28" t="s">
        <v>3123</v>
      </c>
      <c r="AA1" s="28" t="s">
        <v>3124</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BA2" s="31" t="s">
        <v>1152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3125</v>
      </c>
      <c r="Q1" s="25" t="s">
        <v>3126</v>
      </c>
      <c r="R1" s="25" t="s">
        <v>3127</v>
      </c>
      <c r="S1" s="25" t="s">
        <v>3128</v>
      </c>
      <c r="T1" s="25" t="s">
        <v>3129</v>
      </c>
      <c r="U1" s="25" t="s">
        <v>3130</v>
      </c>
      <c r="V1" s="25" t="s">
        <v>3131</v>
      </c>
      <c r="W1" s="25" t="s">
        <v>3132</v>
      </c>
      <c r="X1" s="28" t="s">
        <v>3133</v>
      </c>
      <c r="Y1" s="28" t="s">
        <v>3134</v>
      </c>
      <c r="Z1" s="28" t="s">
        <v>3135</v>
      </c>
      <c r="AA1" s="28" t="s">
        <v>3136</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BA2" s="31" t="s">
        <v>1154</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3137</v>
      </c>
      <c r="Q1" s="25" t="s">
        <v>3138</v>
      </c>
      <c r="R1" s="25" t="s">
        <v>3139</v>
      </c>
      <c r="S1" s="25" t="s">
        <v>3140</v>
      </c>
      <c r="T1" s="25" t="s">
        <v>3141</v>
      </c>
      <c r="U1" s="25" t="s">
        <v>3142</v>
      </c>
      <c r="V1" s="25" t="s">
        <v>3143</v>
      </c>
      <c r="W1" s="25" t="s">
        <v>3144</v>
      </c>
      <c r="X1" s="28" t="s">
        <v>3145</v>
      </c>
      <c r="Y1" s="28" t="s">
        <v>3146</v>
      </c>
      <c r="Z1" s="28" t="s">
        <v>3147</v>
      </c>
      <c r="AA1" s="28" t="s">
        <v>3148</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BA2" s="31" t="s">
        <v>1156</v>
      </c>
    </row>
    <row r="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3149</v>
      </c>
      <c r="Q1" s="25" t="s">
        <v>3150</v>
      </c>
      <c r="R1" s="25" t="s">
        <v>3151</v>
      </c>
      <c r="S1" s="25" t="s">
        <v>3152</v>
      </c>
      <c r="T1" s="25" t="s">
        <v>3153</v>
      </c>
      <c r="U1" s="25" t="s">
        <v>3154</v>
      </c>
      <c r="V1" s="25" t="s">
        <v>3155</v>
      </c>
      <c r="W1" s="25" t="s">
        <v>3156</v>
      </c>
      <c r="X1" s="28" t="s">
        <v>3157</v>
      </c>
      <c r="Y1" s="28" t="s">
        <v>3158</v>
      </c>
      <c r="Z1" s="28" t="s">
        <v>3159</v>
      </c>
      <c r="AA1" s="28" t="s">
        <v>3160</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BA2" s="31" t="s">
        <v>1158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3161</v>
      </c>
      <c r="Q1" s="25" t="s">
        <v>3162</v>
      </c>
      <c r="R1" s="25" t="s">
        <v>3163</v>
      </c>
      <c r="S1" s="25" t="s">
        <v>3164</v>
      </c>
      <c r="T1" s="25" t="s">
        <v>3165</v>
      </c>
      <c r="U1" s="25" t="s">
        <v>3166</v>
      </c>
      <c r="V1" s="25" t="s">
        <v>3167</v>
      </c>
      <c r="W1" s="25" t="s">
        <v>3168</v>
      </c>
      <c r="X1" s="28" t="s">
        <v>3169</v>
      </c>
      <c r="Y1" s="28" t="s">
        <v>3170</v>
      </c>
      <c r="Z1" s="28" t="s">
        <v>3171</v>
      </c>
      <c r="AA1" s="28" t="s">
        <v>3172</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BA2" s="31" t="s">
        <v>1160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3173</v>
      </c>
      <c r="Q1" s="25" t="s">
        <v>3174</v>
      </c>
      <c r="R1" s="25" t="s">
        <v>3175</v>
      </c>
      <c r="S1" s="25" t="s">
        <v>3176</v>
      </c>
      <c r="T1" s="25" t="s">
        <v>3177</v>
      </c>
      <c r="U1" s="25" t="s">
        <v>3178</v>
      </c>
      <c r="V1" s="25" t="s">
        <v>3179</v>
      </c>
      <c r="W1" s="25" t="s">
        <v>3180</v>
      </c>
      <c r="X1" s="28" t="s">
        <v>3181</v>
      </c>
      <c r="Y1" s="28" t="s">
        <v>3182</v>
      </c>
      <c r="Z1" s="28" t="s">
        <v>3183</v>
      </c>
      <c r="AA1" s="28" t="s">
        <v>3184</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BA2" s="31" t="s">
        <v>1162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3185</v>
      </c>
      <c r="Q1" s="25" t="s">
        <v>3186</v>
      </c>
      <c r="R1" s="25" t="s">
        <v>3187</v>
      </c>
      <c r="S1" s="25" t="s">
        <v>3188</v>
      </c>
      <c r="T1" s="25" t="s">
        <v>3189</v>
      </c>
      <c r="U1" s="25" t="s">
        <v>3190</v>
      </c>
      <c r="V1" s="25" t="s">
        <v>3191</v>
      </c>
      <c r="W1" s="25" t="s">
        <v>3192</v>
      </c>
      <c r="X1" s="28" t="s">
        <v>3193</v>
      </c>
      <c r="Y1" s="28" t="s">
        <v>3194</v>
      </c>
      <c r="Z1" s="28" t="s">
        <v>3195</v>
      </c>
      <c r="AA1" s="28" t="s">
        <v>3196</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BA2" s="31" t="s">
        <v>1164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3197</v>
      </c>
      <c r="Q1" s="25" t="s">
        <v>3198</v>
      </c>
      <c r="R1" s="25" t="s">
        <v>3199</v>
      </c>
      <c r="S1" s="25" t="s">
        <v>3200</v>
      </c>
      <c r="T1" s="25" t="s">
        <v>3201</v>
      </c>
      <c r="U1" s="25" t="s">
        <v>3202</v>
      </c>
      <c r="V1" s="25" t="s">
        <v>3203</v>
      </c>
      <c r="W1" s="25" t="s">
        <v>3204</v>
      </c>
      <c r="X1" s="28" t="s">
        <v>3205</v>
      </c>
      <c r="Y1" s="28" t="s">
        <v>3206</v>
      </c>
      <c r="Z1" s="28" t="s">
        <v>3207</v>
      </c>
      <c r="AA1" s="28" t="s">
        <v>3208</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BA2" s="31" t="s">
        <v>1166</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3209</v>
      </c>
      <c r="Q1" s="25" t="s">
        <v>3210</v>
      </c>
      <c r="R1" s="25" t="s">
        <v>3211</v>
      </c>
      <c r="S1" s="25" t="s">
        <v>3212</v>
      </c>
      <c r="T1" s="25" t="s">
        <v>3213</v>
      </c>
      <c r="U1" s="25" t="s">
        <v>3214</v>
      </c>
      <c r="V1" s="25" t="s">
        <v>3215</v>
      </c>
      <c r="W1" s="25" t="s">
        <v>3216</v>
      </c>
      <c r="X1" s="28" t="s">
        <v>3217</v>
      </c>
      <c r="Y1" s="28" t="s">
        <v>3218</v>
      </c>
      <c r="Z1" s="28" t="s">
        <v>3219</v>
      </c>
      <c r="AA1" s="28" t="s">
        <v>3220</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BA2" s="31" t="s">
        <v>1168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3221</v>
      </c>
      <c r="Q1" s="25" t="s">
        <v>3222</v>
      </c>
      <c r="R1" s="25" t="s">
        <v>3223</v>
      </c>
      <c r="S1" s="25" t="s">
        <v>3224</v>
      </c>
      <c r="T1" s="25" t="s">
        <v>3225</v>
      </c>
      <c r="U1" s="25" t="s">
        <v>3226</v>
      </c>
      <c r="V1" s="25" t="s">
        <v>3227</v>
      </c>
      <c r="W1" s="25" t="s">
        <v>3228</v>
      </c>
      <c r="X1" s="28" t="s">
        <v>3229</v>
      </c>
      <c r="Y1" s="28" t="s">
        <v>3230</v>
      </c>
      <c r="Z1" s="28" t="s">
        <v>3231</v>
      </c>
      <c r="AA1" s="28" t="s">
        <v>3232</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A2" s="5" t="n">
        <v>165</v>
      </c>
      <c r="B2" s="5" t="n">
        <v>165</v>
      </c>
      <c r="C2" s="5" t="s">
        <v>811</v>
      </c>
      <c r="D2" s="5" t="n">
        <v>2012</v>
      </c>
      <c r="E2" s="5" t="s">
        <v>812</v>
      </c>
      <c r="F2" s="5" t="s">
        <v>815</v>
      </c>
      <c r="G2" s="5" t="s">
        <v>816</v>
      </c>
      <c r="H2" s="5" t="n">
        <v>28.633</v>
      </c>
      <c r="I2" s="5" t="n">
        <v>77.183</v>
      </c>
      <c r="J2" s="5" t="s">
        <v>83</v>
      </c>
      <c r="K2" s="5" t="s">
        <v>1481</v>
      </c>
      <c r="L2" s="5" t="s">
        <v>821</v>
      </c>
      <c r="M2" s="5" t="s">
        <v>85</v>
      </c>
      <c r="N2" s="5" t="s">
        <v>86</v>
      </c>
      <c r="O2" s="5" t="s">
        <v>2030</v>
      </c>
      <c r="P2" s="5"/>
      <c r="Q2" s="5" t="n">
        <f aca="false">ROUND(9.2/10,2)</f>
        <v>0.92</v>
      </c>
      <c r="R2" s="5"/>
      <c r="S2" s="5"/>
      <c r="T2" s="5"/>
      <c r="U2" s="5"/>
      <c r="V2" s="5" t="n">
        <f aca="false">ROUND(19.2/10,2)</f>
        <v>1.92</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3233</v>
      </c>
      <c r="AS2" s="5" t="s">
        <v>1482</v>
      </c>
      <c r="AT2" s="5" t="s">
        <v>2471</v>
      </c>
      <c r="AU2" s="5" t="s">
        <v>1484</v>
      </c>
      <c r="AV2" s="5" t="s">
        <v>1953</v>
      </c>
      <c r="AW2" s="23" t="s">
        <v>3234</v>
      </c>
      <c r="AX2" s="5" t="s">
        <v>829</v>
      </c>
      <c r="AY2" s="5" t="s">
        <v>3235</v>
      </c>
      <c r="BA2" s="31" t="s">
        <v>1170</v>
      </c>
    </row>
    <row r="3" customFormat="false" ht="14.25" hidden="false" customHeight="true" outlineLevel="0" collapsed="false">
      <c r="A3" s="5" t="n">
        <v>165</v>
      </c>
      <c r="B3" s="5" t="n">
        <v>165</v>
      </c>
      <c r="C3" s="5" t="s">
        <v>811</v>
      </c>
      <c r="D3" s="5" t="n">
        <v>2012</v>
      </c>
      <c r="E3" s="5" t="s">
        <v>812</v>
      </c>
      <c r="F3" s="5" t="s">
        <v>815</v>
      </c>
      <c r="G3" s="5" t="s">
        <v>816</v>
      </c>
      <c r="H3" s="5" t="n">
        <v>28.633</v>
      </c>
      <c r="I3" s="5" t="n">
        <v>77.183</v>
      </c>
      <c r="J3" s="5" t="s">
        <v>83</v>
      </c>
      <c r="K3" s="5" t="s">
        <v>1481</v>
      </c>
      <c r="L3" s="5" t="s">
        <v>821</v>
      </c>
      <c r="M3" s="5" t="s">
        <v>85</v>
      </c>
      <c r="N3" s="5" t="s">
        <v>86</v>
      </c>
      <c r="O3" s="5" t="s">
        <v>2030</v>
      </c>
      <c r="P3" s="5"/>
      <c r="Q3" s="5" t="n">
        <f aca="false">ROUND(12.4/10,2)</f>
        <v>1.24</v>
      </c>
      <c r="R3" s="5"/>
      <c r="S3" s="5"/>
      <c r="T3" s="5"/>
      <c r="U3" s="5"/>
      <c r="V3" s="5" t="n">
        <f aca="false">ROUND(21.6/10,2)</f>
        <v>2.16</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3233</v>
      </c>
      <c r="AS3" s="5" t="s">
        <v>1488</v>
      </c>
      <c r="AT3" s="5" t="s">
        <v>2471</v>
      </c>
      <c r="AU3" s="5" t="s">
        <v>1484</v>
      </c>
      <c r="AV3" s="5" t="s">
        <v>1953</v>
      </c>
      <c r="AW3" s="23" t="s">
        <v>3236</v>
      </c>
      <c r="AX3" s="5" t="s">
        <v>829</v>
      </c>
      <c r="AY3" s="5" t="s">
        <v>3235</v>
      </c>
    </row>
    <row r="4" customFormat="false" ht="14.25" hidden="false" customHeight="true" outlineLevel="0" collapsed="false">
      <c r="A4" s="18" t="s">
        <v>904</v>
      </c>
      <c r="B4" s="18" t="s">
        <v>904</v>
      </c>
      <c r="C4" s="18" t="s">
        <v>905</v>
      </c>
      <c r="D4" s="18" t="n">
        <v>2019</v>
      </c>
      <c r="E4" s="18" t="s">
        <v>2288</v>
      </c>
      <c r="F4" s="18" t="s">
        <v>891</v>
      </c>
      <c r="G4" s="18" t="s">
        <v>892</v>
      </c>
      <c r="H4" s="18" t="n">
        <v>29.7</v>
      </c>
      <c r="I4" s="18" t="n">
        <v>76.96</v>
      </c>
      <c r="J4" s="18" t="s">
        <v>83</v>
      </c>
      <c r="K4" s="18" t="n">
        <v>2013</v>
      </c>
      <c r="L4" s="18" t="s">
        <v>84</v>
      </c>
      <c r="M4" s="18" t="s">
        <v>85</v>
      </c>
      <c r="N4" s="18" t="s">
        <v>86</v>
      </c>
      <c r="O4" s="18" t="s">
        <v>1472</v>
      </c>
      <c r="P4" s="18" t="n">
        <v>7.2</v>
      </c>
      <c r="Q4" s="18" t="n">
        <v>4.4</v>
      </c>
      <c r="R4" s="18"/>
      <c r="S4" s="18"/>
      <c r="T4" s="18"/>
      <c r="U4" s="18"/>
      <c r="V4" s="18"/>
      <c r="W4" s="18"/>
      <c r="X4" s="18" t="n">
        <v>7.3</v>
      </c>
      <c r="Y4" s="18"/>
      <c r="Z4" s="18"/>
      <c r="AA4" s="18"/>
      <c r="AB4" s="18" t="n">
        <v>1</v>
      </c>
      <c r="AC4" s="18" t="n">
        <v>3</v>
      </c>
      <c r="AD4" s="18" t="n">
        <f aca="false">IF(AND(N(AB4)&gt;0,N(AC4)&gt;0),SQRT(2*AB4/AC4),"")</f>
        <v>0.816496580927726</v>
      </c>
      <c r="AE4" s="18"/>
      <c r="AF4" s="18" t="n">
        <v>11.62</v>
      </c>
      <c r="AG4" s="18" t="n">
        <v>31.68</v>
      </c>
      <c r="AH4" s="18" t="n">
        <v>670</v>
      </c>
      <c r="AI4" s="18" t="n">
        <v>29.7</v>
      </c>
      <c r="AJ4" s="18" t="n">
        <v>4</v>
      </c>
      <c r="AK4" s="18"/>
      <c r="AL4" s="18"/>
      <c r="AM4" s="18"/>
      <c r="AN4" s="18" t="n">
        <v>4.5</v>
      </c>
      <c r="AO4" s="18"/>
      <c r="AP4" s="18"/>
      <c r="AQ4" s="18"/>
      <c r="AR4" s="18" t="s">
        <v>1170</v>
      </c>
      <c r="AS4" s="18" t="s">
        <v>1639</v>
      </c>
      <c r="AT4" s="18" t="s">
        <v>2290</v>
      </c>
      <c r="AU4" s="18" t="s">
        <v>1641</v>
      </c>
      <c r="AV4" s="18" t="s">
        <v>1870</v>
      </c>
      <c r="AW4" s="30" t="s">
        <v>2920</v>
      </c>
      <c r="AX4" s="18" t="s">
        <v>911</v>
      </c>
      <c r="AY4" s="18" t="s">
        <v>3237</v>
      </c>
    </row>
    <row r="5" customFormat="false" ht="14.25" hidden="false" customHeight="true" outlineLevel="0" collapsed="false">
      <c r="A5" s="18" t="s">
        <v>904</v>
      </c>
      <c r="B5" s="18" t="s">
        <v>904</v>
      </c>
      <c r="C5" s="18" t="s">
        <v>905</v>
      </c>
      <c r="D5" s="18" t="n">
        <v>2019</v>
      </c>
      <c r="E5" s="18" t="s">
        <v>2288</v>
      </c>
      <c r="F5" s="18" t="s">
        <v>891</v>
      </c>
      <c r="G5" s="18" t="s">
        <v>892</v>
      </c>
      <c r="H5" s="18" t="n">
        <v>29.7</v>
      </c>
      <c r="I5" s="18" t="n">
        <v>76.96</v>
      </c>
      <c r="J5" s="18" t="s">
        <v>83</v>
      </c>
      <c r="K5" s="18" t="n">
        <v>2013</v>
      </c>
      <c r="L5" s="18" t="s">
        <v>84</v>
      </c>
      <c r="M5" s="18" t="s">
        <v>85</v>
      </c>
      <c r="N5" s="18" t="s">
        <v>1479</v>
      </c>
      <c r="O5" s="18" t="s">
        <v>1480</v>
      </c>
      <c r="P5" s="18" t="n">
        <v>2.9</v>
      </c>
      <c r="Q5" s="18" t="n">
        <v>2.1</v>
      </c>
      <c r="R5" s="18"/>
      <c r="S5" s="18"/>
      <c r="T5" s="18"/>
      <c r="U5" s="18"/>
      <c r="V5" s="18"/>
      <c r="W5" s="18"/>
      <c r="X5" s="18" t="n">
        <v>1.7</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1170</v>
      </c>
      <c r="AS5" s="18" t="s">
        <v>1639</v>
      </c>
      <c r="AT5" s="18" t="s">
        <v>2290</v>
      </c>
      <c r="AU5" s="18" t="s">
        <v>1641</v>
      </c>
      <c r="AV5" s="18" t="s">
        <v>1870</v>
      </c>
      <c r="AW5" s="30" t="s">
        <v>2920</v>
      </c>
      <c r="AX5" s="18" t="s">
        <v>911</v>
      </c>
      <c r="AY5" s="18" t="s">
        <v>3237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3238</v>
      </c>
      <c r="Q1" s="25" t="s">
        <v>3239</v>
      </c>
      <c r="R1" s="25" t="s">
        <v>3240</v>
      </c>
      <c r="S1" s="25" t="s">
        <v>3241</v>
      </c>
      <c r="T1" s="25" t="s">
        <v>3242</v>
      </c>
      <c r="U1" s="25" t="s">
        <v>3243</v>
      </c>
      <c r="V1" s="25" t="s">
        <v>3244</v>
      </c>
      <c r="W1" s="25" t="s">
        <v>3245</v>
      </c>
      <c r="X1" s="28" t="s">
        <v>3246</v>
      </c>
      <c r="Y1" s="28" t="s">
        <v>3247</v>
      </c>
      <c r="Z1" s="28" t="s">
        <v>3248</v>
      </c>
      <c r="AA1" s="28" t="s">
        <v>3249</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A2" s="5" t="n">
        <v>165</v>
      </c>
      <c r="B2" s="5" t="n">
        <v>165</v>
      </c>
      <c r="C2" s="5" t="s">
        <v>811</v>
      </c>
      <c r="D2" s="5" t="n">
        <v>2012</v>
      </c>
      <c r="E2" s="5" t="s">
        <v>812</v>
      </c>
      <c r="F2" s="5" t="s">
        <v>815</v>
      </c>
      <c r="G2" s="5" t="s">
        <v>816</v>
      </c>
      <c r="H2" s="5" t="n">
        <v>28.633</v>
      </c>
      <c r="I2" s="5" t="n">
        <v>77.183</v>
      </c>
      <c r="J2" s="5" t="s">
        <v>83</v>
      </c>
      <c r="K2" s="5" t="s">
        <v>1481</v>
      </c>
      <c r="L2" s="5" t="s">
        <v>821</v>
      </c>
      <c r="M2" s="5" t="s">
        <v>85</v>
      </c>
      <c r="N2" s="5" t="s">
        <v>86</v>
      </c>
      <c r="O2" s="5" t="s">
        <v>2030</v>
      </c>
      <c r="P2" s="5"/>
      <c r="Q2" s="5" t="n">
        <f aca="false">ROUND(4.8/10,2)</f>
        <v>0.48</v>
      </c>
      <c r="R2" s="5"/>
      <c r="S2" s="5"/>
      <c r="T2" s="5"/>
      <c r="U2" s="5"/>
      <c r="V2" s="5" t="n">
        <f aca="false">ROUND(6.5/10,2)</f>
        <v>0.65</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3250</v>
      </c>
      <c r="AS2" s="5" t="s">
        <v>1482</v>
      </c>
      <c r="AT2" s="5" t="s">
        <v>2471</v>
      </c>
      <c r="AU2" s="5" t="s">
        <v>1484</v>
      </c>
      <c r="AV2" s="5" t="s">
        <v>1953</v>
      </c>
      <c r="AW2" s="23" t="s">
        <v>3251</v>
      </c>
      <c r="AX2" s="5" t="s">
        <v>829</v>
      </c>
      <c r="AY2" s="5" t="s">
        <v>3252</v>
      </c>
      <c r="BA2" s="31" t="s">
        <v>1173</v>
      </c>
    </row>
    <row r="3" customFormat="false" ht="14.25" hidden="false" customHeight="true" outlineLevel="0" collapsed="false">
      <c r="A3" s="5" t="n">
        <v>165</v>
      </c>
      <c r="B3" s="5" t="n">
        <v>165</v>
      </c>
      <c r="C3" s="5" t="s">
        <v>811</v>
      </c>
      <c r="D3" s="5" t="n">
        <v>2012</v>
      </c>
      <c r="E3" s="5" t="s">
        <v>812</v>
      </c>
      <c r="F3" s="5" t="s">
        <v>815</v>
      </c>
      <c r="G3" s="5" t="s">
        <v>816</v>
      </c>
      <c r="H3" s="5" t="n">
        <v>28.633</v>
      </c>
      <c r="I3" s="5" t="n">
        <v>77.183</v>
      </c>
      <c r="J3" s="5" t="s">
        <v>83</v>
      </c>
      <c r="K3" s="5" t="s">
        <v>1481</v>
      </c>
      <c r="L3" s="5" t="s">
        <v>821</v>
      </c>
      <c r="M3" s="5" t="s">
        <v>85</v>
      </c>
      <c r="N3" s="5" t="s">
        <v>86</v>
      </c>
      <c r="O3" s="5" t="s">
        <v>2030</v>
      </c>
      <c r="P3" s="5"/>
      <c r="Q3" s="5" t="n">
        <f aca="false">ROUND(5.7/10,2)</f>
        <v>0.57</v>
      </c>
      <c r="R3" s="5"/>
      <c r="S3" s="5"/>
      <c r="T3" s="5"/>
      <c r="U3" s="5"/>
      <c r="V3" s="5" t="n">
        <f aca="false">ROUND(7.1/10,2)</f>
        <v>0.71</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3250</v>
      </c>
      <c r="AS3" s="5" t="s">
        <v>1488</v>
      </c>
      <c r="AT3" s="5" t="s">
        <v>2471</v>
      </c>
      <c r="AU3" s="5" t="s">
        <v>1484</v>
      </c>
      <c r="AV3" s="5" t="s">
        <v>1953</v>
      </c>
      <c r="AW3" s="23" t="s">
        <v>3253</v>
      </c>
      <c r="AX3" s="5" t="s">
        <v>829</v>
      </c>
      <c r="AY3" s="5" t="s">
        <v>3252</v>
      </c>
    </row>
    <row r="4" customFormat="false" ht="14.25" hidden="false" customHeight="true" outlineLevel="0" collapsed="false">
      <c r="A4" s="18" t="s">
        <v>904</v>
      </c>
      <c r="B4" s="18" t="s">
        <v>904</v>
      </c>
      <c r="C4" s="18" t="s">
        <v>905</v>
      </c>
      <c r="D4" s="18" t="n">
        <v>2019</v>
      </c>
      <c r="E4" s="18" t="s">
        <v>2288</v>
      </c>
      <c r="F4" s="18" t="s">
        <v>891</v>
      </c>
      <c r="G4" s="18" t="s">
        <v>892</v>
      </c>
      <c r="H4" s="18" t="n">
        <v>29.7</v>
      </c>
      <c r="I4" s="18" t="n">
        <v>76.96</v>
      </c>
      <c r="J4" s="18" t="s">
        <v>83</v>
      </c>
      <c r="K4" s="18" t="n">
        <v>2013</v>
      </c>
      <c r="L4" s="18" t="s">
        <v>84</v>
      </c>
      <c r="M4" s="18" t="s">
        <v>85</v>
      </c>
      <c r="N4" s="18" t="s">
        <v>86</v>
      </c>
      <c r="O4" s="18" t="s">
        <v>1472</v>
      </c>
      <c r="P4" s="18" t="n">
        <f aca="false">ROUND(12.3/100,3)</f>
        <v>0.123</v>
      </c>
      <c r="Q4" s="18" t="n">
        <f aca="false">ROUND(11.4/100,3)</f>
        <v>0.114</v>
      </c>
      <c r="R4" s="18"/>
      <c r="S4" s="18"/>
      <c r="T4" s="18"/>
      <c r="U4" s="18"/>
      <c r="V4" s="18"/>
      <c r="W4" s="18"/>
      <c r="X4" s="18" t="n">
        <f aca="false">ROUND(14.9/100,3)</f>
        <v>0.149</v>
      </c>
      <c r="Y4" s="18"/>
      <c r="Z4" s="18"/>
      <c r="AA4" s="18"/>
      <c r="AB4" s="18" t="n">
        <v>1</v>
      </c>
      <c r="AC4" s="18" t="n">
        <v>3</v>
      </c>
      <c r="AD4" s="18" t="n">
        <f aca="false">IF(AND(N(AB4)&gt;0,N(AC4)&gt;0),SQRT(2*AB4/AC4),"")</f>
        <v>0.816496580927726</v>
      </c>
      <c r="AE4" s="18"/>
      <c r="AF4" s="18" t="n">
        <v>11.62</v>
      </c>
      <c r="AG4" s="18" t="n">
        <v>31.68</v>
      </c>
      <c r="AH4" s="18" t="n">
        <v>670</v>
      </c>
      <c r="AI4" s="18" t="n">
        <v>29.7</v>
      </c>
      <c r="AJ4" s="18" t="n">
        <v>4</v>
      </c>
      <c r="AK4" s="18"/>
      <c r="AL4" s="18"/>
      <c r="AM4" s="18"/>
      <c r="AN4" s="18" t="n">
        <v>4.5</v>
      </c>
      <c r="AO4" s="18"/>
      <c r="AP4" s="18"/>
      <c r="AQ4" s="18"/>
      <c r="AR4" s="18" t="s">
        <v>3254</v>
      </c>
      <c r="AS4" s="18" t="s">
        <v>1639</v>
      </c>
      <c r="AT4" s="18" t="s">
        <v>2290</v>
      </c>
      <c r="AU4" s="18" t="s">
        <v>1641</v>
      </c>
      <c r="AV4" s="18" t="s">
        <v>3255</v>
      </c>
      <c r="AW4" s="30" t="s">
        <v>3256</v>
      </c>
      <c r="AX4" s="18" t="s">
        <v>911</v>
      </c>
      <c r="AY4" s="18" t="s">
        <v>3257</v>
      </c>
    </row>
    <row r="5" customFormat="false" ht="14.25" hidden="false" customHeight="true" outlineLevel="0" collapsed="false">
      <c r="A5" s="18" t="s">
        <v>904</v>
      </c>
      <c r="B5" s="18" t="s">
        <v>904</v>
      </c>
      <c r="C5" s="18" t="s">
        <v>905</v>
      </c>
      <c r="D5" s="18" t="n">
        <v>2019</v>
      </c>
      <c r="E5" s="18" t="s">
        <v>2288</v>
      </c>
      <c r="F5" s="18" t="s">
        <v>891</v>
      </c>
      <c r="G5" s="18" t="s">
        <v>892</v>
      </c>
      <c r="H5" s="18" t="n">
        <v>29.7</v>
      </c>
      <c r="I5" s="18" t="n">
        <v>76.96</v>
      </c>
      <c r="J5" s="18" t="s">
        <v>83</v>
      </c>
      <c r="K5" s="18" t="n">
        <v>2013</v>
      </c>
      <c r="L5" s="18" t="s">
        <v>84</v>
      </c>
      <c r="M5" s="18" t="s">
        <v>85</v>
      </c>
      <c r="N5" s="18" t="s">
        <v>1479</v>
      </c>
      <c r="O5" s="18" t="s">
        <v>1480</v>
      </c>
      <c r="P5" s="18" t="n">
        <f aca="false">ROUND(5.8/100,3)</f>
        <v>0.058</v>
      </c>
      <c r="Q5" s="18" t="n">
        <f aca="false">ROUND(5.5/100,3)</f>
        <v>0.055</v>
      </c>
      <c r="R5" s="18"/>
      <c r="S5" s="18"/>
      <c r="T5" s="18"/>
      <c r="U5" s="18"/>
      <c r="V5" s="18"/>
      <c r="W5" s="18"/>
      <c r="X5" s="18" t="n">
        <f aca="false">ROUND(6.3/100,3)</f>
        <v>0.063</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3254</v>
      </c>
      <c r="AS5" s="18" t="s">
        <v>1639</v>
      </c>
      <c r="AT5" s="18" t="s">
        <v>2290</v>
      </c>
      <c r="AU5" s="18" t="s">
        <v>1641</v>
      </c>
      <c r="AV5" s="18" t="s">
        <v>3255</v>
      </c>
      <c r="AW5" s="30" t="s">
        <v>3258</v>
      </c>
      <c r="AX5" s="18" t="s">
        <v>911</v>
      </c>
      <c r="AY5" s="18" t="s">
        <v>3257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3259</v>
      </c>
      <c r="Q1" s="25" t="s">
        <v>3260</v>
      </c>
      <c r="R1" s="25" t="s">
        <v>3261</v>
      </c>
      <c r="S1" s="25" t="s">
        <v>3262</v>
      </c>
      <c r="T1" s="25" t="s">
        <v>3263</v>
      </c>
      <c r="U1" s="25" t="s">
        <v>3264</v>
      </c>
      <c r="V1" s="25" t="s">
        <v>3265</v>
      </c>
      <c r="W1" s="25" t="s">
        <v>3266</v>
      </c>
      <c r="X1" s="28" t="s">
        <v>3267</v>
      </c>
      <c r="Y1" s="28" t="s">
        <v>3268</v>
      </c>
      <c r="Z1" s="28" t="s">
        <v>3269</v>
      </c>
      <c r="AA1" s="28" t="s">
        <v>3270</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A2" s="5" t="n">
        <v>165</v>
      </c>
      <c r="B2" s="5" t="n">
        <v>165</v>
      </c>
      <c r="C2" s="5" t="s">
        <v>811</v>
      </c>
      <c r="D2" s="5" t="n">
        <v>2012</v>
      </c>
      <c r="E2" s="5" t="s">
        <v>812</v>
      </c>
      <c r="F2" s="5" t="s">
        <v>815</v>
      </c>
      <c r="G2" s="5" t="s">
        <v>816</v>
      </c>
      <c r="H2" s="5" t="n">
        <v>28.633</v>
      </c>
      <c r="I2" s="5" t="n">
        <v>77.183</v>
      </c>
      <c r="J2" s="5" t="s">
        <v>83</v>
      </c>
      <c r="K2" s="5" t="s">
        <v>1481</v>
      </c>
      <c r="L2" s="5" t="s">
        <v>821</v>
      </c>
      <c r="M2" s="5" t="s">
        <v>85</v>
      </c>
      <c r="N2" s="5" t="s">
        <v>86</v>
      </c>
      <c r="O2" s="5" t="s">
        <v>2030</v>
      </c>
      <c r="P2" s="5"/>
      <c r="Q2" s="5" t="n">
        <v>2.3</v>
      </c>
      <c r="R2" s="5"/>
      <c r="S2" s="5"/>
      <c r="T2" s="5"/>
      <c r="U2" s="5"/>
      <c r="V2" s="5" t="n">
        <v>2.6</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3271</v>
      </c>
      <c r="AS2" s="5" t="s">
        <v>1482</v>
      </c>
      <c r="AT2" s="5" t="s">
        <v>2471</v>
      </c>
      <c r="AU2" s="5" t="s">
        <v>1484</v>
      </c>
      <c r="AV2" s="5" t="s">
        <v>3272</v>
      </c>
      <c r="AW2" s="23" t="s">
        <v>3273</v>
      </c>
      <c r="AX2" s="5" t="s">
        <v>829</v>
      </c>
      <c r="AY2" s="5" t="s">
        <v>3274</v>
      </c>
      <c r="BA2" s="31" t="s">
        <v>1175</v>
      </c>
    </row>
    <row r="3" customFormat="false" ht="14.25" hidden="false" customHeight="true" outlineLevel="0" collapsed="false">
      <c r="A3" s="5" t="n">
        <v>165</v>
      </c>
      <c r="B3" s="5" t="n">
        <v>165</v>
      </c>
      <c r="C3" s="5" t="s">
        <v>811</v>
      </c>
      <c r="D3" s="5" t="n">
        <v>2012</v>
      </c>
      <c r="E3" s="5" t="s">
        <v>812</v>
      </c>
      <c r="F3" s="5" t="s">
        <v>815</v>
      </c>
      <c r="G3" s="5" t="s">
        <v>816</v>
      </c>
      <c r="H3" s="5" t="n">
        <v>28.633</v>
      </c>
      <c r="I3" s="5" t="n">
        <v>77.183</v>
      </c>
      <c r="J3" s="5" t="s">
        <v>83</v>
      </c>
      <c r="K3" s="5" t="s">
        <v>1481</v>
      </c>
      <c r="L3" s="5" t="s">
        <v>821</v>
      </c>
      <c r="M3" s="5" t="s">
        <v>85</v>
      </c>
      <c r="N3" s="5" t="s">
        <v>86</v>
      </c>
      <c r="O3" s="5" t="s">
        <v>2030</v>
      </c>
      <c r="P3" s="5"/>
      <c r="Q3" s="5" t="n">
        <v>2.9</v>
      </c>
      <c r="R3" s="5"/>
      <c r="S3" s="5"/>
      <c r="T3" s="5"/>
      <c r="U3" s="5"/>
      <c r="V3" s="5" t="n">
        <v>4.4</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3271</v>
      </c>
      <c r="AS3" s="5" t="s">
        <v>1488</v>
      </c>
      <c r="AT3" s="5" t="s">
        <v>2471</v>
      </c>
      <c r="AU3" s="5" t="s">
        <v>1484</v>
      </c>
      <c r="AV3" s="5" t="s">
        <v>3272</v>
      </c>
      <c r="AW3" s="23" t="s">
        <v>3275</v>
      </c>
      <c r="AX3" s="5" t="s">
        <v>829</v>
      </c>
      <c r="AY3" s="5" t="s">
        <v>3274</v>
      </c>
    </row>
    <row r="4" customFormat="false" ht="14.25" hidden="false" customHeight="true" outlineLevel="0" collapsed="false">
      <c r="A4" s="18" t="s">
        <v>904</v>
      </c>
      <c r="B4" s="18" t="s">
        <v>904</v>
      </c>
      <c r="C4" s="18" t="s">
        <v>905</v>
      </c>
      <c r="D4" s="18" t="n">
        <v>2019</v>
      </c>
      <c r="E4" s="18" t="s">
        <v>2288</v>
      </c>
      <c r="F4" s="18" t="s">
        <v>891</v>
      </c>
      <c r="G4" s="18" t="s">
        <v>892</v>
      </c>
      <c r="H4" s="18" t="n">
        <v>29.7</v>
      </c>
      <c r="I4" s="18" t="n">
        <v>76.96</v>
      </c>
      <c r="J4" s="18" t="s">
        <v>83</v>
      </c>
      <c r="K4" s="18" t="n">
        <v>2013</v>
      </c>
      <c r="L4" s="18" t="s">
        <v>84</v>
      </c>
      <c r="M4" s="18" t="s">
        <v>85</v>
      </c>
      <c r="N4" s="18" t="s">
        <v>86</v>
      </c>
      <c r="O4" s="18" t="s">
        <v>1472</v>
      </c>
      <c r="P4" s="18" t="n">
        <v>6.2</v>
      </c>
      <c r="Q4" s="18" t="n">
        <v>6.1</v>
      </c>
      <c r="R4" s="18"/>
      <c r="S4" s="18"/>
      <c r="T4" s="18"/>
      <c r="U4" s="18"/>
      <c r="V4" s="18"/>
      <c r="W4" s="18"/>
      <c r="X4" s="18" t="n">
        <v>7.4</v>
      </c>
      <c r="Y4" s="18"/>
      <c r="Z4" s="18"/>
      <c r="AA4" s="18"/>
      <c r="AB4" s="18" t="n">
        <v>1</v>
      </c>
      <c r="AC4" s="18" t="n">
        <v>3</v>
      </c>
      <c r="AD4" s="18" t="n">
        <f aca="false">IF(AND(N(AB4)&gt;0,N(AC4)&gt;0),SQRT(2*AB4/AC4),"")</f>
        <v>0.816496580927726</v>
      </c>
      <c r="AE4" s="18"/>
      <c r="AF4" s="18" t="n">
        <v>11.62</v>
      </c>
      <c r="AG4" s="18" t="n">
        <v>31.68</v>
      </c>
      <c r="AH4" s="18" t="n">
        <v>670</v>
      </c>
      <c r="AI4" s="18" t="n">
        <v>29.7</v>
      </c>
      <c r="AJ4" s="18" t="n">
        <v>4</v>
      </c>
      <c r="AK4" s="18"/>
      <c r="AL4" s="18"/>
      <c r="AM4" s="18"/>
      <c r="AN4" s="18" t="n">
        <v>4.5</v>
      </c>
      <c r="AO4" s="18"/>
      <c r="AP4" s="18"/>
      <c r="AQ4" s="18"/>
      <c r="AR4" s="18" t="s">
        <v>3276</v>
      </c>
      <c r="AS4" s="18" t="s">
        <v>1639</v>
      </c>
      <c r="AT4" s="18" t="s">
        <v>2290</v>
      </c>
      <c r="AU4" s="18" t="s">
        <v>1641</v>
      </c>
      <c r="AV4" s="18" t="s">
        <v>1870</v>
      </c>
      <c r="AW4" s="30" t="s">
        <v>2920</v>
      </c>
      <c r="AX4" s="18" t="s">
        <v>911</v>
      </c>
      <c r="AY4" s="18" t="s">
        <v>3277</v>
      </c>
    </row>
    <row r="5" customFormat="false" ht="14.25" hidden="false" customHeight="true" outlineLevel="0" collapsed="false">
      <c r="A5" s="18" t="s">
        <v>904</v>
      </c>
      <c r="B5" s="18" t="s">
        <v>904</v>
      </c>
      <c r="C5" s="18" t="s">
        <v>905</v>
      </c>
      <c r="D5" s="18" t="n">
        <v>2019</v>
      </c>
      <c r="E5" s="18" t="s">
        <v>2288</v>
      </c>
      <c r="F5" s="18" t="s">
        <v>891</v>
      </c>
      <c r="G5" s="18" t="s">
        <v>892</v>
      </c>
      <c r="H5" s="18" t="n">
        <v>29.7</v>
      </c>
      <c r="I5" s="18" t="n">
        <v>76.96</v>
      </c>
      <c r="J5" s="18" t="s">
        <v>83</v>
      </c>
      <c r="K5" s="18" t="n">
        <v>2013</v>
      </c>
      <c r="L5" s="18" t="s">
        <v>84</v>
      </c>
      <c r="M5" s="18" t="s">
        <v>85</v>
      </c>
      <c r="N5" s="18" t="s">
        <v>1479</v>
      </c>
      <c r="O5" s="18" t="s">
        <v>1480</v>
      </c>
      <c r="P5" s="18" t="n">
        <v>2.6</v>
      </c>
      <c r="Q5" s="18" t="n">
        <v>4.3</v>
      </c>
      <c r="R5" s="18"/>
      <c r="S5" s="18"/>
      <c r="T5" s="18"/>
      <c r="U5" s="18"/>
      <c r="V5" s="18"/>
      <c r="W5" s="18"/>
      <c r="X5" s="18" t="n">
        <v>7</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3276</v>
      </c>
      <c r="AS5" s="18" t="s">
        <v>1639</v>
      </c>
      <c r="AT5" s="18" t="s">
        <v>2290</v>
      </c>
      <c r="AU5" s="18" t="s">
        <v>1641</v>
      </c>
      <c r="AV5" s="18" t="s">
        <v>1870</v>
      </c>
      <c r="AW5" s="30" t="s">
        <v>2920</v>
      </c>
      <c r="AX5" s="18" t="s">
        <v>911</v>
      </c>
      <c r="AY5" s="18" t="s">
        <v>3277</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3278</v>
      </c>
      <c r="Q1" s="25" t="s">
        <v>3279</v>
      </c>
      <c r="R1" s="25" t="s">
        <v>3280</v>
      </c>
      <c r="S1" s="25" t="s">
        <v>3281</v>
      </c>
      <c r="T1" s="25" t="s">
        <v>3282</v>
      </c>
      <c r="U1" s="25" t="s">
        <v>3283</v>
      </c>
      <c r="V1" s="25" t="s">
        <v>3284</v>
      </c>
      <c r="W1" s="25" t="s">
        <v>3285</v>
      </c>
      <c r="X1" s="28" t="s">
        <v>3286</v>
      </c>
      <c r="Y1" s="28" t="s">
        <v>3287</v>
      </c>
      <c r="Z1" s="28" t="s">
        <v>3288</v>
      </c>
      <c r="AA1" s="28" t="s">
        <v>3289</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BA2" s="31" t="s">
        <v>1177</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3290</v>
      </c>
      <c r="Q1" s="25" t="s">
        <v>3291</v>
      </c>
      <c r="R1" s="25" t="s">
        <v>3292</v>
      </c>
      <c r="S1" s="25" t="s">
        <v>3293</v>
      </c>
      <c r="T1" s="25" t="s">
        <v>3294</v>
      </c>
      <c r="U1" s="25" t="s">
        <v>3295</v>
      </c>
      <c r="V1" s="25" t="s">
        <v>3296</v>
      </c>
      <c r="W1" s="25" t="s">
        <v>3297</v>
      </c>
      <c r="X1" s="28" t="s">
        <v>3298</v>
      </c>
      <c r="Y1" s="28" t="s">
        <v>3299</v>
      </c>
      <c r="Z1" s="28" t="s">
        <v>3300</v>
      </c>
      <c r="AA1" s="28" t="s">
        <v>3301</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BA2" s="31" t="s">
        <v>1179</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3302</v>
      </c>
      <c r="Q1" s="25" t="s">
        <v>3303</v>
      </c>
      <c r="R1" s="25" t="s">
        <v>3304</v>
      </c>
      <c r="S1" s="25" t="s">
        <v>3305</v>
      </c>
      <c r="T1" s="25" t="s">
        <v>3306</v>
      </c>
      <c r="U1" s="25" t="s">
        <v>3307</v>
      </c>
      <c r="V1" s="25" t="s">
        <v>3308</v>
      </c>
      <c r="W1" s="25" t="s">
        <v>3309</v>
      </c>
      <c r="X1" s="28" t="s">
        <v>3310</v>
      </c>
      <c r="Y1" s="28" t="s">
        <v>3311</v>
      </c>
      <c r="Z1" s="28" t="s">
        <v>3312</v>
      </c>
      <c r="AA1" s="28" t="s">
        <v>3313</v>
      </c>
      <c r="AB1" s="25" t="s">
        <v>3314</v>
      </c>
      <c r="AC1" s="25" t="s">
        <v>3315</v>
      </c>
      <c r="AD1" s="25" t="s">
        <v>3316</v>
      </c>
      <c r="AE1" s="25" t="s">
        <v>3317</v>
      </c>
      <c r="AF1" s="25" t="s">
        <v>3318</v>
      </c>
      <c r="AG1" s="25" t="s">
        <v>3319</v>
      </c>
      <c r="AH1" s="25" t="s">
        <v>3320</v>
      </c>
      <c r="AI1" s="25" t="s">
        <v>3321</v>
      </c>
      <c r="AJ1" s="28" t="s">
        <v>3322</v>
      </c>
      <c r="AK1" s="28" t="s">
        <v>3323</v>
      </c>
      <c r="AL1" s="28" t="s">
        <v>3324</v>
      </c>
      <c r="AM1" s="28" t="s">
        <v>3325</v>
      </c>
      <c r="AN1" s="26" t="s">
        <v>35</v>
      </c>
      <c r="AO1" s="26" t="s">
        <v>33</v>
      </c>
      <c r="AP1" s="26" t="s">
        <v>37</v>
      </c>
      <c r="AQ1" s="21" t="s">
        <v>73</v>
      </c>
      <c r="AR1" s="21" t="s">
        <v>775</v>
      </c>
      <c r="AS1" s="21" t="s">
        <v>776</v>
      </c>
      <c r="AT1" s="21" t="s">
        <v>74</v>
      </c>
      <c r="AU1" s="21" t="s">
        <v>1465</v>
      </c>
      <c r="AV1" s="21" t="s">
        <v>1466</v>
      </c>
      <c r="AW1" s="21" t="s">
        <v>777</v>
      </c>
      <c r="AX1" s="21" t="s">
        <v>778</v>
      </c>
      <c r="AY1" s="21" t="s">
        <v>75</v>
      </c>
      <c r="AZ1" s="21" t="s">
        <v>773</v>
      </c>
      <c r="BA1" s="21" t="s">
        <v>774</v>
      </c>
      <c r="BB1" s="21" t="s">
        <v>771</v>
      </c>
      <c r="BC1" s="21" t="s">
        <v>772</v>
      </c>
      <c r="BD1" s="22" t="s">
        <v>76</v>
      </c>
      <c r="BE1" s="22" t="s">
        <v>77</v>
      </c>
      <c r="BF1" s="22" t="s">
        <v>1467</v>
      </c>
      <c r="BG1" s="22" t="s">
        <v>1468</v>
      </c>
      <c r="BH1" s="22" t="s">
        <v>78</v>
      </c>
      <c r="BI1" s="22" t="s">
        <v>790</v>
      </c>
      <c r="BJ1" s="22" t="s">
        <v>1469</v>
      </c>
      <c r="BK1" s="22" t="s">
        <v>1470</v>
      </c>
      <c r="BM1" s="29" t="s">
        <v>1471</v>
      </c>
    </row>
    <row r="2" customFormat="false" ht="15" hidden="false" customHeight="true" outlineLevel="0" collapsed="false">
      <c r="BM2" s="31" t="s">
        <v>1181</v>
      </c>
    </row>
  </sheetData>
  <autoFilter ref="A1:BK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3326</v>
      </c>
      <c r="Q1" s="25" t="s">
        <v>3327</v>
      </c>
      <c r="R1" s="25" t="s">
        <v>3328</v>
      </c>
      <c r="S1" s="25" t="s">
        <v>3329</v>
      </c>
      <c r="T1" s="25" t="s">
        <v>3330</v>
      </c>
      <c r="U1" s="25" t="s">
        <v>3331</v>
      </c>
      <c r="V1" s="25" t="s">
        <v>3332</v>
      </c>
      <c r="W1" s="25" t="s">
        <v>3333</v>
      </c>
      <c r="X1" s="28" t="s">
        <v>3334</v>
      </c>
      <c r="Y1" s="28" t="s">
        <v>3335</v>
      </c>
      <c r="Z1" s="28" t="s">
        <v>3336</v>
      </c>
      <c r="AA1" s="28" t="s">
        <v>3337</v>
      </c>
      <c r="AB1" s="25" t="s">
        <v>3338</v>
      </c>
      <c r="AC1" s="25" t="s">
        <v>3339</v>
      </c>
      <c r="AD1" s="25" t="s">
        <v>3340</v>
      </c>
      <c r="AE1" s="25" t="s">
        <v>3341</v>
      </c>
      <c r="AF1" s="25" t="s">
        <v>3342</v>
      </c>
      <c r="AG1" s="25" t="s">
        <v>3343</v>
      </c>
      <c r="AH1" s="25" t="s">
        <v>3344</v>
      </c>
      <c r="AI1" s="25" t="s">
        <v>3345</v>
      </c>
      <c r="AJ1" s="28" t="s">
        <v>3346</v>
      </c>
      <c r="AK1" s="28" t="s">
        <v>3347</v>
      </c>
      <c r="AL1" s="28" t="s">
        <v>3348</v>
      </c>
      <c r="AM1" s="28" t="s">
        <v>3349</v>
      </c>
      <c r="AN1" s="26" t="s">
        <v>35</v>
      </c>
      <c r="AO1" s="26" t="s">
        <v>33</v>
      </c>
      <c r="AP1" s="26" t="s">
        <v>37</v>
      </c>
      <c r="AQ1" s="21" t="s">
        <v>73</v>
      </c>
      <c r="AR1" s="21" t="s">
        <v>775</v>
      </c>
      <c r="AS1" s="21" t="s">
        <v>776</v>
      </c>
      <c r="AT1" s="21" t="s">
        <v>74</v>
      </c>
      <c r="AU1" s="21" t="s">
        <v>1465</v>
      </c>
      <c r="AV1" s="21" t="s">
        <v>1466</v>
      </c>
      <c r="AW1" s="21" t="s">
        <v>777</v>
      </c>
      <c r="AX1" s="21" t="s">
        <v>778</v>
      </c>
      <c r="AY1" s="21" t="s">
        <v>75</v>
      </c>
      <c r="AZ1" s="21" t="s">
        <v>773</v>
      </c>
      <c r="BA1" s="21" t="s">
        <v>774</v>
      </c>
      <c r="BB1" s="21" t="s">
        <v>771</v>
      </c>
      <c r="BC1" s="21" t="s">
        <v>772</v>
      </c>
      <c r="BD1" s="22" t="s">
        <v>76</v>
      </c>
      <c r="BE1" s="22" t="s">
        <v>77</v>
      </c>
      <c r="BF1" s="22" t="s">
        <v>1467</v>
      </c>
      <c r="BG1" s="22" t="s">
        <v>1468</v>
      </c>
      <c r="BH1" s="22" t="s">
        <v>78</v>
      </c>
      <c r="BI1" s="22" t="s">
        <v>790</v>
      </c>
      <c r="BJ1" s="22" t="s">
        <v>1469</v>
      </c>
      <c r="BK1" s="22" t="s">
        <v>1470</v>
      </c>
      <c r="BM1" s="29" t="s">
        <v>1471</v>
      </c>
    </row>
    <row r="2" customFormat="false" ht="15" hidden="false" customHeight="true" outlineLevel="0" collapsed="false">
      <c r="BM2" s="31" t="s">
        <v>1183</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3350</v>
      </c>
      <c r="Q1" s="25" t="s">
        <v>3351</v>
      </c>
      <c r="R1" s="25" t="s">
        <v>3352</v>
      </c>
      <c r="S1" s="25" t="s">
        <v>3353</v>
      </c>
      <c r="T1" s="25" t="s">
        <v>3354</v>
      </c>
      <c r="U1" s="25" t="s">
        <v>3355</v>
      </c>
      <c r="V1" s="25" t="s">
        <v>3356</v>
      </c>
      <c r="W1" s="25" t="s">
        <v>3357</v>
      </c>
      <c r="X1" s="28" t="s">
        <v>3358</v>
      </c>
      <c r="Y1" s="28" t="s">
        <v>3359</v>
      </c>
      <c r="Z1" s="28" t="s">
        <v>3360</v>
      </c>
      <c r="AA1" s="28" t="s">
        <v>3361</v>
      </c>
      <c r="AB1" s="25" t="s">
        <v>3362</v>
      </c>
      <c r="AC1" s="25" t="s">
        <v>3363</v>
      </c>
      <c r="AD1" s="25" t="s">
        <v>3364</v>
      </c>
      <c r="AE1" s="25" t="s">
        <v>3365</v>
      </c>
      <c r="AF1" s="25" t="s">
        <v>3366</v>
      </c>
      <c r="AG1" s="25" t="s">
        <v>3367</v>
      </c>
      <c r="AH1" s="25" t="s">
        <v>3368</v>
      </c>
      <c r="AI1" s="25" t="s">
        <v>3369</v>
      </c>
      <c r="AJ1" s="28" t="s">
        <v>3370</v>
      </c>
      <c r="AK1" s="28" t="s">
        <v>3371</v>
      </c>
      <c r="AL1" s="28" t="s">
        <v>3372</v>
      </c>
      <c r="AM1" s="28" t="s">
        <v>3373</v>
      </c>
      <c r="AN1" s="26" t="s">
        <v>35</v>
      </c>
      <c r="AO1" s="26" t="s">
        <v>33</v>
      </c>
      <c r="AP1" s="26" t="s">
        <v>37</v>
      </c>
      <c r="AQ1" s="21" t="s">
        <v>73</v>
      </c>
      <c r="AR1" s="21" t="s">
        <v>775</v>
      </c>
      <c r="AS1" s="21" t="s">
        <v>776</v>
      </c>
      <c r="AT1" s="21" t="s">
        <v>74</v>
      </c>
      <c r="AU1" s="21" t="s">
        <v>1465</v>
      </c>
      <c r="AV1" s="21" t="s">
        <v>1466</v>
      </c>
      <c r="AW1" s="21" t="s">
        <v>777</v>
      </c>
      <c r="AX1" s="21" t="s">
        <v>778</v>
      </c>
      <c r="AY1" s="21" t="s">
        <v>75</v>
      </c>
      <c r="AZ1" s="21" t="s">
        <v>773</v>
      </c>
      <c r="BA1" s="21" t="s">
        <v>774</v>
      </c>
      <c r="BB1" s="21" t="s">
        <v>771</v>
      </c>
      <c r="BC1" s="21" t="s">
        <v>772</v>
      </c>
      <c r="BD1" s="22" t="s">
        <v>76</v>
      </c>
      <c r="BE1" s="22" t="s">
        <v>77</v>
      </c>
      <c r="BF1" s="22" t="s">
        <v>1467</v>
      </c>
      <c r="BG1" s="22" t="s">
        <v>1468</v>
      </c>
      <c r="BH1" s="22" t="s">
        <v>78</v>
      </c>
      <c r="BI1" s="22" t="s">
        <v>790</v>
      </c>
      <c r="BJ1" s="22" t="s">
        <v>1469</v>
      </c>
      <c r="BK1" s="22" t="s">
        <v>1470</v>
      </c>
      <c r="BM1" s="29" t="s">
        <v>1471</v>
      </c>
    </row>
    <row r="2" customFormat="false" ht="15" hidden="false" customHeight="true" outlineLevel="0" collapsed="false">
      <c r="BM2" s="31" t="s">
        <v>1185</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sheetData>
  <autoFilter ref="A1:BK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3374</v>
      </c>
      <c r="Q1" s="25" t="s">
        <v>3375</v>
      </c>
      <c r="R1" s="25" t="s">
        <v>3376</v>
      </c>
      <c r="S1" s="25" t="s">
        <v>3377</v>
      </c>
      <c r="T1" s="25" t="s">
        <v>3378</v>
      </c>
      <c r="U1" s="25" t="s">
        <v>3379</v>
      </c>
      <c r="V1" s="25" t="s">
        <v>3380</v>
      </c>
      <c r="W1" s="25" t="s">
        <v>3381</v>
      </c>
      <c r="X1" s="28" t="s">
        <v>3382</v>
      </c>
      <c r="Y1" s="28" t="s">
        <v>3383</v>
      </c>
      <c r="Z1" s="28" t="s">
        <v>3384</v>
      </c>
      <c r="AA1" s="28" t="s">
        <v>3385</v>
      </c>
      <c r="AB1" s="25" t="s">
        <v>3386</v>
      </c>
      <c r="AC1" s="25" t="s">
        <v>3387</v>
      </c>
      <c r="AD1" s="25" t="s">
        <v>3388</v>
      </c>
      <c r="AE1" s="25" t="s">
        <v>3389</v>
      </c>
      <c r="AF1" s="25" t="s">
        <v>3390</v>
      </c>
      <c r="AG1" s="25" t="s">
        <v>3391</v>
      </c>
      <c r="AH1" s="25" t="s">
        <v>3392</v>
      </c>
      <c r="AI1" s="25" t="s">
        <v>3393</v>
      </c>
      <c r="AJ1" s="28" t="s">
        <v>3394</v>
      </c>
      <c r="AK1" s="28" t="s">
        <v>3395</v>
      </c>
      <c r="AL1" s="28" t="s">
        <v>3396</v>
      </c>
      <c r="AM1" s="28" t="s">
        <v>3397</v>
      </c>
      <c r="AN1" s="26" t="s">
        <v>35</v>
      </c>
      <c r="AO1" s="26" t="s">
        <v>33</v>
      </c>
      <c r="AP1" s="26" t="s">
        <v>37</v>
      </c>
      <c r="AQ1" s="21" t="s">
        <v>73</v>
      </c>
      <c r="AR1" s="21" t="s">
        <v>775</v>
      </c>
      <c r="AS1" s="21" t="s">
        <v>776</v>
      </c>
      <c r="AT1" s="21" t="s">
        <v>74</v>
      </c>
      <c r="AU1" s="21" t="s">
        <v>1465</v>
      </c>
      <c r="AV1" s="21" t="s">
        <v>1466</v>
      </c>
      <c r="AW1" s="21" t="s">
        <v>777</v>
      </c>
      <c r="AX1" s="21" t="s">
        <v>778</v>
      </c>
      <c r="AY1" s="21" t="s">
        <v>75</v>
      </c>
      <c r="AZ1" s="21" t="s">
        <v>773</v>
      </c>
      <c r="BA1" s="21" t="s">
        <v>774</v>
      </c>
      <c r="BB1" s="21" t="s">
        <v>771</v>
      </c>
      <c r="BC1" s="21" t="s">
        <v>772</v>
      </c>
      <c r="BD1" s="22" t="s">
        <v>76</v>
      </c>
      <c r="BE1" s="22" t="s">
        <v>77</v>
      </c>
      <c r="BF1" s="22" t="s">
        <v>1467</v>
      </c>
      <c r="BG1" s="22" t="s">
        <v>1468</v>
      </c>
      <c r="BH1" s="22" t="s">
        <v>78</v>
      </c>
      <c r="BI1" s="22" t="s">
        <v>790</v>
      </c>
      <c r="BJ1" s="22" t="s">
        <v>1469</v>
      </c>
      <c r="BK1" s="22" t="s">
        <v>1470</v>
      </c>
      <c r="BM1" s="29" t="s">
        <v>1471</v>
      </c>
    </row>
    <row r="2" customFormat="false" ht="15" hidden="false" customHeight="true" outlineLevel="0" collapsed="false">
      <c r="BM2" s="31" t="s">
        <v>1187</v>
      </c>
    </row>
  </sheetData>
  <autoFilter ref="A1:BK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3398</v>
      </c>
      <c r="Q1" s="25" t="s">
        <v>3399</v>
      </c>
      <c r="R1" s="25" t="s">
        <v>3400</v>
      </c>
      <c r="S1" s="25" t="s">
        <v>3401</v>
      </c>
      <c r="T1" s="25" t="s">
        <v>3402</v>
      </c>
      <c r="U1" s="25" t="s">
        <v>3403</v>
      </c>
      <c r="V1" s="25" t="s">
        <v>3404</v>
      </c>
      <c r="W1" s="25" t="s">
        <v>3405</v>
      </c>
      <c r="X1" s="28" t="s">
        <v>3406</v>
      </c>
      <c r="Y1" s="28" t="s">
        <v>3407</v>
      </c>
      <c r="Z1" s="28" t="s">
        <v>3408</v>
      </c>
      <c r="AA1" s="28" t="s">
        <v>3409</v>
      </c>
      <c r="AB1" s="25" t="s">
        <v>3410</v>
      </c>
      <c r="AC1" s="25" t="s">
        <v>3411</v>
      </c>
      <c r="AD1" s="25" t="s">
        <v>3412</v>
      </c>
      <c r="AE1" s="25" t="s">
        <v>3413</v>
      </c>
      <c r="AF1" s="25" t="s">
        <v>3414</v>
      </c>
      <c r="AG1" s="25" t="s">
        <v>3415</v>
      </c>
      <c r="AH1" s="25" t="s">
        <v>3416</v>
      </c>
      <c r="AI1" s="25" t="s">
        <v>3417</v>
      </c>
      <c r="AJ1" s="28" t="s">
        <v>3418</v>
      </c>
      <c r="AK1" s="28" t="s">
        <v>3419</v>
      </c>
      <c r="AL1" s="28" t="s">
        <v>3420</v>
      </c>
      <c r="AM1" s="28" t="s">
        <v>3421</v>
      </c>
      <c r="AN1" s="26" t="s">
        <v>35</v>
      </c>
      <c r="AO1" s="26" t="s">
        <v>33</v>
      </c>
      <c r="AP1" s="26" t="s">
        <v>37</v>
      </c>
      <c r="AQ1" s="21" t="s">
        <v>73</v>
      </c>
      <c r="AR1" s="21" t="s">
        <v>775</v>
      </c>
      <c r="AS1" s="21" t="s">
        <v>776</v>
      </c>
      <c r="AT1" s="21" t="s">
        <v>74</v>
      </c>
      <c r="AU1" s="21" t="s">
        <v>1465</v>
      </c>
      <c r="AV1" s="21" t="s">
        <v>1466</v>
      </c>
      <c r="AW1" s="21" t="s">
        <v>777</v>
      </c>
      <c r="AX1" s="21" t="s">
        <v>778</v>
      </c>
      <c r="AY1" s="21" t="s">
        <v>75</v>
      </c>
      <c r="AZ1" s="21" t="s">
        <v>773</v>
      </c>
      <c r="BA1" s="21" t="s">
        <v>774</v>
      </c>
      <c r="BB1" s="21" t="s">
        <v>771</v>
      </c>
      <c r="BC1" s="21" t="s">
        <v>772</v>
      </c>
      <c r="BD1" s="22" t="s">
        <v>76</v>
      </c>
      <c r="BE1" s="22" t="s">
        <v>77</v>
      </c>
      <c r="BF1" s="22" t="s">
        <v>1467</v>
      </c>
      <c r="BG1" s="22" t="s">
        <v>1468</v>
      </c>
      <c r="BH1" s="22" t="s">
        <v>78</v>
      </c>
      <c r="BI1" s="22" t="s">
        <v>790</v>
      </c>
      <c r="BJ1" s="22" t="s">
        <v>1469</v>
      </c>
      <c r="BK1" s="22" t="s">
        <v>1470</v>
      </c>
      <c r="BM1" s="29" t="s">
        <v>1471</v>
      </c>
    </row>
    <row r="2" customFormat="false" ht="15" hidden="false" customHeight="true" outlineLevel="0" collapsed="false">
      <c r="BM2" s="31" t="s">
        <v>1189</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3422</v>
      </c>
      <c r="Q1" s="25" t="s">
        <v>3423</v>
      </c>
      <c r="R1" s="25" t="s">
        <v>3424</v>
      </c>
      <c r="S1" s="25" t="s">
        <v>3425</v>
      </c>
      <c r="T1" s="25" t="s">
        <v>3426</v>
      </c>
      <c r="U1" s="25" t="s">
        <v>3427</v>
      </c>
      <c r="V1" s="25" t="s">
        <v>3428</v>
      </c>
      <c r="W1" s="25" t="s">
        <v>3429</v>
      </c>
      <c r="X1" s="28" t="s">
        <v>3430</v>
      </c>
      <c r="Y1" s="28" t="s">
        <v>3431</v>
      </c>
      <c r="Z1" s="28" t="s">
        <v>3432</v>
      </c>
      <c r="AA1" s="28" t="s">
        <v>3433</v>
      </c>
      <c r="AB1" s="25" t="s">
        <v>3434</v>
      </c>
      <c r="AC1" s="25" t="s">
        <v>3435</v>
      </c>
      <c r="AD1" s="25" t="s">
        <v>3436</v>
      </c>
      <c r="AE1" s="25" t="s">
        <v>3437</v>
      </c>
      <c r="AF1" s="25" t="s">
        <v>3438</v>
      </c>
      <c r="AG1" s="25" t="s">
        <v>3439</v>
      </c>
      <c r="AH1" s="25" t="s">
        <v>3440</v>
      </c>
      <c r="AI1" s="25" t="s">
        <v>3441</v>
      </c>
      <c r="AJ1" s="28" t="s">
        <v>3442</v>
      </c>
      <c r="AK1" s="28" t="s">
        <v>3443</v>
      </c>
      <c r="AL1" s="28" t="s">
        <v>3444</v>
      </c>
      <c r="AM1" s="28" t="s">
        <v>3445</v>
      </c>
      <c r="AN1" s="26" t="s">
        <v>35</v>
      </c>
      <c r="AO1" s="26" t="s">
        <v>33</v>
      </c>
      <c r="AP1" s="26" t="s">
        <v>37</v>
      </c>
      <c r="AQ1" s="21" t="s">
        <v>73</v>
      </c>
      <c r="AR1" s="21" t="s">
        <v>775</v>
      </c>
      <c r="AS1" s="21" t="s">
        <v>776</v>
      </c>
      <c r="AT1" s="21" t="s">
        <v>74</v>
      </c>
      <c r="AU1" s="21" t="s">
        <v>1465</v>
      </c>
      <c r="AV1" s="21" t="s">
        <v>1466</v>
      </c>
      <c r="AW1" s="21" t="s">
        <v>777</v>
      </c>
      <c r="AX1" s="21" t="s">
        <v>778</v>
      </c>
      <c r="AY1" s="21" t="s">
        <v>75</v>
      </c>
      <c r="AZ1" s="21" t="s">
        <v>773</v>
      </c>
      <c r="BA1" s="21" t="s">
        <v>774</v>
      </c>
      <c r="BB1" s="21" t="s">
        <v>771</v>
      </c>
      <c r="BC1" s="21" t="s">
        <v>772</v>
      </c>
      <c r="BD1" s="22" t="s">
        <v>76</v>
      </c>
      <c r="BE1" s="22" t="s">
        <v>77</v>
      </c>
      <c r="BF1" s="22" t="s">
        <v>1467</v>
      </c>
      <c r="BG1" s="22" t="s">
        <v>1468</v>
      </c>
      <c r="BH1" s="22" t="s">
        <v>78</v>
      </c>
      <c r="BI1" s="22" t="s">
        <v>790</v>
      </c>
      <c r="BJ1" s="22" t="s">
        <v>1469</v>
      </c>
      <c r="BK1" s="22" t="s">
        <v>1470</v>
      </c>
      <c r="BM1" s="29" t="s">
        <v>1471</v>
      </c>
    </row>
    <row r="2" customFormat="false" ht="15" hidden="false" customHeight="true" outlineLevel="0" collapsed="false">
      <c r="BM2" s="31" t="s">
        <v>1191</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U1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90" min="90" style="1" width="26"/>
    <col collapsed="false" customWidth="true" hidden="false" outlineLevel="0" max="97" min="96"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3446</v>
      </c>
      <c r="O1" s="25" t="s">
        <v>3447</v>
      </c>
      <c r="P1" s="25" t="s">
        <v>3448</v>
      </c>
      <c r="Q1" s="25" t="s">
        <v>3449</v>
      </c>
      <c r="R1" s="25" t="s">
        <v>3450</v>
      </c>
      <c r="S1" s="25" t="s">
        <v>3451</v>
      </c>
      <c r="T1" s="25" t="s">
        <v>3452</v>
      </c>
      <c r="U1" s="25" t="s">
        <v>3453</v>
      </c>
      <c r="V1" s="28" t="s">
        <v>3454</v>
      </c>
      <c r="W1" s="28" t="s">
        <v>3455</v>
      </c>
      <c r="X1" s="28" t="s">
        <v>3456</v>
      </c>
      <c r="Y1" s="28" t="s">
        <v>3457</v>
      </c>
      <c r="Z1" s="25" t="s">
        <v>3458</v>
      </c>
      <c r="AA1" s="25" t="s">
        <v>3459</v>
      </c>
      <c r="AB1" s="25" t="s">
        <v>3460</v>
      </c>
      <c r="AC1" s="25" t="s">
        <v>3461</v>
      </c>
      <c r="AD1" s="25" t="s">
        <v>3462</v>
      </c>
      <c r="AE1" s="25" t="s">
        <v>3463</v>
      </c>
      <c r="AF1" s="25" t="s">
        <v>3464</v>
      </c>
      <c r="AG1" s="25" t="s">
        <v>3465</v>
      </c>
      <c r="AH1" s="28" t="s">
        <v>3466</v>
      </c>
      <c r="AI1" s="28" t="s">
        <v>3467</v>
      </c>
      <c r="AJ1" s="28" t="s">
        <v>3468</v>
      </c>
      <c r="AK1" s="28" t="s">
        <v>3469</v>
      </c>
      <c r="AL1" s="25" t="s">
        <v>3470</v>
      </c>
      <c r="AM1" s="25" t="s">
        <v>3471</v>
      </c>
      <c r="AN1" s="25" t="s">
        <v>3472</v>
      </c>
      <c r="AO1" s="25" t="s">
        <v>3473</v>
      </c>
      <c r="AP1" s="25" t="s">
        <v>3474</v>
      </c>
      <c r="AQ1" s="25" t="s">
        <v>3475</v>
      </c>
      <c r="AR1" s="25" t="s">
        <v>3476</v>
      </c>
      <c r="AS1" s="25" t="s">
        <v>3477</v>
      </c>
      <c r="AT1" s="28" t="s">
        <v>3478</v>
      </c>
      <c r="AU1" s="28" t="s">
        <v>3479</v>
      </c>
      <c r="AV1" s="28" t="s">
        <v>3480</v>
      </c>
      <c r="AW1" s="28" t="s">
        <v>3481</v>
      </c>
      <c r="AX1" s="25" t="s">
        <v>3482</v>
      </c>
      <c r="AY1" s="25" t="s">
        <v>3483</v>
      </c>
      <c r="AZ1" s="25" t="s">
        <v>3484</v>
      </c>
      <c r="BA1" s="25" t="s">
        <v>3485</v>
      </c>
      <c r="BB1" s="25" t="s">
        <v>3486</v>
      </c>
      <c r="BC1" s="25" t="s">
        <v>3487</v>
      </c>
      <c r="BD1" s="25" t="s">
        <v>3488</v>
      </c>
      <c r="BE1" s="25" t="s">
        <v>3489</v>
      </c>
      <c r="BF1" s="28" t="s">
        <v>3490</v>
      </c>
      <c r="BG1" s="28" t="s">
        <v>3491</v>
      </c>
      <c r="BH1" s="28" t="s">
        <v>3492</v>
      </c>
      <c r="BI1" s="28" t="s">
        <v>3493</v>
      </c>
      <c r="BJ1" s="25" t="s">
        <v>3494</v>
      </c>
      <c r="BK1" s="25" t="s">
        <v>3495</v>
      </c>
      <c r="BL1" s="25" t="s">
        <v>3496</v>
      </c>
      <c r="BM1" s="25" t="s">
        <v>3497</v>
      </c>
      <c r="BN1" s="25" t="s">
        <v>3498</v>
      </c>
      <c r="BO1" s="25" t="s">
        <v>3499</v>
      </c>
      <c r="BP1" s="25" t="s">
        <v>3500</v>
      </c>
      <c r="BQ1" s="25" t="s">
        <v>3501</v>
      </c>
      <c r="BR1" s="28" t="s">
        <v>3502</v>
      </c>
      <c r="BS1" s="28" t="s">
        <v>3503</v>
      </c>
      <c r="BT1" s="28" t="s">
        <v>3504</v>
      </c>
      <c r="BU1" s="28" t="s">
        <v>3505</v>
      </c>
      <c r="BV1" s="26" t="s">
        <v>35</v>
      </c>
      <c r="BW1" s="26" t="s">
        <v>33</v>
      </c>
      <c r="BX1" s="26" t="s">
        <v>37</v>
      </c>
      <c r="BY1" s="21" t="s">
        <v>73</v>
      </c>
      <c r="BZ1" s="21" t="s">
        <v>775</v>
      </c>
      <c r="CA1" s="21" t="s">
        <v>776</v>
      </c>
      <c r="CB1" s="21" t="s">
        <v>74</v>
      </c>
      <c r="CC1" s="21" t="s">
        <v>1465</v>
      </c>
      <c r="CD1" s="21" t="s">
        <v>1466</v>
      </c>
      <c r="CE1" s="21" t="s">
        <v>777</v>
      </c>
      <c r="CF1" s="21" t="s">
        <v>778</v>
      </c>
      <c r="CG1" s="21" t="s">
        <v>75</v>
      </c>
      <c r="CH1" s="21" t="s">
        <v>773</v>
      </c>
      <c r="CI1" s="21" t="s">
        <v>774</v>
      </c>
      <c r="CJ1" s="21" t="s">
        <v>771</v>
      </c>
      <c r="CK1" s="21" t="s">
        <v>772</v>
      </c>
      <c r="CL1" s="22" t="s">
        <v>76</v>
      </c>
      <c r="CM1" s="22" t="s">
        <v>77</v>
      </c>
      <c r="CN1" s="22" t="s">
        <v>1467</v>
      </c>
      <c r="CO1" s="22" t="s">
        <v>1468</v>
      </c>
      <c r="CP1" s="22" t="s">
        <v>78</v>
      </c>
      <c r="CQ1" s="22" t="s">
        <v>790</v>
      </c>
      <c r="CR1" s="22" t="s">
        <v>1469</v>
      </c>
      <c r="CS1" s="22" t="s">
        <v>1470</v>
      </c>
      <c r="CU1" s="29" t="s">
        <v>1471</v>
      </c>
    </row>
    <row r="2" customFormat="false" ht="15" hidden="false" customHeight="true" outlineLevel="0" collapsed="false">
      <c r="A2" s="5" t="n">
        <v>165</v>
      </c>
      <c r="B2" s="5" t="n">
        <v>165</v>
      </c>
      <c r="C2" s="5" t="s">
        <v>811</v>
      </c>
      <c r="D2" s="5" t="n">
        <v>2012</v>
      </c>
      <c r="E2" s="5" t="s">
        <v>812</v>
      </c>
      <c r="F2" s="5" t="s">
        <v>815</v>
      </c>
      <c r="G2" s="5" t="s">
        <v>816</v>
      </c>
      <c r="H2" s="5" t="n">
        <v>28.633</v>
      </c>
      <c r="I2" s="5" t="n">
        <v>77.183</v>
      </c>
      <c r="J2" s="5" t="s">
        <v>83</v>
      </c>
      <c r="K2" s="5" t="s">
        <v>2029</v>
      </c>
      <c r="L2" s="5" t="s">
        <v>821</v>
      </c>
      <c r="M2" s="5" t="s">
        <v>85</v>
      </c>
      <c r="N2" s="5"/>
      <c r="O2" s="5" t="n">
        <v>3.3</v>
      </c>
      <c r="P2" s="5"/>
      <c r="Q2" s="5"/>
      <c r="R2" s="5"/>
      <c r="S2" s="5"/>
      <c r="T2" s="5" t="n">
        <v>4.1</v>
      </c>
      <c r="U2" s="5"/>
      <c r="V2" s="5"/>
      <c r="W2" s="5"/>
      <c r="X2" s="5"/>
      <c r="Y2" s="5"/>
      <c r="Z2" s="5"/>
      <c r="AA2" s="5"/>
      <c r="AB2" s="5"/>
      <c r="AC2" s="5"/>
      <c r="AD2" s="5"/>
      <c r="AE2" s="5"/>
      <c r="AF2" s="5"/>
      <c r="AG2" s="5"/>
      <c r="AH2" s="5"/>
      <c r="AI2" s="5"/>
      <c r="AJ2" s="5"/>
      <c r="AK2" s="5"/>
      <c r="AL2" s="5"/>
      <c r="AM2" s="5" t="n">
        <v>4.2</v>
      </c>
      <c r="AN2" s="5"/>
      <c r="AO2" s="5"/>
      <c r="AP2" s="5"/>
      <c r="AQ2" s="5"/>
      <c r="AR2" s="5" t="n">
        <v>4.4</v>
      </c>
      <c r="AS2" s="5"/>
      <c r="AT2" s="5"/>
      <c r="AU2" s="5"/>
      <c r="AV2" s="5"/>
      <c r="AW2" s="5"/>
      <c r="AX2" s="5"/>
      <c r="AY2" s="5"/>
      <c r="AZ2" s="5"/>
      <c r="BA2" s="5"/>
      <c r="BB2" s="5"/>
      <c r="BC2" s="5"/>
      <c r="BD2" s="5"/>
      <c r="BE2" s="5"/>
      <c r="BF2" s="5"/>
      <c r="BG2" s="5"/>
      <c r="BH2" s="5"/>
      <c r="BI2" s="5"/>
      <c r="BJ2" s="5"/>
      <c r="BK2" s="5" t="n">
        <v>7.2</v>
      </c>
      <c r="BL2" s="5"/>
      <c r="BM2" s="5"/>
      <c r="BN2" s="5"/>
      <c r="BO2" s="5"/>
      <c r="BP2" s="5" t="n">
        <v>8.1</v>
      </c>
      <c r="BQ2" s="5"/>
      <c r="BR2" s="5"/>
      <c r="BS2" s="5"/>
      <c r="BT2" s="5"/>
      <c r="BU2" s="5"/>
      <c r="BV2" s="5" t="n">
        <v>1</v>
      </c>
      <c r="BW2" s="5" t="n">
        <v>3</v>
      </c>
      <c r="BX2" s="5" t="n">
        <f aca="false">IF(AND(N(BV2)&gt;0,N(BW2)&gt;0),SQRT(2*BV2/BW2),"")</f>
        <v>0.816496580927726</v>
      </c>
      <c r="BY2" s="5" t="n">
        <v>25.4</v>
      </c>
      <c r="BZ2" s="5"/>
      <c r="CA2" s="5"/>
      <c r="CB2" s="5"/>
      <c r="CC2" s="5" t="n">
        <v>28.633</v>
      </c>
      <c r="CD2" s="5" t="n">
        <v>1</v>
      </c>
      <c r="CE2" s="5"/>
      <c r="CF2" s="5"/>
      <c r="CG2" s="5" t="n">
        <v>8.16</v>
      </c>
      <c r="CH2" s="5" t="n">
        <v>5.2</v>
      </c>
      <c r="CI2" s="5" t="n">
        <v>1.5</v>
      </c>
      <c r="CJ2" s="5" t="n">
        <v>52.06</v>
      </c>
      <c r="CK2" s="5" t="n">
        <v>22.54</v>
      </c>
      <c r="CL2" s="5" t="s">
        <v>3506</v>
      </c>
      <c r="CM2" s="5" t="s">
        <v>1482</v>
      </c>
      <c r="CN2" s="5" t="s">
        <v>3507</v>
      </c>
      <c r="CO2" s="5" t="s">
        <v>1484</v>
      </c>
      <c r="CP2" s="5" t="s">
        <v>1476</v>
      </c>
      <c r="CQ2" s="23" t="s">
        <v>3508</v>
      </c>
      <c r="CR2" s="5" t="s">
        <v>829</v>
      </c>
      <c r="CS2" s="5" t="s">
        <v>3509</v>
      </c>
      <c r="CU2" s="32" t="s">
        <v>1193</v>
      </c>
    </row>
    <row r="3" customFormat="false" ht="15" hidden="false" customHeight="true" outlineLevel="0" collapsed="false">
      <c r="A3" s="5" t="n">
        <v>165</v>
      </c>
      <c r="B3" s="5" t="n">
        <v>165</v>
      </c>
      <c r="C3" s="5" t="s">
        <v>811</v>
      </c>
      <c r="D3" s="5" t="n">
        <v>2012</v>
      </c>
      <c r="E3" s="5" t="s">
        <v>812</v>
      </c>
      <c r="F3" s="5" t="s">
        <v>815</v>
      </c>
      <c r="G3" s="5" t="s">
        <v>816</v>
      </c>
      <c r="H3" s="5" t="n">
        <v>28.633</v>
      </c>
      <c r="I3" s="5" t="n">
        <v>77.183</v>
      </c>
      <c r="J3" s="5" t="s">
        <v>83</v>
      </c>
      <c r="K3" s="5" t="s">
        <v>2029</v>
      </c>
      <c r="L3" s="5" t="s">
        <v>821</v>
      </c>
      <c r="M3" s="5" t="s">
        <v>85</v>
      </c>
      <c r="N3" s="5"/>
      <c r="O3" s="5" t="n">
        <v>3.5</v>
      </c>
      <c r="P3" s="5"/>
      <c r="Q3" s="5"/>
      <c r="R3" s="5"/>
      <c r="S3" s="5"/>
      <c r="T3" s="5" t="n">
        <v>4.1</v>
      </c>
      <c r="U3" s="5"/>
      <c r="V3" s="5"/>
      <c r="W3" s="5"/>
      <c r="X3" s="5"/>
      <c r="Y3" s="5"/>
      <c r="Z3" s="5"/>
      <c r="AA3" s="5"/>
      <c r="AB3" s="5"/>
      <c r="AC3" s="5"/>
      <c r="AD3" s="5"/>
      <c r="AE3" s="5"/>
      <c r="AF3" s="5"/>
      <c r="AG3" s="5"/>
      <c r="AH3" s="5"/>
      <c r="AI3" s="5"/>
      <c r="AJ3" s="5"/>
      <c r="AK3" s="5"/>
      <c r="AL3" s="5"/>
      <c r="AM3" s="5" t="n">
        <v>4.3</v>
      </c>
      <c r="AN3" s="5"/>
      <c r="AO3" s="5"/>
      <c r="AP3" s="5"/>
      <c r="AQ3" s="5"/>
      <c r="AR3" s="5" t="n">
        <v>4.5</v>
      </c>
      <c r="AS3" s="5"/>
      <c r="AT3" s="5"/>
      <c r="AU3" s="5"/>
      <c r="AV3" s="5"/>
      <c r="AW3" s="5"/>
      <c r="AX3" s="5"/>
      <c r="AY3" s="5"/>
      <c r="AZ3" s="5"/>
      <c r="BA3" s="5"/>
      <c r="BB3" s="5"/>
      <c r="BC3" s="5"/>
      <c r="BD3" s="5"/>
      <c r="BE3" s="5"/>
      <c r="BF3" s="5"/>
      <c r="BG3" s="5"/>
      <c r="BH3" s="5"/>
      <c r="BI3" s="5"/>
      <c r="BJ3" s="5"/>
      <c r="BK3" s="5" t="n">
        <v>8.8</v>
      </c>
      <c r="BL3" s="5"/>
      <c r="BM3" s="5"/>
      <c r="BN3" s="5"/>
      <c r="BO3" s="5"/>
      <c r="BP3" s="5" t="n">
        <v>10</v>
      </c>
      <c r="BQ3" s="5"/>
      <c r="BR3" s="5"/>
      <c r="BS3" s="5"/>
      <c r="BT3" s="5"/>
      <c r="BU3" s="5"/>
      <c r="BV3" s="5" t="n">
        <v>1</v>
      </c>
      <c r="BW3" s="5" t="n">
        <v>3</v>
      </c>
      <c r="BX3" s="5" t="n">
        <f aca="false">IF(AND(N(BV3)&gt;0,N(BW3)&gt;0),SQRT(2*BV3/BW3),"")</f>
        <v>0.816496580927726</v>
      </c>
      <c r="BY3" s="5" t="n">
        <v>25.4</v>
      </c>
      <c r="BZ3" s="5"/>
      <c r="CA3" s="5"/>
      <c r="CB3" s="5"/>
      <c r="CC3" s="5" t="n">
        <v>28.633</v>
      </c>
      <c r="CD3" s="5" t="n">
        <v>1</v>
      </c>
      <c r="CE3" s="5"/>
      <c r="CF3" s="5"/>
      <c r="CG3" s="5" t="n">
        <v>8.16</v>
      </c>
      <c r="CH3" s="5" t="n">
        <v>5.2</v>
      </c>
      <c r="CI3" s="5" t="n">
        <v>1.5</v>
      </c>
      <c r="CJ3" s="5" t="n">
        <v>52.06</v>
      </c>
      <c r="CK3" s="5" t="n">
        <v>22.54</v>
      </c>
      <c r="CL3" s="5" t="s">
        <v>3506</v>
      </c>
      <c r="CM3" s="5" t="s">
        <v>1488</v>
      </c>
      <c r="CN3" s="5" t="s">
        <v>3507</v>
      </c>
      <c r="CO3" s="5" t="s">
        <v>1484</v>
      </c>
      <c r="CP3" s="5" t="s">
        <v>1476</v>
      </c>
      <c r="CQ3" s="23" t="s">
        <v>3510</v>
      </c>
      <c r="CR3" s="5" t="s">
        <v>829</v>
      </c>
      <c r="CS3" s="5" t="s">
        <v>3509</v>
      </c>
    </row>
    <row r="4" customFormat="false" ht="15" hidden="false" customHeight="true" outlineLevel="0" collapsed="false">
      <c r="A4" s="5" t="n">
        <v>165</v>
      </c>
      <c r="B4" s="5" t="n">
        <v>165</v>
      </c>
      <c r="C4" s="5" t="s">
        <v>811</v>
      </c>
      <c r="D4" s="5" t="n">
        <v>2012</v>
      </c>
      <c r="E4" s="5" t="s">
        <v>812</v>
      </c>
      <c r="F4" s="5" t="s">
        <v>815</v>
      </c>
      <c r="G4" s="5" t="s">
        <v>816</v>
      </c>
      <c r="H4" s="5" t="n">
        <v>28.633</v>
      </c>
      <c r="I4" s="5" t="n">
        <v>77.183</v>
      </c>
      <c r="J4" s="5" t="s">
        <v>83</v>
      </c>
      <c r="K4" s="5" t="s">
        <v>1481</v>
      </c>
      <c r="L4" s="5" t="s">
        <v>821</v>
      </c>
      <c r="M4" s="5" t="s">
        <v>85</v>
      </c>
      <c r="N4" s="5"/>
      <c r="O4" s="5" t="n">
        <v>4.3</v>
      </c>
      <c r="P4" s="5"/>
      <c r="Q4" s="5"/>
      <c r="R4" s="5"/>
      <c r="S4" s="5"/>
      <c r="T4" s="5" t="n">
        <v>4.7</v>
      </c>
      <c r="U4" s="5"/>
      <c r="V4" s="5"/>
      <c r="W4" s="5"/>
      <c r="X4" s="5"/>
      <c r="Y4" s="5"/>
      <c r="Z4" s="5"/>
      <c r="AA4" s="5"/>
      <c r="AB4" s="5"/>
      <c r="AC4" s="5"/>
      <c r="AD4" s="5"/>
      <c r="AE4" s="5"/>
      <c r="AF4" s="5"/>
      <c r="AG4" s="5"/>
      <c r="AH4" s="5"/>
      <c r="AI4" s="5"/>
      <c r="AJ4" s="5"/>
      <c r="AK4" s="5"/>
      <c r="AL4" s="5"/>
      <c r="AM4" s="5" t="n">
        <v>4.4</v>
      </c>
      <c r="AN4" s="5"/>
      <c r="AO4" s="5"/>
      <c r="AP4" s="5"/>
      <c r="AQ4" s="5"/>
      <c r="AR4" s="5" t="n">
        <v>5.2</v>
      </c>
      <c r="AS4" s="5"/>
      <c r="AT4" s="5"/>
      <c r="AU4" s="5"/>
      <c r="AV4" s="5"/>
      <c r="AW4" s="5"/>
      <c r="AX4" s="5"/>
      <c r="AY4" s="5"/>
      <c r="AZ4" s="5"/>
      <c r="BA4" s="5"/>
      <c r="BB4" s="5"/>
      <c r="BC4" s="5"/>
      <c r="BD4" s="5"/>
      <c r="BE4" s="5"/>
      <c r="BF4" s="5"/>
      <c r="BG4" s="5"/>
      <c r="BH4" s="5"/>
      <c r="BI4" s="5"/>
      <c r="BJ4" s="5"/>
      <c r="BK4" s="5" t="n">
        <v>8.3</v>
      </c>
      <c r="BL4" s="5"/>
      <c r="BM4" s="5"/>
      <c r="BN4" s="5"/>
      <c r="BO4" s="5"/>
      <c r="BP4" s="5" t="n">
        <v>9.5</v>
      </c>
      <c r="BQ4" s="5"/>
      <c r="BR4" s="5"/>
      <c r="BS4" s="5"/>
      <c r="BT4" s="5"/>
      <c r="BU4" s="5"/>
      <c r="BV4" s="5" t="n">
        <v>1</v>
      </c>
      <c r="BW4" s="5" t="n">
        <v>3</v>
      </c>
      <c r="BX4" s="5" t="n">
        <f aca="false">IF(AND(N(BV4)&gt;0,N(BW4)&gt;0),SQRT(2*BV4/BW4),"")</f>
        <v>0.816496580927726</v>
      </c>
      <c r="BY4" s="5" t="n">
        <v>25.4</v>
      </c>
      <c r="BZ4" s="5"/>
      <c r="CA4" s="5"/>
      <c r="CB4" s="5"/>
      <c r="CC4" s="5" t="n">
        <v>28.633</v>
      </c>
      <c r="CD4" s="5" t="n">
        <v>2</v>
      </c>
      <c r="CE4" s="5"/>
      <c r="CF4" s="5"/>
      <c r="CG4" s="5" t="n">
        <v>8.16</v>
      </c>
      <c r="CH4" s="5" t="n">
        <v>5.2</v>
      </c>
      <c r="CI4" s="5" t="n">
        <v>1.5</v>
      </c>
      <c r="CJ4" s="5" t="n">
        <v>52.06</v>
      </c>
      <c r="CK4" s="5" t="n">
        <v>22.54</v>
      </c>
      <c r="CL4" s="5" t="s">
        <v>3506</v>
      </c>
      <c r="CM4" s="5" t="s">
        <v>1482</v>
      </c>
      <c r="CN4" s="5" t="s">
        <v>3511</v>
      </c>
      <c r="CO4" s="5" t="s">
        <v>1484</v>
      </c>
      <c r="CP4" s="5" t="s">
        <v>1476</v>
      </c>
      <c r="CQ4" s="23" t="s">
        <v>3512</v>
      </c>
      <c r="CR4" s="5" t="s">
        <v>829</v>
      </c>
      <c r="CS4" s="5" t="s">
        <v>3509</v>
      </c>
    </row>
    <row r="5" customFormat="false" ht="15" hidden="false" customHeight="true" outlineLevel="0" collapsed="false">
      <c r="A5" s="5" t="n">
        <v>165</v>
      </c>
      <c r="B5" s="5" t="n">
        <v>165</v>
      </c>
      <c r="C5" s="5" t="s">
        <v>811</v>
      </c>
      <c r="D5" s="5" t="n">
        <v>2012</v>
      </c>
      <c r="E5" s="5" t="s">
        <v>812</v>
      </c>
      <c r="F5" s="5" t="s">
        <v>815</v>
      </c>
      <c r="G5" s="5" t="s">
        <v>816</v>
      </c>
      <c r="H5" s="5" t="n">
        <v>28.633</v>
      </c>
      <c r="I5" s="5" t="n">
        <v>77.183</v>
      </c>
      <c r="J5" s="5" t="s">
        <v>83</v>
      </c>
      <c r="K5" s="5" t="s">
        <v>1481</v>
      </c>
      <c r="L5" s="5" t="s">
        <v>821</v>
      </c>
      <c r="M5" s="5" t="s">
        <v>85</v>
      </c>
      <c r="N5" s="5"/>
      <c r="O5" s="5" t="n">
        <v>4.5</v>
      </c>
      <c r="P5" s="5"/>
      <c r="Q5" s="5"/>
      <c r="R5" s="5"/>
      <c r="S5" s="5"/>
      <c r="T5" s="5" t="n">
        <v>5.2</v>
      </c>
      <c r="U5" s="5"/>
      <c r="V5" s="5"/>
      <c r="W5" s="5"/>
      <c r="X5" s="5"/>
      <c r="Y5" s="5"/>
      <c r="Z5" s="5"/>
      <c r="AA5" s="5"/>
      <c r="AB5" s="5"/>
      <c r="AC5" s="5"/>
      <c r="AD5" s="5"/>
      <c r="AE5" s="5"/>
      <c r="AF5" s="5"/>
      <c r="AG5" s="5"/>
      <c r="AH5" s="5"/>
      <c r="AI5" s="5"/>
      <c r="AJ5" s="5"/>
      <c r="AK5" s="5"/>
      <c r="AL5" s="5"/>
      <c r="AM5" s="5" t="n">
        <v>5</v>
      </c>
      <c r="AN5" s="5"/>
      <c r="AO5" s="5"/>
      <c r="AP5" s="5"/>
      <c r="AQ5" s="5"/>
      <c r="AR5" s="5" t="n">
        <v>5.8</v>
      </c>
      <c r="AS5" s="5"/>
      <c r="AT5" s="5"/>
      <c r="AU5" s="5"/>
      <c r="AV5" s="5"/>
      <c r="AW5" s="5"/>
      <c r="AX5" s="5"/>
      <c r="AY5" s="5"/>
      <c r="AZ5" s="5"/>
      <c r="BA5" s="5"/>
      <c r="BB5" s="5"/>
      <c r="BC5" s="5"/>
      <c r="BD5" s="5"/>
      <c r="BE5" s="5"/>
      <c r="BF5" s="5"/>
      <c r="BG5" s="5"/>
      <c r="BH5" s="5"/>
      <c r="BI5" s="5"/>
      <c r="BJ5" s="5"/>
      <c r="BK5" s="5" t="n">
        <v>10.6</v>
      </c>
      <c r="BL5" s="5"/>
      <c r="BM5" s="5"/>
      <c r="BN5" s="5"/>
      <c r="BO5" s="5"/>
      <c r="BP5" s="5" t="n">
        <v>12.5</v>
      </c>
      <c r="BQ5" s="5"/>
      <c r="BR5" s="5"/>
      <c r="BS5" s="5"/>
      <c r="BT5" s="5"/>
      <c r="BU5" s="5"/>
      <c r="BV5" s="5" t="n">
        <v>1</v>
      </c>
      <c r="BW5" s="5" t="n">
        <v>3</v>
      </c>
      <c r="BX5" s="5" t="n">
        <f aca="false">IF(AND(N(BV5)&gt;0,N(BW5)&gt;0),SQRT(2*BV5/BW5),"")</f>
        <v>0.816496580927726</v>
      </c>
      <c r="BY5" s="5" t="n">
        <v>25.4</v>
      </c>
      <c r="BZ5" s="5"/>
      <c r="CA5" s="5"/>
      <c r="CB5" s="5"/>
      <c r="CC5" s="5" t="n">
        <v>28.633</v>
      </c>
      <c r="CD5" s="5" t="n">
        <v>2</v>
      </c>
      <c r="CE5" s="5"/>
      <c r="CF5" s="5"/>
      <c r="CG5" s="5" t="n">
        <v>8.16</v>
      </c>
      <c r="CH5" s="5" t="n">
        <v>5.2</v>
      </c>
      <c r="CI5" s="5" t="n">
        <v>1.5</v>
      </c>
      <c r="CJ5" s="5" t="n">
        <v>52.06</v>
      </c>
      <c r="CK5" s="5" t="n">
        <v>22.54</v>
      </c>
      <c r="CL5" s="5" t="s">
        <v>3506</v>
      </c>
      <c r="CM5" s="5" t="s">
        <v>1488</v>
      </c>
      <c r="CN5" s="5" t="s">
        <v>3511</v>
      </c>
      <c r="CO5" s="5" t="s">
        <v>1484</v>
      </c>
      <c r="CP5" s="5" t="s">
        <v>1476</v>
      </c>
      <c r="CQ5" s="23" t="s">
        <v>3513</v>
      </c>
      <c r="CR5" s="5" t="s">
        <v>829</v>
      </c>
      <c r="CS5" s="5" t="s">
        <v>3509</v>
      </c>
    </row>
    <row r="6" customFormat="false" ht="15" hidden="false" customHeight="true" outlineLevel="0" collapsed="false">
      <c r="A6" s="5" t="n">
        <v>166</v>
      </c>
      <c r="B6" s="5" t="n">
        <v>166</v>
      </c>
      <c r="C6" s="5" t="s">
        <v>832</v>
      </c>
      <c r="D6" s="5" t="n">
        <v>2014</v>
      </c>
      <c r="E6" s="5" t="s">
        <v>833</v>
      </c>
      <c r="F6" s="5" t="s">
        <v>836</v>
      </c>
      <c r="G6" s="5" t="s">
        <v>837</v>
      </c>
      <c r="H6" s="5" t="n">
        <v>29.067</v>
      </c>
      <c r="I6" s="5" t="n">
        <v>77.767</v>
      </c>
      <c r="J6" s="5" t="s">
        <v>83</v>
      </c>
      <c r="K6" s="5" t="s">
        <v>3514</v>
      </c>
      <c r="L6" s="5" t="s">
        <v>821</v>
      </c>
      <c r="M6" s="5" t="s">
        <v>85</v>
      </c>
      <c r="N6" s="5"/>
      <c r="O6" s="5" t="n">
        <v>4.45</v>
      </c>
      <c r="P6" s="5"/>
      <c r="Q6" s="5"/>
      <c r="R6" s="5"/>
      <c r="S6" s="5"/>
      <c r="T6" s="5" t="n">
        <v>4</v>
      </c>
      <c r="U6" s="5"/>
      <c r="V6" s="5"/>
      <c r="W6" s="5"/>
      <c r="X6" s="5"/>
      <c r="Y6" s="5"/>
      <c r="Z6" s="5"/>
      <c r="AA6" s="5"/>
      <c r="AB6" s="5"/>
      <c r="AC6" s="5"/>
      <c r="AD6" s="5"/>
      <c r="AE6" s="5"/>
      <c r="AF6" s="5"/>
      <c r="AG6" s="5"/>
      <c r="AH6" s="5"/>
      <c r="AI6" s="5"/>
      <c r="AJ6" s="5"/>
      <c r="AK6" s="5"/>
      <c r="AL6" s="5"/>
      <c r="AM6" s="5" t="n">
        <v>4.89</v>
      </c>
      <c r="AN6" s="5"/>
      <c r="AO6" s="5"/>
      <c r="AP6" s="5"/>
      <c r="AQ6" s="5"/>
      <c r="AR6" s="5" t="n">
        <v>4.61</v>
      </c>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t="n">
        <v>3</v>
      </c>
      <c r="BW6" s="5" t="n">
        <v>3</v>
      </c>
      <c r="BX6" s="5" t="n">
        <f aca="false">IF(AND(N(BV6)&gt;0,N(BW6)&gt;0),SQRT(2*BV6/BW6),"")</f>
        <v>1.4142135623731</v>
      </c>
      <c r="BY6" s="5" t="n">
        <v>27</v>
      </c>
      <c r="BZ6" s="5" t="n">
        <v>5</v>
      </c>
      <c r="CA6" s="5" t="n">
        <v>45.5</v>
      </c>
      <c r="CB6" s="5" t="n">
        <v>863</v>
      </c>
      <c r="CC6" s="5" t="n">
        <v>29.067</v>
      </c>
      <c r="CD6" s="5" t="n">
        <v>2</v>
      </c>
      <c r="CE6" s="5"/>
      <c r="CF6" s="5"/>
      <c r="CG6" s="5" t="n">
        <v>7.98</v>
      </c>
      <c r="CH6" s="5" t="n">
        <v>4.1</v>
      </c>
      <c r="CI6" s="5" t="n">
        <v>1.55</v>
      </c>
      <c r="CJ6" s="5" t="n">
        <v>55</v>
      </c>
      <c r="CK6" s="5" t="n">
        <v>18</v>
      </c>
      <c r="CL6" s="5" t="s">
        <v>3515</v>
      </c>
      <c r="CM6" s="5" t="s">
        <v>1620</v>
      </c>
      <c r="CN6" s="5" t="s">
        <v>3516</v>
      </c>
      <c r="CO6" s="5" t="s">
        <v>1622</v>
      </c>
      <c r="CP6" s="5" t="s">
        <v>3517</v>
      </c>
      <c r="CQ6" s="23" t="s">
        <v>3518</v>
      </c>
      <c r="CR6" s="5" t="s">
        <v>848</v>
      </c>
      <c r="CS6" s="5" t="s">
        <v>3519</v>
      </c>
    </row>
    <row r="7" customFormat="false" ht="15" hidden="false" customHeight="true" outlineLevel="0" collapsed="false">
      <c r="A7" s="5" t="n">
        <v>166</v>
      </c>
      <c r="B7" s="5" t="n">
        <v>166</v>
      </c>
      <c r="C7" s="5" t="s">
        <v>832</v>
      </c>
      <c r="D7" s="5" t="n">
        <v>2014</v>
      </c>
      <c r="E7" s="5" t="s">
        <v>833</v>
      </c>
      <c r="F7" s="5" t="s">
        <v>836</v>
      </c>
      <c r="G7" s="5" t="s">
        <v>837</v>
      </c>
      <c r="H7" s="5" t="n">
        <v>29.067</v>
      </c>
      <c r="I7" s="5" t="n">
        <v>77.767</v>
      </c>
      <c r="J7" s="5" t="s">
        <v>83</v>
      </c>
      <c r="K7" s="5" t="s">
        <v>3520</v>
      </c>
      <c r="L7" s="5" t="s">
        <v>802</v>
      </c>
      <c r="M7" s="5" t="s">
        <v>85</v>
      </c>
      <c r="N7" s="5"/>
      <c r="O7" s="5" t="n">
        <v>3.57</v>
      </c>
      <c r="P7" s="5"/>
      <c r="Q7" s="5"/>
      <c r="R7" s="5"/>
      <c r="S7" s="5"/>
      <c r="T7" s="5" t="n">
        <v>4.23</v>
      </c>
      <c r="U7" s="5"/>
      <c r="V7" s="5"/>
      <c r="W7" s="5"/>
      <c r="X7" s="5"/>
      <c r="Y7" s="5"/>
      <c r="Z7" s="5"/>
      <c r="AA7" s="5"/>
      <c r="AB7" s="5"/>
      <c r="AC7" s="5"/>
      <c r="AD7" s="5"/>
      <c r="AE7" s="5"/>
      <c r="AF7" s="5"/>
      <c r="AG7" s="5"/>
      <c r="AH7" s="5"/>
      <c r="AI7" s="5"/>
      <c r="AJ7" s="5"/>
      <c r="AK7" s="5"/>
      <c r="AL7" s="5"/>
      <c r="AM7" s="5" t="n">
        <f aca="false">ROUND(4.89-1.47,2)</f>
        <v>3.42</v>
      </c>
      <c r="AN7" s="5"/>
      <c r="AO7" s="5"/>
      <c r="AP7" s="5"/>
      <c r="AQ7" s="5"/>
      <c r="AR7" s="5" t="n">
        <v>5.13</v>
      </c>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t="n">
        <v>3</v>
      </c>
      <c r="BW7" s="5" t="n">
        <v>3</v>
      </c>
      <c r="BX7" s="5" t="n">
        <f aca="false">IF(AND(N(BV7)&gt;0,N(BW7)&gt;0),SQRT(2*BV7/BW7),"")</f>
        <v>1.4142135623731</v>
      </c>
      <c r="BY7" s="5" t="n">
        <v>27</v>
      </c>
      <c r="BZ7" s="5" t="n">
        <v>5</v>
      </c>
      <c r="CA7" s="5" t="n">
        <v>45.5</v>
      </c>
      <c r="CB7" s="5" t="n">
        <v>863</v>
      </c>
      <c r="CC7" s="5" t="n">
        <v>29.067</v>
      </c>
      <c r="CD7" s="5" t="n">
        <v>17</v>
      </c>
      <c r="CE7" s="5"/>
      <c r="CF7" s="5"/>
      <c r="CG7" s="5" t="n">
        <v>7.98</v>
      </c>
      <c r="CH7" s="5" t="n">
        <v>4.1</v>
      </c>
      <c r="CI7" s="5" t="n">
        <v>1.55</v>
      </c>
      <c r="CJ7" s="5" t="n">
        <v>55</v>
      </c>
      <c r="CK7" s="5" t="n">
        <v>18</v>
      </c>
      <c r="CL7" s="5" t="s">
        <v>3515</v>
      </c>
      <c r="CM7" s="5" t="s">
        <v>1620</v>
      </c>
      <c r="CN7" s="5" t="s">
        <v>3521</v>
      </c>
      <c r="CO7" s="5" t="s">
        <v>1622</v>
      </c>
      <c r="CP7" s="5" t="s">
        <v>3517</v>
      </c>
      <c r="CQ7" s="23" t="s">
        <v>3522</v>
      </c>
      <c r="CR7" s="5" t="s">
        <v>848</v>
      </c>
      <c r="CS7" s="5" t="s">
        <v>3519</v>
      </c>
    </row>
    <row r="8" customFormat="false" ht="15" hidden="false" customHeight="true" outlineLevel="0" collapsed="false">
      <c r="A8" s="5" t="n">
        <v>164</v>
      </c>
      <c r="B8" s="5" t="n">
        <v>164</v>
      </c>
      <c r="C8" s="5" t="s">
        <v>791</v>
      </c>
      <c r="D8" s="5" t="n">
        <v>2000</v>
      </c>
      <c r="E8" s="5" t="s">
        <v>792</v>
      </c>
      <c r="F8" s="5" t="s">
        <v>866</v>
      </c>
      <c r="G8" s="5" t="s">
        <v>2038</v>
      </c>
      <c r="H8" s="5" t="n">
        <v>30.933</v>
      </c>
      <c r="I8" s="5" t="n">
        <v>75.867</v>
      </c>
      <c r="J8" s="5" t="s">
        <v>870</v>
      </c>
      <c r="K8" s="5" t="s">
        <v>3523</v>
      </c>
      <c r="L8" s="5" t="s">
        <v>821</v>
      </c>
      <c r="M8" s="5" t="s">
        <v>85</v>
      </c>
      <c r="N8" s="5"/>
      <c r="O8" s="5" t="n">
        <v>3.65</v>
      </c>
      <c r="P8" s="5"/>
      <c r="Q8" s="5"/>
      <c r="R8" s="5"/>
      <c r="S8" s="5"/>
      <c r="T8" s="5" t="n">
        <v>3.22</v>
      </c>
      <c r="U8" s="5"/>
      <c r="V8" s="5"/>
      <c r="W8" s="5"/>
      <c r="X8" s="5"/>
      <c r="Y8" s="5"/>
      <c r="Z8" s="5"/>
      <c r="AA8" s="5"/>
      <c r="AB8" s="5"/>
      <c r="AC8" s="5"/>
      <c r="AD8" s="5"/>
      <c r="AE8" s="5"/>
      <c r="AF8" s="5"/>
      <c r="AG8" s="5"/>
      <c r="AH8" s="5"/>
      <c r="AI8" s="5"/>
      <c r="AJ8" s="5"/>
      <c r="AK8" s="5"/>
      <c r="AL8" s="5"/>
      <c r="AM8" s="5" t="n">
        <v>4.55</v>
      </c>
      <c r="AN8" s="5"/>
      <c r="AO8" s="5"/>
      <c r="AP8" s="5"/>
      <c r="AQ8" s="5"/>
      <c r="AR8" s="5" t="n">
        <v>3.94</v>
      </c>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t="n">
        <v>1</v>
      </c>
      <c r="BW8" s="5" t="n">
        <v>4</v>
      </c>
      <c r="BX8" s="5" t="n">
        <f aca="false">IF(AND(N(BV8)&gt;0,N(BW8)&gt;0),SQRT(2*BV8/BW8),"")</f>
        <v>0.707106781186548</v>
      </c>
      <c r="BY8" s="5"/>
      <c r="BZ8" s="5"/>
      <c r="CA8" s="5"/>
      <c r="CB8" s="5" t="n">
        <v>500</v>
      </c>
      <c r="CC8" s="5" t="n">
        <v>30.933</v>
      </c>
      <c r="CD8" s="5" t="n">
        <v>1</v>
      </c>
      <c r="CE8" s="5"/>
      <c r="CF8" s="5"/>
      <c r="CG8" s="5"/>
      <c r="CH8" s="5" t="n">
        <v>3.1</v>
      </c>
      <c r="CI8" s="5"/>
      <c r="CJ8" s="5"/>
      <c r="CK8" s="5"/>
      <c r="CL8" s="5" t="s">
        <v>3524</v>
      </c>
      <c r="CM8" s="5" t="s">
        <v>2040</v>
      </c>
      <c r="CN8" s="5" t="s">
        <v>3525</v>
      </c>
      <c r="CO8" s="5" t="s">
        <v>2042</v>
      </c>
      <c r="CP8" s="5" t="s">
        <v>3526</v>
      </c>
      <c r="CQ8" s="23" t="s">
        <v>3527</v>
      </c>
      <c r="CR8" s="5" t="s">
        <v>807</v>
      </c>
      <c r="CS8" s="5" t="s">
        <v>3528</v>
      </c>
    </row>
    <row r="9" customFormat="false" ht="15" hidden="false" customHeight="true" outlineLevel="0" collapsed="false">
      <c r="A9" s="5" t="n">
        <v>164</v>
      </c>
      <c r="B9" s="5" t="n">
        <v>164</v>
      </c>
      <c r="C9" s="5" t="s">
        <v>791</v>
      </c>
      <c r="D9" s="5" t="n">
        <v>2000</v>
      </c>
      <c r="E9" s="5" t="s">
        <v>792</v>
      </c>
      <c r="F9" s="5" t="s">
        <v>866</v>
      </c>
      <c r="G9" s="5" t="s">
        <v>2038</v>
      </c>
      <c r="H9" s="5" t="n">
        <v>30.933</v>
      </c>
      <c r="I9" s="5" t="n">
        <v>75.867</v>
      </c>
      <c r="J9" s="5" t="s">
        <v>870</v>
      </c>
      <c r="K9" s="5" t="s">
        <v>3529</v>
      </c>
      <c r="L9" s="5" t="s">
        <v>821</v>
      </c>
      <c r="M9" s="5" t="s">
        <v>85</v>
      </c>
      <c r="N9" s="5"/>
      <c r="O9" s="5" t="n">
        <v>5.08</v>
      </c>
      <c r="P9" s="5"/>
      <c r="Q9" s="5"/>
      <c r="R9" s="5"/>
      <c r="S9" s="5"/>
      <c r="T9" s="5" t="n">
        <v>4.57</v>
      </c>
      <c r="U9" s="5"/>
      <c r="V9" s="5"/>
      <c r="W9" s="5"/>
      <c r="X9" s="5"/>
      <c r="Y9" s="5"/>
      <c r="Z9" s="5"/>
      <c r="AA9" s="5"/>
      <c r="AB9" s="5"/>
      <c r="AC9" s="5"/>
      <c r="AD9" s="5"/>
      <c r="AE9" s="5"/>
      <c r="AF9" s="5"/>
      <c r="AG9" s="5"/>
      <c r="AH9" s="5"/>
      <c r="AI9" s="5"/>
      <c r="AJ9" s="5"/>
      <c r="AK9" s="5"/>
      <c r="AL9" s="5"/>
      <c r="AM9" s="5" t="n">
        <v>7.28</v>
      </c>
      <c r="AN9" s="5"/>
      <c r="AO9" s="5"/>
      <c r="AP9" s="5"/>
      <c r="AQ9" s="5"/>
      <c r="AR9" s="5" t="n">
        <v>5.68</v>
      </c>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t="n">
        <v>1</v>
      </c>
      <c r="BW9" s="5" t="n">
        <v>4</v>
      </c>
      <c r="BX9" s="5" t="n">
        <f aca="false">IF(AND(N(BV9)&gt;0,N(BW9)&gt;0),SQRT(2*BV9/BW9),"")</f>
        <v>0.707106781186548</v>
      </c>
      <c r="BY9" s="5"/>
      <c r="BZ9" s="5"/>
      <c r="CA9" s="5"/>
      <c r="CB9" s="5" t="n">
        <v>500</v>
      </c>
      <c r="CC9" s="5" t="n">
        <v>30.933</v>
      </c>
      <c r="CD9" s="5" t="n">
        <v>2</v>
      </c>
      <c r="CE9" s="5"/>
      <c r="CF9" s="5"/>
      <c r="CG9" s="5"/>
      <c r="CH9" s="5" t="n">
        <v>3.1</v>
      </c>
      <c r="CI9" s="5"/>
      <c r="CJ9" s="5"/>
      <c r="CK9" s="5"/>
      <c r="CL9" s="5" t="s">
        <v>3524</v>
      </c>
      <c r="CM9" s="5" t="s">
        <v>2040</v>
      </c>
      <c r="CN9" s="5" t="s">
        <v>3530</v>
      </c>
      <c r="CO9" s="5" t="s">
        <v>2042</v>
      </c>
      <c r="CP9" s="5" t="s">
        <v>3526</v>
      </c>
      <c r="CQ9" s="23" t="s">
        <v>3527</v>
      </c>
      <c r="CR9" s="5" t="s">
        <v>807</v>
      </c>
      <c r="CS9" s="5" t="s">
        <v>3528</v>
      </c>
    </row>
    <row r="10" customFormat="false" ht="15" hidden="false" customHeight="true" outlineLevel="0" collapsed="false">
      <c r="A10" s="5" t="n">
        <v>164</v>
      </c>
      <c r="B10" s="5" t="n">
        <v>164</v>
      </c>
      <c r="C10" s="5" t="s">
        <v>791</v>
      </c>
      <c r="D10" s="5" t="n">
        <v>2000</v>
      </c>
      <c r="E10" s="5" t="s">
        <v>792</v>
      </c>
      <c r="F10" s="5" t="s">
        <v>866</v>
      </c>
      <c r="G10" s="5" t="s">
        <v>2038</v>
      </c>
      <c r="H10" s="5" t="n">
        <v>30.933</v>
      </c>
      <c r="I10" s="5" t="n">
        <v>75.867</v>
      </c>
      <c r="J10" s="5" t="s">
        <v>870</v>
      </c>
      <c r="K10" s="5" t="s">
        <v>3531</v>
      </c>
      <c r="L10" s="5" t="s">
        <v>821</v>
      </c>
      <c r="M10" s="5" t="s">
        <v>85</v>
      </c>
      <c r="N10" s="5"/>
      <c r="O10" s="5" t="n">
        <v>4.29</v>
      </c>
      <c r="P10" s="5"/>
      <c r="Q10" s="5"/>
      <c r="R10" s="5"/>
      <c r="S10" s="5"/>
      <c r="T10" s="5" t="n">
        <v>3.75</v>
      </c>
      <c r="U10" s="5"/>
      <c r="V10" s="5"/>
      <c r="W10" s="5"/>
      <c r="X10" s="5"/>
      <c r="Y10" s="5"/>
      <c r="Z10" s="5"/>
      <c r="AA10" s="5"/>
      <c r="AB10" s="5"/>
      <c r="AC10" s="5"/>
      <c r="AD10" s="5"/>
      <c r="AE10" s="5"/>
      <c r="AF10" s="5"/>
      <c r="AG10" s="5"/>
      <c r="AH10" s="5"/>
      <c r="AI10" s="5"/>
      <c r="AJ10" s="5"/>
      <c r="AK10" s="5"/>
      <c r="AL10" s="5"/>
      <c r="AM10" s="5" t="n">
        <v>6.83</v>
      </c>
      <c r="AN10" s="5"/>
      <c r="AO10" s="5"/>
      <c r="AP10" s="5"/>
      <c r="AQ10" s="5"/>
      <c r="AR10" s="5" t="n">
        <v>5.42</v>
      </c>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t="n">
        <v>1</v>
      </c>
      <c r="BW10" s="5" t="n">
        <v>4</v>
      </c>
      <c r="BX10" s="5" t="n">
        <f aca="false">IF(AND(N(BV10)&gt;0,N(BW10)&gt;0),SQRT(2*BV10/BW10),"")</f>
        <v>0.707106781186548</v>
      </c>
      <c r="BY10" s="5"/>
      <c r="BZ10" s="5"/>
      <c r="CA10" s="5"/>
      <c r="CB10" s="5" t="n">
        <v>500</v>
      </c>
      <c r="CC10" s="5" t="n">
        <v>30.933</v>
      </c>
      <c r="CD10" s="5" t="n">
        <v>3</v>
      </c>
      <c r="CE10" s="5"/>
      <c r="CF10" s="5"/>
      <c r="CG10" s="5"/>
      <c r="CH10" s="5" t="n">
        <v>3.1</v>
      </c>
      <c r="CI10" s="5"/>
      <c r="CJ10" s="5"/>
      <c r="CK10" s="5"/>
      <c r="CL10" s="5" t="s">
        <v>3524</v>
      </c>
      <c r="CM10" s="5" t="s">
        <v>2040</v>
      </c>
      <c r="CN10" s="5" t="s">
        <v>3532</v>
      </c>
      <c r="CO10" s="5" t="s">
        <v>2042</v>
      </c>
      <c r="CP10" s="5" t="s">
        <v>3526</v>
      </c>
      <c r="CQ10" s="23" t="s">
        <v>3527</v>
      </c>
      <c r="CR10" s="5" t="s">
        <v>807</v>
      </c>
      <c r="CS10" s="5" t="s">
        <v>3528</v>
      </c>
    </row>
    <row r="11" customFormat="false" ht="15" hidden="false" customHeight="true" outlineLevel="0" collapsed="false">
      <c r="A11" s="5" t="n">
        <v>164</v>
      </c>
      <c r="B11" s="5" t="n">
        <v>164</v>
      </c>
      <c r="C11" s="5" t="s">
        <v>791</v>
      </c>
      <c r="D11" s="5" t="n">
        <v>2000</v>
      </c>
      <c r="E11" s="5" t="s">
        <v>792</v>
      </c>
      <c r="F11" s="5" t="s">
        <v>866</v>
      </c>
      <c r="G11" s="5" t="s">
        <v>2038</v>
      </c>
      <c r="H11" s="5" t="n">
        <v>30.933</v>
      </c>
      <c r="I11" s="5" t="n">
        <v>75.867</v>
      </c>
      <c r="J11" s="5" t="s">
        <v>870</v>
      </c>
      <c r="K11" s="5" t="s">
        <v>3533</v>
      </c>
      <c r="L11" s="5" t="s">
        <v>84</v>
      </c>
      <c r="M11" s="5" t="s">
        <v>85</v>
      </c>
      <c r="N11" s="5"/>
      <c r="O11" s="5" t="n">
        <v>4.58</v>
      </c>
      <c r="P11" s="5"/>
      <c r="Q11" s="5"/>
      <c r="R11" s="5"/>
      <c r="S11" s="5"/>
      <c r="T11" s="5" t="n">
        <v>4.51</v>
      </c>
      <c r="U11" s="5"/>
      <c r="V11" s="5"/>
      <c r="W11" s="5"/>
      <c r="X11" s="5"/>
      <c r="Y11" s="5"/>
      <c r="Z11" s="5"/>
      <c r="AA11" s="5"/>
      <c r="AB11" s="5"/>
      <c r="AC11" s="5"/>
      <c r="AD11" s="5"/>
      <c r="AE11" s="5"/>
      <c r="AF11" s="5"/>
      <c r="AG11" s="5"/>
      <c r="AH11" s="5"/>
      <c r="AI11" s="5"/>
      <c r="AJ11" s="5"/>
      <c r="AK11" s="5"/>
      <c r="AL11" s="5"/>
      <c r="AM11" s="5" t="n">
        <v>6.41</v>
      </c>
      <c r="AN11" s="5"/>
      <c r="AO11" s="5"/>
      <c r="AP11" s="5"/>
      <c r="AQ11" s="5"/>
      <c r="AR11" s="5" t="n">
        <v>4.53</v>
      </c>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t="n">
        <v>1</v>
      </c>
      <c r="BW11" s="5" t="n">
        <v>4</v>
      </c>
      <c r="BX11" s="5" t="n">
        <f aca="false">IF(AND(N(BV11)&gt;0,N(BW11)&gt;0),SQRT(2*BV11/BW11),"")</f>
        <v>0.707106781186548</v>
      </c>
      <c r="BY11" s="5"/>
      <c r="BZ11" s="5"/>
      <c r="CA11" s="5"/>
      <c r="CB11" s="5" t="n">
        <v>500</v>
      </c>
      <c r="CC11" s="5" t="n">
        <v>30.933</v>
      </c>
      <c r="CD11" s="5" t="n">
        <v>4</v>
      </c>
      <c r="CE11" s="5"/>
      <c r="CF11" s="5"/>
      <c r="CG11" s="5"/>
      <c r="CH11" s="5" t="n">
        <v>3.1</v>
      </c>
      <c r="CI11" s="5"/>
      <c r="CJ11" s="5"/>
      <c r="CK11" s="5"/>
      <c r="CL11" s="5" t="s">
        <v>3524</v>
      </c>
      <c r="CM11" s="5" t="s">
        <v>2040</v>
      </c>
      <c r="CN11" s="5" t="s">
        <v>3534</v>
      </c>
      <c r="CO11" s="5" t="s">
        <v>2042</v>
      </c>
      <c r="CP11" s="5" t="s">
        <v>3526</v>
      </c>
      <c r="CQ11" s="23" t="s">
        <v>3527</v>
      </c>
      <c r="CR11" s="5" t="s">
        <v>807</v>
      </c>
      <c r="CS11" s="5" t="s">
        <v>3528</v>
      </c>
    </row>
    <row r="12" customFormat="false" ht="15" hidden="false" customHeight="true" outlineLevel="0" collapsed="false">
      <c r="A12" s="5" t="n">
        <v>164</v>
      </c>
      <c r="B12" s="5" t="n">
        <v>164</v>
      </c>
      <c r="C12" s="5" t="s">
        <v>791</v>
      </c>
      <c r="D12" s="5" t="n">
        <v>2000</v>
      </c>
      <c r="E12" s="5" t="s">
        <v>792</v>
      </c>
      <c r="F12" s="5" t="s">
        <v>866</v>
      </c>
      <c r="G12" s="5" t="s">
        <v>2038</v>
      </c>
      <c r="H12" s="5" t="n">
        <v>30.933</v>
      </c>
      <c r="I12" s="5" t="n">
        <v>75.867</v>
      </c>
      <c r="J12" s="5" t="s">
        <v>870</v>
      </c>
      <c r="K12" s="5" t="s">
        <v>3535</v>
      </c>
      <c r="L12" s="5" t="s">
        <v>84</v>
      </c>
      <c r="M12" s="5" t="s">
        <v>85</v>
      </c>
      <c r="N12" s="5"/>
      <c r="O12" s="5" t="n">
        <v>4.68</v>
      </c>
      <c r="P12" s="5"/>
      <c r="Q12" s="5"/>
      <c r="R12" s="5"/>
      <c r="S12" s="5"/>
      <c r="T12" s="5" t="n">
        <v>4.42</v>
      </c>
      <c r="U12" s="5"/>
      <c r="V12" s="5"/>
      <c r="W12" s="5"/>
      <c r="X12" s="5"/>
      <c r="Y12" s="5"/>
      <c r="Z12" s="5"/>
      <c r="AA12" s="5"/>
      <c r="AB12" s="5"/>
      <c r="AC12" s="5"/>
      <c r="AD12" s="5"/>
      <c r="AE12" s="5"/>
      <c r="AF12" s="5"/>
      <c r="AG12" s="5"/>
      <c r="AH12" s="5"/>
      <c r="AI12" s="5"/>
      <c r="AJ12" s="5"/>
      <c r="AK12" s="5"/>
      <c r="AL12" s="5"/>
      <c r="AM12" s="5" t="n">
        <v>5.84</v>
      </c>
      <c r="AN12" s="5"/>
      <c r="AO12" s="5"/>
      <c r="AP12" s="5"/>
      <c r="AQ12" s="5"/>
      <c r="AR12" s="5" t="n">
        <v>4.72</v>
      </c>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t="n">
        <v>1</v>
      </c>
      <c r="BW12" s="5" t="n">
        <v>4</v>
      </c>
      <c r="BX12" s="5" t="n">
        <f aca="false">IF(AND(N(BV12)&gt;0,N(BW12)&gt;0),SQRT(2*BV12/BW12),"")</f>
        <v>0.707106781186548</v>
      </c>
      <c r="BY12" s="5"/>
      <c r="BZ12" s="5"/>
      <c r="CA12" s="5"/>
      <c r="CB12" s="5" t="n">
        <v>500</v>
      </c>
      <c r="CC12" s="5" t="n">
        <v>30.933</v>
      </c>
      <c r="CD12" s="5" t="n">
        <v>5</v>
      </c>
      <c r="CE12" s="5"/>
      <c r="CF12" s="5"/>
      <c r="CG12" s="5"/>
      <c r="CH12" s="5" t="n">
        <v>3.1</v>
      </c>
      <c r="CI12" s="5"/>
      <c r="CJ12" s="5"/>
      <c r="CK12" s="5"/>
      <c r="CL12" s="5" t="s">
        <v>3524</v>
      </c>
      <c r="CM12" s="5" t="s">
        <v>2040</v>
      </c>
      <c r="CN12" s="5" t="s">
        <v>3536</v>
      </c>
      <c r="CO12" s="5" t="s">
        <v>2042</v>
      </c>
      <c r="CP12" s="5" t="s">
        <v>3526</v>
      </c>
      <c r="CQ12" s="23" t="s">
        <v>3527</v>
      </c>
      <c r="CR12" s="5" t="s">
        <v>807</v>
      </c>
      <c r="CS12" s="5" t="s">
        <v>3528</v>
      </c>
    </row>
    <row r="13" customFormat="false" ht="15" hidden="false" customHeight="true" outlineLevel="0" collapsed="false">
      <c r="A13" s="5" t="n">
        <v>164</v>
      </c>
      <c r="B13" s="5" t="n">
        <v>164</v>
      </c>
      <c r="C13" s="5" t="s">
        <v>791</v>
      </c>
      <c r="D13" s="5" t="n">
        <v>2000</v>
      </c>
      <c r="E13" s="5" t="s">
        <v>792</v>
      </c>
      <c r="F13" s="5" t="s">
        <v>866</v>
      </c>
      <c r="G13" s="5" t="s">
        <v>2038</v>
      </c>
      <c r="H13" s="5" t="n">
        <v>30.933</v>
      </c>
      <c r="I13" s="5" t="n">
        <v>75.867</v>
      </c>
      <c r="J13" s="5" t="s">
        <v>870</v>
      </c>
      <c r="K13" s="5" t="s">
        <v>3537</v>
      </c>
      <c r="L13" s="5" t="s">
        <v>84</v>
      </c>
      <c r="M13" s="5" t="s">
        <v>85</v>
      </c>
      <c r="N13" s="5"/>
      <c r="O13" s="5" t="n">
        <v>5.16</v>
      </c>
      <c r="P13" s="5"/>
      <c r="Q13" s="5"/>
      <c r="R13" s="5"/>
      <c r="S13" s="5"/>
      <c r="T13" s="5" t="n">
        <v>5.16</v>
      </c>
      <c r="U13" s="5"/>
      <c r="V13" s="5"/>
      <c r="W13" s="5"/>
      <c r="X13" s="5"/>
      <c r="Y13" s="5"/>
      <c r="Z13" s="5"/>
      <c r="AA13" s="5"/>
      <c r="AB13" s="5"/>
      <c r="AC13" s="5"/>
      <c r="AD13" s="5"/>
      <c r="AE13" s="5"/>
      <c r="AF13" s="5"/>
      <c r="AG13" s="5"/>
      <c r="AH13" s="5"/>
      <c r="AI13" s="5"/>
      <c r="AJ13" s="5"/>
      <c r="AK13" s="5"/>
      <c r="AL13" s="5"/>
      <c r="AM13" s="5" t="n">
        <v>6.78</v>
      </c>
      <c r="AN13" s="5"/>
      <c r="AO13" s="5"/>
      <c r="AP13" s="5"/>
      <c r="AQ13" s="5"/>
      <c r="AR13" s="5" t="n">
        <v>5.87</v>
      </c>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t="n">
        <v>1</v>
      </c>
      <c r="BW13" s="5" t="n">
        <v>4</v>
      </c>
      <c r="BX13" s="5" t="n">
        <f aca="false">IF(AND(N(BV13)&gt;0,N(BW13)&gt;0),SQRT(2*BV13/BW13),"")</f>
        <v>0.707106781186548</v>
      </c>
      <c r="BY13" s="5"/>
      <c r="BZ13" s="5"/>
      <c r="CA13" s="5"/>
      <c r="CB13" s="5" t="n">
        <v>500</v>
      </c>
      <c r="CC13" s="5" t="n">
        <v>30.933</v>
      </c>
      <c r="CD13" s="5" t="n">
        <v>6</v>
      </c>
      <c r="CE13" s="5"/>
      <c r="CF13" s="5"/>
      <c r="CG13" s="5"/>
      <c r="CH13" s="5" t="n">
        <v>3.1</v>
      </c>
      <c r="CI13" s="5"/>
      <c r="CJ13" s="5"/>
      <c r="CK13" s="5"/>
      <c r="CL13" s="5" t="s">
        <v>3524</v>
      </c>
      <c r="CM13" s="5" t="s">
        <v>2040</v>
      </c>
      <c r="CN13" s="5" t="s">
        <v>3538</v>
      </c>
      <c r="CO13" s="5" t="s">
        <v>2042</v>
      </c>
      <c r="CP13" s="5" t="s">
        <v>3526</v>
      </c>
      <c r="CQ13" s="23" t="s">
        <v>3527</v>
      </c>
      <c r="CR13" s="5" t="s">
        <v>807</v>
      </c>
      <c r="CS13" s="5" t="s">
        <v>3528</v>
      </c>
    </row>
    <row r="14" customFormat="false" ht="15" hidden="false" customHeight="true" outlineLevel="0" collapsed="false">
      <c r="A14" s="5" t="n">
        <v>164</v>
      </c>
      <c r="B14" s="5" t="n">
        <v>164</v>
      </c>
      <c r="C14" s="5" t="s">
        <v>791</v>
      </c>
      <c r="D14" s="5" t="n">
        <v>2000</v>
      </c>
      <c r="E14" s="5" t="s">
        <v>792</v>
      </c>
      <c r="F14" s="5" t="s">
        <v>866</v>
      </c>
      <c r="G14" s="5" t="s">
        <v>2038</v>
      </c>
      <c r="H14" s="5" t="n">
        <v>30.933</v>
      </c>
      <c r="I14" s="5" t="n">
        <v>75.867</v>
      </c>
      <c r="J14" s="5" t="s">
        <v>870</v>
      </c>
      <c r="K14" s="5" t="s">
        <v>3539</v>
      </c>
      <c r="L14" s="5" t="s">
        <v>84</v>
      </c>
      <c r="M14" s="5" t="s">
        <v>85</v>
      </c>
      <c r="N14" s="5"/>
      <c r="O14" s="5" t="n">
        <v>4.61</v>
      </c>
      <c r="P14" s="5"/>
      <c r="Q14" s="5"/>
      <c r="R14" s="5"/>
      <c r="S14" s="5"/>
      <c r="T14" s="5" t="n">
        <v>4.51</v>
      </c>
      <c r="U14" s="5"/>
      <c r="V14" s="5"/>
      <c r="W14" s="5"/>
      <c r="X14" s="5"/>
      <c r="Y14" s="5"/>
      <c r="Z14" s="5"/>
      <c r="AA14" s="5"/>
      <c r="AB14" s="5"/>
      <c r="AC14" s="5"/>
      <c r="AD14" s="5"/>
      <c r="AE14" s="5"/>
      <c r="AF14" s="5"/>
      <c r="AG14" s="5"/>
      <c r="AH14" s="5"/>
      <c r="AI14" s="5"/>
      <c r="AJ14" s="5"/>
      <c r="AK14" s="5"/>
      <c r="AL14" s="5"/>
      <c r="AM14" s="5" t="n">
        <v>6.42</v>
      </c>
      <c r="AN14" s="5"/>
      <c r="AO14" s="5"/>
      <c r="AP14" s="5"/>
      <c r="AQ14" s="5"/>
      <c r="AR14" s="5" t="n">
        <v>5.49</v>
      </c>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t="n">
        <v>1</v>
      </c>
      <c r="BW14" s="5" t="n">
        <v>4</v>
      </c>
      <c r="BX14" s="5" t="n">
        <f aca="false">IF(AND(N(BV14)&gt;0,N(BW14)&gt;0),SQRT(2*BV14/BW14),"")</f>
        <v>0.707106781186548</v>
      </c>
      <c r="BY14" s="5"/>
      <c r="BZ14" s="5"/>
      <c r="CA14" s="5"/>
      <c r="CB14" s="5" t="n">
        <v>500</v>
      </c>
      <c r="CC14" s="5" t="n">
        <v>30.933</v>
      </c>
      <c r="CD14" s="5" t="n">
        <v>7</v>
      </c>
      <c r="CE14" s="5"/>
      <c r="CF14" s="5"/>
      <c r="CG14" s="5"/>
      <c r="CH14" s="5" t="n">
        <v>3.1</v>
      </c>
      <c r="CI14" s="5"/>
      <c r="CJ14" s="5"/>
      <c r="CK14" s="5"/>
      <c r="CL14" s="5" t="s">
        <v>3524</v>
      </c>
      <c r="CM14" s="5" t="s">
        <v>2040</v>
      </c>
      <c r="CN14" s="5" t="s">
        <v>3540</v>
      </c>
      <c r="CO14" s="5" t="s">
        <v>2042</v>
      </c>
      <c r="CP14" s="5" t="s">
        <v>3526</v>
      </c>
      <c r="CQ14" s="23" t="s">
        <v>3527</v>
      </c>
      <c r="CR14" s="5" t="s">
        <v>807</v>
      </c>
      <c r="CS14" s="5" t="s">
        <v>3528</v>
      </c>
    </row>
    <row r="15" customFormat="false" ht="15" hidden="false" customHeight="true" outlineLevel="0" collapsed="false">
      <c r="A15" s="5" t="n">
        <v>164</v>
      </c>
      <c r="B15" s="5" t="n">
        <v>164</v>
      </c>
      <c r="C15" s="5" t="s">
        <v>791</v>
      </c>
      <c r="D15" s="5" t="n">
        <v>2000</v>
      </c>
      <c r="E15" s="5" t="s">
        <v>792</v>
      </c>
      <c r="F15" s="5" t="s">
        <v>866</v>
      </c>
      <c r="G15" s="5" t="s">
        <v>2038</v>
      </c>
      <c r="H15" s="5" t="n">
        <v>30.933</v>
      </c>
      <c r="I15" s="5" t="n">
        <v>75.867</v>
      </c>
      <c r="J15" s="5" t="s">
        <v>870</v>
      </c>
      <c r="K15" s="5" t="s">
        <v>3541</v>
      </c>
      <c r="L15" s="5" t="s">
        <v>84</v>
      </c>
      <c r="M15" s="5" t="s">
        <v>85</v>
      </c>
      <c r="N15" s="5"/>
      <c r="O15" s="5" t="n">
        <v>4.48</v>
      </c>
      <c r="P15" s="5"/>
      <c r="Q15" s="5"/>
      <c r="R15" s="5"/>
      <c r="S15" s="5"/>
      <c r="T15" s="5" t="n">
        <v>4.35</v>
      </c>
      <c r="U15" s="5"/>
      <c r="V15" s="5"/>
      <c r="W15" s="5"/>
      <c r="X15" s="5"/>
      <c r="Y15" s="5"/>
      <c r="Z15" s="5"/>
      <c r="AA15" s="5"/>
      <c r="AB15" s="5"/>
      <c r="AC15" s="5"/>
      <c r="AD15" s="5"/>
      <c r="AE15" s="5"/>
      <c r="AF15" s="5"/>
      <c r="AG15" s="5"/>
      <c r="AH15" s="5"/>
      <c r="AI15" s="5"/>
      <c r="AJ15" s="5"/>
      <c r="AK15" s="5"/>
      <c r="AL15" s="5"/>
      <c r="AM15" s="5" t="n">
        <v>6.52</v>
      </c>
      <c r="AN15" s="5"/>
      <c r="AO15" s="5"/>
      <c r="AP15" s="5"/>
      <c r="AQ15" s="5"/>
      <c r="AR15" s="5" t="n">
        <v>5.83</v>
      </c>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t="n">
        <v>1</v>
      </c>
      <c r="BW15" s="5" t="n">
        <v>4</v>
      </c>
      <c r="BX15" s="5" t="n">
        <f aca="false">IF(AND(N(BV15)&gt;0,N(BW15)&gt;0),SQRT(2*BV15/BW15),"")</f>
        <v>0.707106781186548</v>
      </c>
      <c r="BY15" s="5"/>
      <c r="BZ15" s="5"/>
      <c r="CA15" s="5"/>
      <c r="CB15" s="5" t="n">
        <v>500</v>
      </c>
      <c r="CC15" s="5" t="n">
        <v>30.933</v>
      </c>
      <c r="CD15" s="5" t="n">
        <v>8</v>
      </c>
      <c r="CE15" s="5"/>
      <c r="CF15" s="5"/>
      <c r="CG15" s="5"/>
      <c r="CH15" s="5" t="n">
        <v>3.1</v>
      </c>
      <c r="CI15" s="5"/>
      <c r="CJ15" s="5"/>
      <c r="CK15" s="5"/>
      <c r="CL15" s="5" t="s">
        <v>3524</v>
      </c>
      <c r="CM15" s="5" t="s">
        <v>2040</v>
      </c>
      <c r="CN15" s="5" t="s">
        <v>3542</v>
      </c>
      <c r="CO15" s="5" t="s">
        <v>2042</v>
      </c>
      <c r="CP15" s="5" t="s">
        <v>3526</v>
      </c>
      <c r="CQ15" s="23" t="s">
        <v>3527</v>
      </c>
      <c r="CR15" s="5" t="s">
        <v>807</v>
      </c>
      <c r="CS15" s="5" t="s">
        <v>3528</v>
      </c>
    </row>
    <row r="16" customFormat="false" ht="15" hidden="false" customHeight="true" outlineLevel="0" collapsed="false">
      <c r="A16" s="5" t="n">
        <v>164</v>
      </c>
      <c r="B16" s="5" t="n">
        <v>164</v>
      </c>
      <c r="C16" s="5" t="s">
        <v>791</v>
      </c>
      <c r="D16" s="5" t="n">
        <v>2000</v>
      </c>
      <c r="E16" s="5" t="s">
        <v>792</v>
      </c>
      <c r="F16" s="5" t="s">
        <v>866</v>
      </c>
      <c r="G16" s="5" t="s">
        <v>2038</v>
      </c>
      <c r="H16" s="5" t="n">
        <v>30.933</v>
      </c>
      <c r="I16" s="5" t="n">
        <v>75.867</v>
      </c>
      <c r="J16" s="5" t="s">
        <v>870</v>
      </c>
      <c r="K16" s="5" t="s">
        <v>3543</v>
      </c>
      <c r="L16" s="5" t="s">
        <v>84</v>
      </c>
      <c r="M16" s="5" t="s">
        <v>85</v>
      </c>
      <c r="N16" s="5"/>
      <c r="O16" s="5" t="n">
        <v>4.46</v>
      </c>
      <c r="P16" s="5"/>
      <c r="Q16" s="5"/>
      <c r="R16" s="5"/>
      <c r="S16" s="5"/>
      <c r="T16" s="5" t="n">
        <v>4.35</v>
      </c>
      <c r="U16" s="5"/>
      <c r="V16" s="5"/>
      <c r="W16" s="5"/>
      <c r="X16" s="5"/>
      <c r="Y16" s="5"/>
      <c r="Z16" s="5"/>
      <c r="AA16" s="5"/>
      <c r="AB16" s="5"/>
      <c r="AC16" s="5"/>
      <c r="AD16" s="5"/>
      <c r="AE16" s="5"/>
      <c r="AF16" s="5"/>
      <c r="AG16" s="5"/>
      <c r="AH16" s="5"/>
      <c r="AI16" s="5"/>
      <c r="AJ16" s="5"/>
      <c r="AK16" s="5"/>
      <c r="AL16" s="5"/>
      <c r="AM16" s="5" t="n">
        <v>6.58</v>
      </c>
      <c r="AN16" s="5"/>
      <c r="AO16" s="5"/>
      <c r="AP16" s="5"/>
      <c r="AQ16" s="5"/>
      <c r="AR16" s="5" t="n">
        <v>5.71</v>
      </c>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t="n">
        <v>1</v>
      </c>
      <c r="BW16" s="5" t="n">
        <v>4</v>
      </c>
      <c r="BX16" s="5" t="n">
        <f aca="false">IF(AND(N(BV16)&gt;0,N(BW16)&gt;0),SQRT(2*BV16/BW16),"")</f>
        <v>0.707106781186548</v>
      </c>
      <c r="BY16" s="5"/>
      <c r="BZ16" s="5"/>
      <c r="CA16" s="5"/>
      <c r="CB16" s="5" t="n">
        <v>500</v>
      </c>
      <c r="CC16" s="5" t="n">
        <v>30.933</v>
      </c>
      <c r="CD16" s="5" t="n">
        <v>9</v>
      </c>
      <c r="CE16" s="5"/>
      <c r="CF16" s="5"/>
      <c r="CG16" s="5"/>
      <c r="CH16" s="5" t="n">
        <v>3.1</v>
      </c>
      <c r="CI16" s="5"/>
      <c r="CJ16" s="5"/>
      <c r="CK16" s="5"/>
      <c r="CL16" s="5" t="s">
        <v>3524</v>
      </c>
      <c r="CM16" s="5" t="s">
        <v>2040</v>
      </c>
      <c r="CN16" s="5" t="s">
        <v>3544</v>
      </c>
      <c r="CO16" s="5" t="s">
        <v>2042</v>
      </c>
      <c r="CP16" s="5" t="s">
        <v>3526</v>
      </c>
      <c r="CQ16" s="23" t="s">
        <v>3527</v>
      </c>
      <c r="CR16" s="5" t="s">
        <v>807</v>
      </c>
      <c r="CS16" s="5" t="s">
        <v>3528</v>
      </c>
    </row>
    <row r="17" customFormat="false" ht="15" hidden="false" customHeight="true" outlineLevel="0" collapsed="false">
      <c r="A17" s="5" t="n">
        <v>164</v>
      </c>
      <c r="B17" s="5" t="n">
        <v>164</v>
      </c>
      <c r="C17" s="5" t="s">
        <v>791</v>
      </c>
      <c r="D17" s="5" t="n">
        <v>2000</v>
      </c>
      <c r="E17" s="5" t="s">
        <v>792</v>
      </c>
      <c r="F17" s="5" t="s">
        <v>866</v>
      </c>
      <c r="G17" s="5" t="s">
        <v>2038</v>
      </c>
      <c r="H17" s="5" t="n">
        <v>30.933</v>
      </c>
      <c r="I17" s="5" t="n">
        <v>75.867</v>
      </c>
      <c r="J17" s="5" t="s">
        <v>870</v>
      </c>
      <c r="K17" s="5" t="s">
        <v>3545</v>
      </c>
      <c r="L17" s="5" t="s">
        <v>84</v>
      </c>
      <c r="M17" s="5" t="s">
        <v>85</v>
      </c>
      <c r="N17" s="5"/>
      <c r="O17" s="5" t="n">
        <v>4.25</v>
      </c>
      <c r="P17" s="5"/>
      <c r="Q17" s="5"/>
      <c r="R17" s="5"/>
      <c r="S17" s="5"/>
      <c r="T17" s="5" t="n">
        <v>4.25</v>
      </c>
      <c r="U17" s="5"/>
      <c r="V17" s="5"/>
      <c r="W17" s="5"/>
      <c r="X17" s="5"/>
      <c r="Y17" s="5"/>
      <c r="Z17" s="5"/>
      <c r="AA17" s="5"/>
      <c r="AB17" s="5"/>
      <c r="AC17" s="5"/>
      <c r="AD17" s="5"/>
      <c r="AE17" s="5"/>
      <c r="AF17" s="5"/>
      <c r="AG17" s="5"/>
      <c r="AH17" s="5"/>
      <c r="AI17" s="5"/>
      <c r="AJ17" s="5"/>
      <c r="AK17" s="5"/>
      <c r="AL17" s="5"/>
      <c r="AM17" s="5" t="n">
        <v>6.25</v>
      </c>
      <c r="AN17" s="5"/>
      <c r="AO17" s="5"/>
      <c r="AP17" s="5"/>
      <c r="AQ17" s="5"/>
      <c r="AR17" s="5" t="n">
        <v>5.17</v>
      </c>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t="n">
        <v>1</v>
      </c>
      <c r="BW17" s="5" t="n">
        <v>4</v>
      </c>
      <c r="BX17" s="5" t="n">
        <f aca="false">IF(AND(N(BV17)&gt;0,N(BW17)&gt;0),SQRT(2*BV17/BW17),"")</f>
        <v>0.707106781186548</v>
      </c>
      <c r="BY17" s="5"/>
      <c r="BZ17" s="5"/>
      <c r="CA17" s="5"/>
      <c r="CB17" s="5" t="n">
        <v>500</v>
      </c>
      <c r="CC17" s="5" t="n">
        <v>30.933</v>
      </c>
      <c r="CD17" s="5" t="n">
        <v>10</v>
      </c>
      <c r="CE17" s="5"/>
      <c r="CF17" s="5"/>
      <c r="CG17" s="5"/>
      <c r="CH17" s="5" t="n">
        <v>3.1</v>
      </c>
      <c r="CI17" s="5"/>
      <c r="CJ17" s="5"/>
      <c r="CK17" s="5"/>
      <c r="CL17" s="5" t="s">
        <v>3524</v>
      </c>
      <c r="CM17" s="5" t="s">
        <v>2040</v>
      </c>
      <c r="CN17" s="5" t="s">
        <v>3546</v>
      </c>
      <c r="CO17" s="5" t="s">
        <v>2042</v>
      </c>
      <c r="CP17" s="5" t="s">
        <v>3526</v>
      </c>
      <c r="CQ17" s="23" t="s">
        <v>3527</v>
      </c>
      <c r="CR17" s="5" t="s">
        <v>807</v>
      </c>
      <c r="CS17" s="5" t="s">
        <v>3528</v>
      </c>
    </row>
    <row r="18" customFormat="false" ht="15" hidden="false" customHeight="true" outlineLevel="0" collapsed="false">
      <c r="A18" s="5" t="n">
        <v>164</v>
      </c>
      <c r="B18" s="5" t="n">
        <v>164</v>
      </c>
      <c r="C18" s="5" t="s">
        <v>791</v>
      </c>
      <c r="D18" s="5" t="n">
        <v>2000</v>
      </c>
      <c r="E18" s="5" t="s">
        <v>792</v>
      </c>
      <c r="F18" s="5" t="s">
        <v>866</v>
      </c>
      <c r="G18" s="5" t="s">
        <v>2038</v>
      </c>
      <c r="H18" s="5" t="n">
        <v>30.933</v>
      </c>
      <c r="I18" s="5" t="n">
        <v>75.867</v>
      </c>
      <c r="J18" s="5" t="s">
        <v>870</v>
      </c>
      <c r="K18" s="5" t="s">
        <v>3547</v>
      </c>
      <c r="L18" s="5" t="s">
        <v>802</v>
      </c>
      <c r="M18" s="5" t="s">
        <v>85</v>
      </c>
      <c r="N18" s="5"/>
      <c r="O18" s="5" t="n">
        <v>4.16</v>
      </c>
      <c r="P18" s="5"/>
      <c r="Q18" s="5"/>
      <c r="R18" s="5"/>
      <c r="S18" s="5"/>
      <c r="T18" s="5" t="n">
        <v>4.62</v>
      </c>
      <c r="U18" s="5"/>
      <c r="V18" s="5"/>
      <c r="W18" s="5"/>
      <c r="X18" s="5"/>
      <c r="Y18" s="5"/>
      <c r="Z18" s="5"/>
      <c r="AA18" s="5"/>
      <c r="AB18" s="5"/>
      <c r="AC18" s="5"/>
      <c r="AD18" s="5"/>
      <c r="AE18" s="5"/>
      <c r="AF18" s="5"/>
      <c r="AG18" s="5"/>
      <c r="AH18" s="5"/>
      <c r="AI18" s="5"/>
      <c r="AJ18" s="5"/>
      <c r="AK18" s="5"/>
      <c r="AL18" s="5"/>
      <c r="AM18" s="5" t="n">
        <v>5.59</v>
      </c>
      <c r="AN18" s="5"/>
      <c r="AO18" s="5"/>
      <c r="AP18" s="5"/>
      <c r="AQ18" s="5"/>
      <c r="AR18" s="5" t="n">
        <v>4.83</v>
      </c>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t="n">
        <v>1</v>
      </c>
      <c r="BW18" s="5" t="n">
        <v>4</v>
      </c>
      <c r="BX18" s="5" t="n">
        <f aca="false">IF(AND(N(BV18)&gt;0,N(BW18)&gt;0),SQRT(2*BV18/BW18),"")</f>
        <v>0.707106781186548</v>
      </c>
      <c r="BY18" s="5"/>
      <c r="BZ18" s="5"/>
      <c r="CA18" s="5"/>
      <c r="CB18" s="5" t="n">
        <v>500</v>
      </c>
      <c r="CC18" s="5" t="n">
        <v>30.933</v>
      </c>
      <c r="CD18" s="5" t="n">
        <v>11</v>
      </c>
      <c r="CE18" s="5"/>
      <c r="CF18" s="5"/>
      <c r="CG18" s="5"/>
      <c r="CH18" s="5" t="n">
        <v>3.1</v>
      </c>
      <c r="CI18" s="5"/>
      <c r="CJ18" s="5"/>
      <c r="CK18" s="5"/>
      <c r="CL18" s="5" t="s">
        <v>3524</v>
      </c>
      <c r="CM18" s="5" t="s">
        <v>2040</v>
      </c>
      <c r="CN18" s="5" t="s">
        <v>3548</v>
      </c>
      <c r="CO18" s="5" t="s">
        <v>2042</v>
      </c>
      <c r="CP18" s="5" t="s">
        <v>3526</v>
      </c>
      <c r="CQ18" s="23" t="s">
        <v>3527</v>
      </c>
      <c r="CR18" s="5" t="s">
        <v>807</v>
      </c>
      <c r="CS18" s="5" t="s">
        <v>3528</v>
      </c>
    </row>
    <row r="19" customFormat="false" ht="15" hidden="false" customHeight="true" outlineLevel="0" collapsed="false">
      <c r="A19" s="5" t="n">
        <v>164</v>
      </c>
      <c r="B19" s="5" t="n">
        <v>164</v>
      </c>
      <c r="C19" s="5" t="s">
        <v>791</v>
      </c>
      <c r="D19" s="5" t="n">
        <v>2000</v>
      </c>
      <c r="E19" s="5" t="s">
        <v>792</v>
      </c>
      <c r="F19" s="5" t="s">
        <v>866</v>
      </c>
      <c r="G19" s="5" t="s">
        <v>2038</v>
      </c>
      <c r="H19" s="5" t="n">
        <v>30.933</v>
      </c>
      <c r="I19" s="5" t="n">
        <v>75.867</v>
      </c>
      <c r="J19" s="5" t="s">
        <v>870</v>
      </c>
      <c r="K19" s="5" t="s">
        <v>3549</v>
      </c>
      <c r="L19" s="5" t="s">
        <v>802</v>
      </c>
      <c r="M19" s="5" t="s">
        <v>85</v>
      </c>
      <c r="N19" s="5"/>
      <c r="O19" s="5" t="n">
        <v>4.15</v>
      </c>
      <c r="P19" s="5"/>
      <c r="Q19" s="5"/>
      <c r="R19" s="5"/>
      <c r="S19" s="5"/>
      <c r="T19" s="5" t="n">
        <v>4.21</v>
      </c>
      <c r="U19" s="5"/>
      <c r="V19" s="5"/>
      <c r="W19" s="5"/>
      <c r="X19" s="5"/>
      <c r="Y19" s="5"/>
      <c r="Z19" s="5"/>
      <c r="AA19" s="5"/>
      <c r="AB19" s="5"/>
      <c r="AC19" s="5"/>
      <c r="AD19" s="5"/>
      <c r="AE19" s="5"/>
      <c r="AF19" s="5"/>
      <c r="AG19" s="5"/>
      <c r="AH19" s="5"/>
      <c r="AI19" s="5"/>
      <c r="AJ19" s="5"/>
      <c r="AK19" s="5"/>
      <c r="AL19" s="5"/>
      <c r="AM19" s="5" t="n">
        <v>5.38</v>
      </c>
      <c r="AN19" s="5"/>
      <c r="AO19" s="5"/>
      <c r="AP19" s="5"/>
      <c r="AQ19" s="5"/>
      <c r="AR19" s="5" t="n">
        <v>4.59</v>
      </c>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t="n">
        <v>1</v>
      </c>
      <c r="BW19" s="5" t="n">
        <v>4</v>
      </c>
      <c r="BX19" s="5" t="n">
        <f aca="false">IF(AND(N(BV19)&gt;0,N(BW19)&gt;0),SQRT(2*BV19/BW19),"")</f>
        <v>0.707106781186548</v>
      </c>
      <c r="BY19" s="5"/>
      <c r="BZ19" s="5"/>
      <c r="CA19" s="5"/>
      <c r="CB19" s="5" t="n">
        <v>500</v>
      </c>
      <c r="CC19" s="5" t="n">
        <v>30.933</v>
      </c>
      <c r="CD19" s="5" t="n">
        <v>12</v>
      </c>
      <c r="CE19" s="5"/>
      <c r="CF19" s="5"/>
      <c r="CG19" s="5"/>
      <c r="CH19" s="5" t="n">
        <v>3.1</v>
      </c>
      <c r="CI19" s="5"/>
      <c r="CJ19" s="5"/>
      <c r="CK19" s="5"/>
      <c r="CL19" s="5" t="s">
        <v>3524</v>
      </c>
      <c r="CM19" s="5" t="s">
        <v>2040</v>
      </c>
      <c r="CN19" s="5" t="s">
        <v>3550</v>
      </c>
      <c r="CO19" s="5" t="s">
        <v>2042</v>
      </c>
      <c r="CP19" s="5" t="s">
        <v>3526</v>
      </c>
      <c r="CQ19" s="23" t="s">
        <v>3527</v>
      </c>
      <c r="CR19" s="5" t="s">
        <v>807</v>
      </c>
      <c r="CS19" s="5" t="s">
        <v>3528</v>
      </c>
    </row>
    <row r="20" customFormat="false" ht="15" hidden="false" customHeight="true" outlineLevel="0" collapsed="false">
      <c r="A20" s="5" t="n">
        <v>164</v>
      </c>
      <c r="B20" s="5" t="n">
        <v>164</v>
      </c>
      <c r="C20" s="5" t="s">
        <v>791</v>
      </c>
      <c r="D20" s="5" t="n">
        <v>2000</v>
      </c>
      <c r="E20" s="5" t="s">
        <v>792</v>
      </c>
      <c r="F20" s="5" t="s">
        <v>866</v>
      </c>
      <c r="G20" s="5" t="s">
        <v>2038</v>
      </c>
      <c r="H20" s="5" t="n">
        <v>30.933</v>
      </c>
      <c r="I20" s="5" t="n">
        <v>75.867</v>
      </c>
      <c r="J20" s="5" t="s">
        <v>870</v>
      </c>
      <c r="K20" s="5" t="s">
        <v>3551</v>
      </c>
      <c r="L20" s="5" t="s">
        <v>802</v>
      </c>
      <c r="M20" s="5" t="s">
        <v>85</v>
      </c>
      <c r="N20" s="5"/>
      <c r="O20" s="5" t="n">
        <v>4.23</v>
      </c>
      <c r="P20" s="5"/>
      <c r="Q20" s="5"/>
      <c r="R20" s="5"/>
      <c r="S20" s="5"/>
      <c r="T20" s="5" t="n">
        <v>3.7</v>
      </c>
      <c r="U20" s="5"/>
      <c r="V20" s="5"/>
      <c r="W20" s="5"/>
      <c r="X20" s="5"/>
      <c r="Y20" s="5"/>
      <c r="Z20" s="5"/>
      <c r="AA20" s="5"/>
      <c r="AB20" s="5"/>
      <c r="AC20" s="5"/>
      <c r="AD20" s="5"/>
      <c r="AE20" s="5"/>
      <c r="AF20" s="5"/>
      <c r="AG20" s="5"/>
      <c r="AH20" s="5"/>
      <c r="AI20" s="5"/>
      <c r="AJ20" s="5"/>
      <c r="AK20" s="5"/>
      <c r="AL20" s="5"/>
      <c r="AM20" s="5" t="n">
        <v>5.06</v>
      </c>
      <c r="AN20" s="5"/>
      <c r="AO20" s="5"/>
      <c r="AP20" s="5"/>
      <c r="AQ20" s="5"/>
      <c r="AR20" s="5" t="n">
        <v>4.46</v>
      </c>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t="n">
        <v>1</v>
      </c>
      <c r="BW20" s="5" t="n">
        <v>4</v>
      </c>
      <c r="BX20" s="5" t="n">
        <f aca="false">IF(AND(N(BV20)&gt;0,N(BW20)&gt;0),SQRT(2*BV20/BW20),"")</f>
        <v>0.707106781186548</v>
      </c>
      <c r="BY20" s="5"/>
      <c r="BZ20" s="5"/>
      <c r="CA20" s="5"/>
      <c r="CB20" s="5" t="n">
        <v>500</v>
      </c>
      <c r="CC20" s="5" t="n">
        <v>30.933</v>
      </c>
      <c r="CD20" s="5" t="n">
        <v>13</v>
      </c>
      <c r="CE20" s="5"/>
      <c r="CF20" s="5"/>
      <c r="CG20" s="5"/>
      <c r="CH20" s="5" t="n">
        <v>3.1</v>
      </c>
      <c r="CI20" s="5"/>
      <c r="CJ20" s="5"/>
      <c r="CK20" s="5"/>
      <c r="CL20" s="5" t="s">
        <v>3524</v>
      </c>
      <c r="CM20" s="5" t="s">
        <v>2040</v>
      </c>
      <c r="CN20" s="5" t="s">
        <v>3552</v>
      </c>
      <c r="CO20" s="5" t="s">
        <v>2042</v>
      </c>
      <c r="CP20" s="5" t="s">
        <v>3526</v>
      </c>
      <c r="CQ20" s="23" t="s">
        <v>3527</v>
      </c>
      <c r="CR20" s="5" t="s">
        <v>807</v>
      </c>
      <c r="CS20" s="5" t="s">
        <v>3528</v>
      </c>
    </row>
    <row r="21" customFormat="false" ht="15" hidden="false" customHeight="true" outlineLevel="0" collapsed="false">
      <c r="A21" s="5" t="n">
        <v>164</v>
      </c>
      <c r="B21" s="5" t="n">
        <v>164</v>
      </c>
      <c r="C21" s="5" t="s">
        <v>791</v>
      </c>
      <c r="D21" s="5" t="n">
        <v>2000</v>
      </c>
      <c r="E21" s="5" t="s">
        <v>792</v>
      </c>
      <c r="F21" s="5" t="s">
        <v>866</v>
      </c>
      <c r="G21" s="5" t="s">
        <v>2038</v>
      </c>
      <c r="H21" s="5" t="n">
        <v>30.933</v>
      </c>
      <c r="I21" s="5" t="n">
        <v>75.867</v>
      </c>
      <c r="J21" s="5" t="s">
        <v>870</v>
      </c>
      <c r="K21" s="5" t="s">
        <v>3553</v>
      </c>
      <c r="L21" s="5" t="s">
        <v>802</v>
      </c>
      <c r="M21" s="5" t="s">
        <v>85</v>
      </c>
      <c r="N21" s="5"/>
      <c r="O21" s="5" t="n">
        <v>4.46</v>
      </c>
      <c r="P21" s="5"/>
      <c r="Q21" s="5"/>
      <c r="R21" s="5"/>
      <c r="S21" s="5"/>
      <c r="T21" s="5" t="n">
        <v>4.25</v>
      </c>
      <c r="U21" s="5"/>
      <c r="V21" s="5"/>
      <c r="W21" s="5"/>
      <c r="X21" s="5"/>
      <c r="Y21" s="5"/>
      <c r="Z21" s="5"/>
      <c r="AA21" s="5"/>
      <c r="AB21" s="5"/>
      <c r="AC21" s="5"/>
      <c r="AD21" s="5"/>
      <c r="AE21" s="5"/>
      <c r="AF21" s="5"/>
      <c r="AG21" s="5"/>
      <c r="AH21" s="5"/>
      <c r="AI21" s="5"/>
      <c r="AJ21" s="5"/>
      <c r="AK21" s="5"/>
      <c r="AL21" s="5"/>
      <c r="AM21" s="5" t="n">
        <v>6.04</v>
      </c>
      <c r="AN21" s="5"/>
      <c r="AO21" s="5"/>
      <c r="AP21" s="5"/>
      <c r="AQ21" s="5"/>
      <c r="AR21" s="5" t="n">
        <v>4.43</v>
      </c>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t="n">
        <v>1</v>
      </c>
      <c r="BW21" s="5" t="n">
        <v>4</v>
      </c>
      <c r="BX21" s="5" t="n">
        <f aca="false">IF(AND(N(BV21)&gt;0,N(BW21)&gt;0),SQRT(2*BV21/BW21),"")</f>
        <v>0.707106781186548</v>
      </c>
      <c r="BY21" s="5"/>
      <c r="BZ21" s="5"/>
      <c r="CA21" s="5"/>
      <c r="CB21" s="5" t="n">
        <v>500</v>
      </c>
      <c r="CC21" s="5" t="n">
        <v>30.933</v>
      </c>
      <c r="CD21" s="5" t="n">
        <v>14</v>
      </c>
      <c r="CE21" s="5"/>
      <c r="CF21" s="5"/>
      <c r="CG21" s="5"/>
      <c r="CH21" s="5" t="n">
        <v>3.1</v>
      </c>
      <c r="CI21" s="5"/>
      <c r="CJ21" s="5"/>
      <c r="CK21" s="5"/>
      <c r="CL21" s="5" t="s">
        <v>3524</v>
      </c>
      <c r="CM21" s="5" t="s">
        <v>2040</v>
      </c>
      <c r="CN21" s="5" t="s">
        <v>3554</v>
      </c>
      <c r="CO21" s="5" t="s">
        <v>2042</v>
      </c>
      <c r="CP21" s="5" t="s">
        <v>3526</v>
      </c>
      <c r="CQ21" s="23" t="s">
        <v>3527</v>
      </c>
      <c r="CR21" s="5" t="s">
        <v>807</v>
      </c>
      <c r="CS21" s="5" t="s">
        <v>3528</v>
      </c>
    </row>
    <row r="22" customFormat="false" ht="15" hidden="false" customHeight="true" outlineLevel="0" collapsed="false">
      <c r="A22" s="5" t="n">
        <v>164</v>
      </c>
      <c r="B22" s="5" t="n">
        <v>164</v>
      </c>
      <c r="C22" s="5" t="s">
        <v>791</v>
      </c>
      <c r="D22" s="5" t="n">
        <v>2000</v>
      </c>
      <c r="E22" s="5" t="s">
        <v>792</v>
      </c>
      <c r="F22" s="5" t="s">
        <v>866</v>
      </c>
      <c r="G22" s="5" t="s">
        <v>2038</v>
      </c>
      <c r="H22" s="5" t="n">
        <v>30.933</v>
      </c>
      <c r="I22" s="5" t="n">
        <v>75.867</v>
      </c>
      <c r="J22" s="5" t="s">
        <v>870</v>
      </c>
      <c r="K22" s="5" t="s">
        <v>2039</v>
      </c>
      <c r="L22" s="5" t="s">
        <v>802</v>
      </c>
      <c r="M22" s="5" t="s">
        <v>85</v>
      </c>
      <c r="N22" s="5"/>
      <c r="O22" s="5" t="n">
        <v>2.95</v>
      </c>
      <c r="P22" s="5"/>
      <c r="Q22" s="5"/>
      <c r="R22" s="5"/>
      <c r="S22" s="5"/>
      <c r="T22" s="5" t="n">
        <v>2.61</v>
      </c>
      <c r="U22" s="5"/>
      <c r="V22" s="5"/>
      <c r="W22" s="5"/>
      <c r="X22" s="5"/>
      <c r="Y22" s="5"/>
      <c r="Z22" s="5"/>
      <c r="AA22" s="5"/>
      <c r="AB22" s="5"/>
      <c r="AC22" s="5"/>
      <c r="AD22" s="5"/>
      <c r="AE22" s="5"/>
      <c r="AF22" s="5"/>
      <c r="AG22" s="5"/>
      <c r="AH22" s="5"/>
      <c r="AI22" s="5"/>
      <c r="AJ22" s="5"/>
      <c r="AK22" s="5"/>
      <c r="AL22" s="5"/>
      <c r="AM22" s="5" t="n">
        <v>5.76</v>
      </c>
      <c r="AN22" s="5"/>
      <c r="AO22" s="5"/>
      <c r="AP22" s="5"/>
      <c r="AQ22" s="5"/>
      <c r="AR22" s="5" t="n">
        <v>4.63</v>
      </c>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t="n">
        <v>1</v>
      </c>
      <c r="BW22" s="5" t="n">
        <v>4</v>
      </c>
      <c r="BX22" s="5" t="n">
        <f aca="false">IF(AND(N(BV22)&gt;0,N(BW22)&gt;0),SQRT(2*BV22/BW22),"")</f>
        <v>0.707106781186548</v>
      </c>
      <c r="BY22" s="5"/>
      <c r="BZ22" s="5"/>
      <c r="CA22" s="5"/>
      <c r="CB22" s="5" t="n">
        <v>500</v>
      </c>
      <c r="CC22" s="5" t="n">
        <v>30.933</v>
      </c>
      <c r="CD22" s="5" t="n">
        <v>15</v>
      </c>
      <c r="CE22" s="5"/>
      <c r="CF22" s="5"/>
      <c r="CG22" s="5"/>
      <c r="CH22" s="5" t="n">
        <v>3.1</v>
      </c>
      <c r="CI22" s="5"/>
      <c r="CJ22" s="5"/>
      <c r="CK22" s="5"/>
      <c r="CL22" s="5" t="s">
        <v>3524</v>
      </c>
      <c r="CM22" s="5" t="s">
        <v>2040</v>
      </c>
      <c r="CN22" s="5" t="s">
        <v>3555</v>
      </c>
      <c r="CO22" s="5" t="s">
        <v>2042</v>
      </c>
      <c r="CP22" s="5" t="s">
        <v>3526</v>
      </c>
      <c r="CQ22" s="23" t="s">
        <v>3527</v>
      </c>
      <c r="CR22" s="5" t="s">
        <v>807</v>
      </c>
      <c r="CS22" s="5" t="s">
        <v>3528</v>
      </c>
    </row>
    <row r="23" customFormat="false" ht="15" hidden="false" customHeight="true" outlineLevel="0" collapsed="false">
      <c r="A23" s="5" t="n">
        <v>164</v>
      </c>
      <c r="B23" s="5" t="n">
        <v>164</v>
      </c>
      <c r="C23" s="5" t="s">
        <v>791</v>
      </c>
      <c r="D23" s="5" t="n">
        <v>2000</v>
      </c>
      <c r="E23" s="5" t="s">
        <v>792</v>
      </c>
      <c r="F23" s="5" t="s">
        <v>1415</v>
      </c>
      <c r="G23" s="5" t="s">
        <v>2046</v>
      </c>
      <c r="H23" s="5" t="n">
        <v>29</v>
      </c>
      <c r="I23" s="5" t="n">
        <v>79.083</v>
      </c>
      <c r="J23" s="5" t="s">
        <v>83</v>
      </c>
      <c r="K23" s="5" t="s">
        <v>3523</v>
      </c>
      <c r="L23" s="5" t="s">
        <v>821</v>
      </c>
      <c r="M23" s="5" t="s">
        <v>85</v>
      </c>
      <c r="N23" s="5"/>
      <c r="O23" s="5" t="n">
        <v>3.91</v>
      </c>
      <c r="P23" s="5"/>
      <c r="Q23" s="5"/>
      <c r="R23" s="5"/>
      <c r="S23" s="5"/>
      <c r="T23" s="5" t="n">
        <v>3.75</v>
      </c>
      <c r="U23" s="5"/>
      <c r="V23" s="5"/>
      <c r="W23" s="5"/>
      <c r="X23" s="5"/>
      <c r="Y23" s="5"/>
      <c r="Z23" s="5"/>
      <c r="AA23" s="5"/>
      <c r="AB23" s="5"/>
      <c r="AC23" s="5"/>
      <c r="AD23" s="5"/>
      <c r="AE23" s="5"/>
      <c r="AF23" s="5"/>
      <c r="AG23" s="5"/>
      <c r="AH23" s="5"/>
      <c r="AI23" s="5"/>
      <c r="AJ23" s="5"/>
      <c r="AK23" s="5"/>
      <c r="AL23" s="5"/>
      <c r="AM23" s="5" t="n">
        <v>3.39</v>
      </c>
      <c r="AN23" s="5"/>
      <c r="AO23" s="5"/>
      <c r="AP23" s="5"/>
      <c r="AQ23" s="5"/>
      <c r="AR23" s="5" t="n">
        <v>2.3</v>
      </c>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t="n">
        <v>1</v>
      </c>
      <c r="BW23" s="5" t="n">
        <v>4</v>
      </c>
      <c r="BX23" s="5" t="n">
        <f aca="false">IF(AND(N(BV23)&gt;0,N(BW23)&gt;0),SQRT(2*BV23/BW23),"")</f>
        <v>0.707106781186548</v>
      </c>
      <c r="BY23" s="5"/>
      <c r="BZ23" s="5"/>
      <c r="CA23" s="5"/>
      <c r="CB23" s="5" t="n">
        <v>1350</v>
      </c>
      <c r="CC23" s="5" t="n">
        <v>29</v>
      </c>
      <c r="CD23" s="5" t="n">
        <v>1</v>
      </c>
      <c r="CE23" s="5"/>
      <c r="CF23" s="5"/>
      <c r="CG23" s="5"/>
      <c r="CH23" s="5" t="n">
        <v>14.2</v>
      </c>
      <c r="CI23" s="5"/>
      <c r="CJ23" s="5"/>
      <c r="CK23" s="5"/>
      <c r="CL23" s="5" t="s">
        <v>3524</v>
      </c>
      <c r="CM23" s="5" t="s">
        <v>2040</v>
      </c>
      <c r="CN23" s="5" t="s">
        <v>3525</v>
      </c>
      <c r="CO23" s="5" t="s">
        <v>2047</v>
      </c>
      <c r="CP23" s="5" t="s">
        <v>3556</v>
      </c>
      <c r="CQ23" s="23" t="s">
        <v>3557</v>
      </c>
      <c r="CR23" s="5" t="s">
        <v>807</v>
      </c>
      <c r="CS23" s="5" t="s">
        <v>3528</v>
      </c>
    </row>
    <row r="24" customFormat="false" ht="15" hidden="false" customHeight="true" outlineLevel="0" collapsed="false">
      <c r="A24" s="5" t="n">
        <v>164</v>
      </c>
      <c r="B24" s="5" t="n">
        <v>164</v>
      </c>
      <c r="C24" s="5" t="s">
        <v>791</v>
      </c>
      <c r="D24" s="5" t="n">
        <v>2000</v>
      </c>
      <c r="E24" s="5" t="s">
        <v>792</v>
      </c>
      <c r="F24" s="5" t="s">
        <v>1415</v>
      </c>
      <c r="G24" s="5" t="s">
        <v>2046</v>
      </c>
      <c r="H24" s="5" t="n">
        <v>29</v>
      </c>
      <c r="I24" s="5" t="n">
        <v>79.083</v>
      </c>
      <c r="J24" s="5" t="s">
        <v>83</v>
      </c>
      <c r="K24" s="5" t="s">
        <v>3529</v>
      </c>
      <c r="L24" s="5" t="s">
        <v>821</v>
      </c>
      <c r="M24" s="5" t="s">
        <v>85</v>
      </c>
      <c r="N24" s="5"/>
      <c r="O24" s="5" t="n">
        <v>4.68</v>
      </c>
      <c r="P24" s="5"/>
      <c r="Q24" s="5"/>
      <c r="R24" s="5"/>
      <c r="S24" s="5"/>
      <c r="T24" s="5" t="n">
        <v>3.88</v>
      </c>
      <c r="U24" s="5"/>
      <c r="V24" s="5"/>
      <c r="W24" s="5"/>
      <c r="X24" s="5"/>
      <c r="Y24" s="5"/>
      <c r="Z24" s="5"/>
      <c r="AA24" s="5"/>
      <c r="AB24" s="5"/>
      <c r="AC24" s="5"/>
      <c r="AD24" s="5"/>
      <c r="AE24" s="5"/>
      <c r="AF24" s="5"/>
      <c r="AG24" s="5"/>
      <c r="AH24" s="5"/>
      <c r="AI24" s="5"/>
      <c r="AJ24" s="5"/>
      <c r="AK24" s="5"/>
      <c r="AL24" s="5"/>
      <c r="AM24" s="5" t="n">
        <v>5.2</v>
      </c>
      <c r="AN24" s="5"/>
      <c r="AO24" s="5"/>
      <c r="AP24" s="5"/>
      <c r="AQ24" s="5"/>
      <c r="AR24" s="5" t="n">
        <v>4.96</v>
      </c>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t="n">
        <v>1</v>
      </c>
      <c r="BW24" s="5" t="n">
        <v>4</v>
      </c>
      <c r="BX24" s="5" t="n">
        <f aca="false">IF(AND(N(BV24)&gt;0,N(BW24)&gt;0),SQRT(2*BV24/BW24),"")</f>
        <v>0.707106781186548</v>
      </c>
      <c r="BY24" s="5"/>
      <c r="BZ24" s="5"/>
      <c r="CA24" s="5"/>
      <c r="CB24" s="5" t="n">
        <v>1350</v>
      </c>
      <c r="CC24" s="5" t="n">
        <v>29</v>
      </c>
      <c r="CD24" s="5" t="n">
        <v>2</v>
      </c>
      <c r="CE24" s="5"/>
      <c r="CF24" s="5"/>
      <c r="CG24" s="5"/>
      <c r="CH24" s="5" t="n">
        <v>14.2</v>
      </c>
      <c r="CI24" s="5"/>
      <c r="CJ24" s="5"/>
      <c r="CK24" s="5"/>
      <c r="CL24" s="5" t="s">
        <v>3524</v>
      </c>
      <c r="CM24" s="5" t="s">
        <v>2040</v>
      </c>
      <c r="CN24" s="5" t="s">
        <v>3530</v>
      </c>
      <c r="CO24" s="5" t="s">
        <v>2047</v>
      </c>
      <c r="CP24" s="5" t="s">
        <v>3556</v>
      </c>
      <c r="CQ24" s="23" t="s">
        <v>3557</v>
      </c>
      <c r="CR24" s="5" t="s">
        <v>807</v>
      </c>
      <c r="CS24" s="5" t="s">
        <v>3528</v>
      </c>
    </row>
    <row r="25" customFormat="false" ht="15" hidden="false" customHeight="true" outlineLevel="0" collapsed="false">
      <c r="A25" s="5" t="n">
        <v>164</v>
      </c>
      <c r="B25" s="5" t="n">
        <v>164</v>
      </c>
      <c r="C25" s="5" t="s">
        <v>791</v>
      </c>
      <c r="D25" s="5" t="n">
        <v>2000</v>
      </c>
      <c r="E25" s="5" t="s">
        <v>792</v>
      </c>
      <c r="F25" s="5" t="s">
        <v>1415</v>
      </c>
      <c r="G25" s="5" t="s">
        <v>2046</v>
      </c>
      <c r="H25" s="5" t="n">
        <v>29</v>
      </c>
      <c r="I25" s="5" t="n">
        <v>79.083</v>
      </c>
      <c r="J25" s="5" t="s">
        <v>83</v>
      </c>
      <c r="K25" s="5" t="s">
        <v>3531</v>
      </c>
      <c r="L25" s="5" t="s">
        <v>821</v>
      </c>
      <c r="M25" s="5" t="s">
        <v>85</v>
      </c>
      <c r="N25" s="5"/>
      <c r="O25" s="5" t="n">
        <v>5.04</v>
      </c>
      <c r="P25" s="5"/>
      <c r="Q25" s="5"/>
      <c r="R25" s="5"/>
      <c r="S25" s="5"/>
      <c r="T25" s="5" t="n">
        <v>5.05</v>
      </c>
      <c r="U25" s="5"/>
      <c r="V25" s="5"/>
      <c r="W25" s="5"/>
      <c r="X25" s="5"/>
      <c r="Y25" s="5"/>
      <c r="Z25" s="5"/>
      <c r="AA25" s="5"/>
      <c r="AB25" s="5"/>
      <c r="AC25" s="5"/>
      <c r="AD25" s="5"/>
      <c r="AE25" s="5"/>
      <c r="AF25" s="5"/>
      <c r="AG25" s="5"/>
      <c r="AH25" s="5"/>
      <c r="AI25" s="5"/>
      <c r="AJ25" s="5"/>
      <c r="AK25" s="5"/>
      <c r="AL25" s="5"/>
      <c r="AM25" s="5" t="n">
        <v>5.27</v>
      </c>
      <c r="AN25" s="5"/>
      <c r="AO25" s="5"/>
      <c r="AP25" s="5"/>
      <c r="AQ25" s="5"/>
      <c r="AR25" s="5" t="n">
        <v>4.88</v>
      </c>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t="n">
        <v>1</v>
      </c>
      <c r="BW25" s="5" t="n">
        <v>4</v>
      </c>
      <c r="BX25" s="5" t="n">
        <f aca="false">IF(AND(N(BV25)&gt;0,N(BW25)&gt;0),SQRT(2*BV25/BW25),"")</f>
        <v>0.707106781186548</v>
      </c>
      <c r="BY25" s="5"/>
      <c r="BZ25" s="5"/>
      <c r="CA25" s="5"/>
      <c r="CB25" s="5" t="n">
        <v>1350</v>
      </c>
      <c r="CC25" s="5" t="n">
        <v>29</v>
      </c>
      <c r="CD25" s="5" t="n">
        <v>3</v>
      </c>
      <c r="CE25" s="5"/>
      <c r="CF25" s="5"/>
      <c r="CG25" s="5"/>
      <c r="CH25" s="5" t="n">
        <v>14.2</v>
      </c>
      <c r="CI25" s="5"/>
      <c r="CJ25" s="5"/>
      <c r="CK25" s="5"/>
      <c r="CL25" s="5" t="s">
        <v>3524</v>
      </c>
      <c r="CM25" s="5" t="s">
        <v>2040</v>
      </c>
      <c r="CN25" s="5" t="s">
        <v>3532</v>
      </c>
      <c r="CO25" s="5" t="s">
        <v>2047</v>
      </c>
      <c r="CP25" s="5" t="s">
        <v>3556</v>
      </c>
      <c r="CQ25" s="23" t="s">
        <v>3557</v>
      </c>
      <c r="CR25" s="5" t="s">
        <v>807</v>
      </c>
      <c r="CS25" s="5" t="s">
        <v>3528</v>
      </c>
    </row>
    <row r="26" customFormat="false" ht="15" hidden="false" customHeight="true" outlineLevel="0" collapsed="false">
      <c r="A26" s="5" t="n">
        <v>164</v>
      </c>
      <c r="B26" s="5" t="n">
        <v>164</v>
      </c>
      <c r="C26" s="5" t="s">
        <v>791</v>
      </c>
      <c r="D26" s="5" t="n">
        <v>2000</v>
      </c>
      <c r="E26" s="5" t="s">
        <v>792</v>
      </c>
      <c r="F26" s="5" t="s">
        <v>1415</v>
      </c>
      <c r="G26" s="5" t="s">
        <v>2046</v>
      </c>
      <c r="H26" s="5" t="n">
        <v>29</v>
      </c>
      <c r="I26" s="5" t="n">
        <v>79.083</v>
      </c>
      <c r="J26" s="5" t="s">
        <v>83</v>
      </c>
      <c r="K26" s="5" t="s">
        <v>3533</v>
      </c>
      <c r="L26" s="5" t="s">
        <v>84</v>
      </c>
      <c r="M26" s="5" t="s">
        <v>85</v>
      </c>
      <c r="N26" s="5"/>
      <c r="O26" s="5" t="n">
        <v>4.23</v>
      </c>
      <c r="P26" s="5"/>
      <c r="Q26" s="5"/>
      <c r="R26" s="5"/>
      <c r="S26" s="5"/>
      <c r="T26" s="5" t="n">
        <v>3.93</v>
      </c>
      <c r="U26" s="5"/>
      <c r="V26" s="5"/>
      <c r="W26" s="5"/>
      <c r="X26" s="5"/>
      <c r="Y26" s="5"/>
      <c r="Z26" s="5"/>
      <c r="AA26" s="5"/>
      <c r="AB26" s="5"/>
      <c r="AC26" s="5"/>
      <c r="AD26" s="5"/>
      <c r="AE26" s="5"/>
      <c r="AF26" s="5"/>
      <c r="AG26" s="5"/>
      <c r="AH26" s="5"/>
      <c r="AI26" s="5"/>
      <c r="AJ26" s="5"/>
      <c r="AK26" s="5"/>
      <c r="AL26" s="5"/>
      <c r="AM26" s="5" t="n">
        <v>5.07</v>
      </c>
      <c r="AN26" s="5"/>
      <c r="AO26" s="5"/>
      <c r="AP26" s="5"/>
      <c r="AQ26" s="5"/>
      <c r="AR26" s="5" t="n">
        <v>4.6</v>
      </c>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t="n">
        <v>1</v>
      </c>
      <c r="BW26" s="5" t="n">
        <v>4</v>
      </c>
      <c r="BX26" s="5" t="n">
        <f aca="false">IF(AND(N(BV26)&gt;0,N(BW26)&gt;0),SQRT(2*BV26/BW26),"")</f>
        <v>0.707106781186548</v>
      </c>
      <c r="BY26" s="5"/>
      <c r="BZ26" s="5"/>
      <c r="CA26" s="5"/>
      <c r="CB26" s="5" t="n">
        <v>1350</v>
      </c>
      <c r="CC26" s="5" t="n">
        <v>29</v>
      </c>
      <c r="CD26" s="5" t="n">
        <v>4</v>
      </c>
      <c r="CE26" s="5"/>
      <c r="CF26" s="5"/>
      <c r="CG26" s="5"/>
      <c r="CH26" s="5" t="n">
        <v>14.2</v>
      </c>
      <c r="CI26" s="5"/>
      <c r="CJ26" s="5"/>
      <c r="CK26" s="5"/>
      <c r="CL26" s="5" t="s">
        <v>3524</v>
      </c>
      <c r="CM26" s="5" t="s">
        <v>2040</v>
      </c>
      <c r="CN26" s="5" t="s">
        <v>3534</v>
      </c>
      <c r="CO26" s="5" t="s">
        <v>2047</v>
      </c>
      <c r="CP26" s="5" t="s">
        <v>3556</v>
      </c>
      <c r="CQ26" s="23" t="s">
        <v>3557</v>
      </c>
      <c r="CR26" s="5" t="s">
        <v>807</v>
      </c>
      <c r="CS26" s="5" t="s">
        <v>3528</v>
      </c>
    </row>
    <row r="27" customFormat="false" ht="15" hidden="false" customHeight="true" outlineLevel="0" collapsed="false">
      <c r="A27" s="5" t="n">
        <v>164</v>
      </c>
      <c r="B27" s="5" t="n">
        <v>164</v>
      </c>
      <c r="C27" s="5" t="s">
        <v>791</v>
      </c>
      <c r="D27" s="5" t="n">
        <v>2000</v>
      </c>
      <c r="E27" s="5" t="s">
        <v>792</v>
      </c>
      <c r="F27" s="5" t="s">
        <v>1415</v>
      </c>
      <c r="G27" s="5" t="s">
        <v>2046</v>
      </c>
      <c r="H27" s="5" t="n">
        <v>29</v>
      </c>
      <c r="I27" s="5" t="n">
        <v>79.083</v>
      </c>
      <c r="J27" s="5" t="s">
        <v>83</v>
      </c>
      <c r="K27" s="5" t="s">
        <v>3535</v>
      </c>
      <c r="L27" s="5" t="s">
        <v>84</v>
      </c>
      <c r="M27" s="5" t="s">
        <v>85</v>
      </c>
      <c r="N27" s="5"/>
      <c r="O27" s="5" t="n">
        <v>3.36</v>
      </c>
      <c r="P27" s="5"/>
      <c r="Q27" s="5"/>
      <c r="R27" s="5"/>
      <c r="S27" s="5"/>
      <c r="T27" s="5" t="n">
        <v>3.25</v>
      </c>
      <c r="U27" s="5"/>
      <c r="V27" s="5"/>
      <c r="W27" s="5"/>
      <c r="X27" s="5"/>
      <c r="Y27" s="5"/>
      <c r="Z27" s="5"/>
      <c r="AA27" s="5"/>
      <c r="AB27" s="5"/>
      <c r="AC27" s="5"/>
      <c r="AD27" s="5"/>
      <c r="AE27" s="5"/>
      <c r="AF27" s="5"/>
      <c r="AG27" s="5"/>
      <c r="AH27" s="5"/>
      <c r="AI27" s="5"/>
      <c r="AJ27" s="5"/>
      <c r="AK27" s="5"/>
      <c r="AL27" s="5"/>
      <c r="AM27" s="5" t="n">
        <v>4.39</v>
      </c>
      <c r="AN27" s="5"/>
      <c r="AO27" s="5"/>
      <c r="AP27" s="5"/>
      <c r="AQ27" s="5"/>
      <c r="AR27" s="5" t="n">
        <v>4.04</v>
      </c>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t="n">
        <v>1</v>
      </c>
      <c r="BW27" s="5" t="n">
        <v>4</v>
      </c>
      <c r="BX27" s="5" t="n">
        <f aca="false">IF(AND(N(BV27)&gt;0,N(BW27)&gt;0),SQRT(2*BV27/BW27),"")</f>
        <v>0.707106781186548</v>
      </c>
      <c r="BY27" s="5"/>
      <c r="BZ27" s="5"/>
      <c r="CA27" s="5"/>
      <c r="CB27" s="5" t="n">
        <v>1350</v>
      </c>
      <c r="CC27" s="5" t="n">
        <v>29</v>
      </c>
      <c r="CD27" s="5" t="n">
        <v>5</v>
      </c>
      <c r="CE27" s="5"/>
      <c r="CF27" s="5"/>
      <c r="CG27" s="5"/>
      <c r="CH27" s="5" t="n">
        <v>14.2</v>
      </c>
      <c r="CI27" s="5"/>
      <c r="CJ27" s="5"/>
      <c r="CK27" s="5"/>
      <c r="CL27" s="5" t="s">
        <v>3524</v>
      </c>
      <c r="CM27" s="5" t="s">
        <v>2040</v>
      </c>
      <c r="CN27" s="5" t="s">
        <v>3536</v>
      </c>
      <c r="CO27" s="5" t="s">
        <v>2047</v>
      </c>
      <c r="CP27" s="5" t="s">
        <v>3556</v>
      </c>
      <c r="CQ27" s="23" t="s">
        <v>3557</v>
      </c>
      <c r="CR27" s="5" t="s">
        <v>807</v>
      </c>
      <c r="CS27" s="5" t="s">
        <v>3528</v>
      </c>
    </row>
    <row r="28" customFormat="false" ht="15" hidden="false" customHeight="true" outlineLevel="0" collapsed="false">
      <c r="A28" s="5" t="n">
        <v>164</v>
      </c>
      <c r="B28" s="5" t="n">
        <v>164</v>
      </c>
      <c r="C28" s="5" t="s">
        <v>791</v>
      </c>
      <c r="D28" s="5" t="n">
        <v>2000</v>
      </c>
      <c r="E28" s="5" t="s">
        <v>792</v>
      </c>
      <c r="F28" s="5" t="s">
        <v>1415</v>
      </c>
      <c r="G28" s="5" t="s">
        <v>2046</v>
      </c>
      <c r="H28" s="5" t="n">
        <v>29</v>
      </c>
      <c r="I28" s="5" t="n">
        <v>79.083</v>
      </c>
      <c r="J28" s="5" t="s">
        <v>83</v>
      </c>
      <c r="K28" s="5" t="s">
        <v>3537</v>
      </c>
      <c r="L28" s="5" t="s">
        <v>84</v>
      </c>
      <c r="M28" s="5" t="s">
        <v>85</v>
      </c>
      <c r="N28" s="5"/>
      <c r="O28" s="5" t="n">
        <v>5.43</v>
      </c>
      <c r="P28" s="5"/>
      <c r="Q28" s="5"/>
      <c r="R28" s="5"/>
      <c r="S28" s="5"/>
      <c r="T28" s="5" t="n">
        <v>4.27</v>
      </c>
      <c r="U28" s="5"/>
      <c r="V28" s="5"/>
      <c r="W28" s="5"/>
      <c r="X28" s="5"/>
      <c r="Y28" s="5"/>
      <c r="Z28" s="5"/>
      <c r="AA28" s="5"/>
      <c r="AB28" s="5"/>
      <c r="AC28" s="5"/>
      <c r="AD28" s="5"/>
      <c r="AE28" s="5"/>
      <c r="AF28" s="5"/>
      <c r="AG28" s="5"/>
      <c r="AH28" s="5"/>
      <c r="AI28" s="5"/>
      <c r="AJ28" s="5"/>
      <c r="AK28" s="5"/>
      <c r="AL28" s="5"/>
      <c r="AM28" s="5" t="n">
        <v>5.13</v>
      </c>
      <c r="AN28" s="5"/>
      <c r="AO28" s="5"/>
      <c r="AP28" s="5"/>
      <c r="AQ28" s="5"/>
      <c r="AR28" s="5" t="n">
        <v>4.25</v>
      </c>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t="n">
        <v>1</v>
      </c>
      <c r="BW28" s="5" t="n">
        <v>4</v>
      </c>
      <c r="BX28" s="5" t="n">
        <f aca="false">IF(AND(N(BV28)&gt;0,N(BW28)&gt;0),SQRT(2*BV28/BW28),"")</f>
        <v>0.707106781186548</v>
      </c>
      <c r="BY28" s="5"/>
      <c r="BZ28" s="5"/>
      <c r="CA28" s="5"/>
      <c r="CB28" s="5" t="n">
        <v>1350</v>
      </c>
      <c r="CC28" s="5" t="n">
        <v>29</v>
      </c>
      <c r="CD28" s="5" t="n">
        <v>6</v>
      </c>
      <c r="CE28" s="5"/>
      <c r="CF28" s="5"/>
      <c r="CG28" s="5"/>
      <c r="CH28" s="5" t="n">
        <v>14.2</v>
      </c>
      <c r="CI28" s="5"/>
      <c r="CJ28" s="5"/>
      <c r="CK28" s="5"/>
      <c r="CL28" s="5" t="s">
        <v>3524</v>
      </c>
      <c r="CM28" s="5" t="s">
        <v>2040</v>
      </c>
      <c r="CN28" s="5" t="s">
        <v>3538</v>
      </c>
      <c r="CO28" s="5" t="s">
        <v>2047</v>
      </c>
      <c r="CP28" s="5" t="s">
        <v>3556</v>
      </c>
      <c r="CQ28" s="23" t="s">
        <v>3557</v>
      </c>
      <c r="CR28" s="5" t="s">
        <v>807</v>
      </c>
      <c r="CS28" s="5" t="s">
        <v>3528</v>
      </c>
    </row>
    <row r="29" customFormat="false" ht="15" hidden="false" customHeight="true" outlineLevel="0" collapsed="false">
      <c r="A29" s="5" t="n">
        <v>164</v>
      </c>
      <c r="B29" s="5" t="n">
        <v>164</v>
      </c>
      <c r="C29" s="5" t="s">
        <v>791</v>
      </c>
      <c r="D29" s="5" t="n">
        <v>2000</v>
      </c>
      <c r="E29" s="5" t="s">
        <v>792</v>
      </c>
      <c r="F29" s="5" t="s">
        <v>1415</v>
      </c>
      <c r="G29" s="5" t="s">
        <v>2046</v>
      </c>
      <c r="H29" s="5" t="n">
        <v>29</v>
      </c>
      <c r="I29" s="5" t="n">
        <v>79.083</v>
      </c>
      <c r="J29" s="5" t="s">
        <v>83</v>
      </c>
      <c r="K29" s="5" t="s">
        <v>3539</v>
      </c>
      <c r="L29" s="5" t="s">
        <v>84</v>
      </c>
      <c r="M29" s="5" t="s">
        <v>85</v>
      </c>
      <c r="N29" s="5"/>
      <c r="O29" s="5" t="n">
        <v>3.73</v>
      </c>
      <c r="P29" s="5"/>
      <c r="Q29" s="5"/>
      <c r="R29" s="5"/>
      <c r="S29" s="5"/>
      <c r="T29" s="5" t="n">
        <v>3.49</v>
      </c>
      <c r="U29" s="5"/>
      <c r="V29" s="5"/>
      <c r="W29" s="5"/>
      <c r="X29" s="5"/>
      <c r="Y29" s="5"/>
      <c r="Z29" s="5"/>
      <c r="AA29" s="5"/>
      <c r="AB29" s="5"/>
      <c r="AC29" s="5"/>
      <c r="AD29" s="5"/>
      <c r="AE29" s="5"/>
      <c r="AF29" s="5"/>
      <c r="AG29" s="5"/>
      <c r="AH29" s="5"/>
      <c r="AI29" s="5"/>
      <c r="AJ29" s="5"/>
      <c r="AK29" s="5"/>
      <c r="AL29" s="5"/>
      <c r="AM29" s="5" t="n">
        <v>4.72</v>
      </c>
      <c r="AN29" s="5"/>
      <c r="AO29" s="5"/>
      <c r="AP29" s="5"/>
      <c r="AQ29" s="5"/>
      <c r="AR29" s="5" t="n">
        <v>4.3</v>
      </c>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t="n">
        <v>1</v>
      </c>
      <c r="BW29" s="5" t="n">
        <v>4</v>
      </c>
      <c r="BX29" s="5" t="n">
        <f aca="false">IF(AND(N(BV29)&gt;0,N(BW29)&gt;0),SQRT(2*BV29/BW29),"")</f>
        <v>0.707106781186548</v>
      </c>
      <c r="BY29" s="5"/>
      <c r="BZ29" s="5"/>
      <c r="CA29" s="5"/>
      <c r="CB29" s="5" t="n">
        <v>1350</v>
      </c>
      <c r="CC29" s="5" t="n">
        <v>29</v>
      </c>
      <c r="CD29" s="5" t="n">
        <v>7</v>
      </c>
      <c r="CE29" s="5"/>
      <c r="CF29" s="5"/>
      <c r="CG29" s="5"/>
      <c r="CH29" s="5" t="n">
        <v>14.2</v>
      </c>
      <c r="CI29" s="5"/>
      <c r="CJ29" s="5"/>
      <c r="CK29" s="5"/>
      <c r="CL29" s="5" t="s">
        <v>3524</v>
      </c>
      <c r="CM29" s="5" t="s">
        <v>2040</v>
      </c>
      <c r="CN29" s="5" t="s">
        <v>3540</v>
      </c>
      <c r="CO29" s="5" t="s">
        <v>2047</v>
      </c>
      <c r="CP29" s="5" t="s">
        <v>3556</v>
      </c>
      <c r="CQ29" s="23" t="s">
        <v>3557</v>
      </c>
      <c r="CR29" s="5" t="s">
        <v>807</v>
      </c>
      <c r="CS29" s="5" t="s">
        <v>3528</v>
      </c>
    </row>
    <row r="30" customFormat="false" ht="15" hidden="false" customHeight="true" outlineLevel="0" collapsed="false">
      <c r="A30" s="5" t="n">
        <v>164</v>
      </c>
      <c r="B30" s="5" t="n">
        <v>164</v>
      </c>
      <c r="C30" s="5" t="s">
        <v>791</v>
      </c>
      <c r="D30" s="5" t="n">
        <v>2000</v>
      </c>
      <c r="E30" s="5" t="s">
        <v>792</v>
      </c>
      <c r="F30" s="5" t="s">
        <v>1415</v>
      </c>
      <c r="G30" s="5" t="s">
        <v>2046</v>
      </c>
      <c r="H30" s="5" t="n">
        <v>29</v>
      </c>
      <c r="I30" s="5" t="n">
        <v>79.083</v>
      </c>
      <c r="J30" s="5" t="s">
        <v>83</v>
      </c>
      <c r="K30" s="5" t="s">
        <v>3541</v>
      </c>
      <c r="L30" s="5" t="s">
        <v>84</v>
      </c>
      <c r="M30" s="5" t="s">
        <v>85</v>
      </c>
      <c r="N30" s="5"/>
      <c r="O30" s="5" t="n">
        <v>2.96</v>
      </c>
      <c r="P30" s="5"/>
      <c r="Q30" s="5"/>
      <c r="R30" s="5"/>
      <c r="S30" s="5"/>
      <c r="T30" s="5" t="n">
        <v>2.68</v>
      </c>
      <c r="U30" s="5"/>
      <c r="V30" s="5"/>
      <c r="W30" s="5"/>
      <c r="X30" s="5"/>
      <c r="Y30" s="5"/>
      <c r="Z30" s="5"/>
      <c r="AA30" s="5"/>
      <c r="AB30" s="5"/>
      <c r="AC30" s="5"/>
      <c r="AD30" s="5"/>
      <c r="AE30" s="5"/>
      <c r="AF30" s="5"/>
      <c r="AG30" s="5"/>
      <c r="AH30" s="5"/>
      <c r="AI30" s="5"/>
      <c r="AJ30" s="5"/>
      <c r="AK30" s="5"/>
      <c r="AL30" s="5"/>
      <c r="AM30" s="5" t="n">
        <v>3.95</v>
      </c>
      <c r="AN30" s="5"/>
      <c r="AO30" s="5"/>
      <c r="AP30" s="5"/>
      <c r="AQ30" s="5"/>
      <c r="AR30" s="5" t="n">
        <v>2.87</v>
      </c>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t="n">
        <v>1</v>
      </c>
      <c r="BW30" s="5" t="n">
        <v>4</v>
      </c>
      <c r="BX30" s="5" t="n">
        <f aca="false">IF(AND(N(BV30)&gt;0,N(BW30)&gt;0),SQRT(2*BV30/BW30),"")</f>
        <v>0.707106781186548</v>
      </c>
      <c r="BY30" s="5"/>
      <c r="BZ30" s="5"/>
      <c r="CA30" s="5"/>
      <c r="CB30" s="5" t="n">
        <v>1350</v>
      </c>
      <c r="CC30" s="5" t="n">
        <v>29</v>
      </c>
      <c r="CD30" s="5" t="n">
        <v>8</v>
      </c>
      <c r="CE30" s="5"/>
      <c r="CF30" s="5"/>
      <c r="CG30" s="5"/>
      <c r="CH30" s="5" t="n">
        <v>14.2</v>
      </c>
      <c r="CI30" s="5"/>
      <c r="CJ30" s="5"/>
      <c r="CK30" s="5"/>
      <c r="CL30" s="5" t="s">
        <v>3524</v>
      </c>
      <c r="CM30" s="5" t="s">
        <v>2040</v>
      </c>
      <c r="CN30" s="5" t="s">
        <v>3542</v>
      </c>
      <c r="CO30" s="5" t="s">
        <v>2047</v>
      </c>
      <c r="CP30" s="5" t="s">
        <v>3556</v>
      </c>
      <c r="CQ30" s="23" t="s">
        <v>3557</v>
      </c>
      <c r="CR30" s="5" t="s">
        <v>807</v>
      </c>
      <c r="CS30" s="5" t="s">
        <v>3528</v>
      </c>
    </row>
    <row r="31" customFormat="false" ht="15" hidden="false" customHeight="true" outlineLevel="0" collapsed="false">
      <c r="A31" s="5" t="n">
        <v>164</v>
      </c>
      <c r="B31" s="5" t="n">
        <v>164</v>
      </c>
      <c r="C31" s="5" t="s">
        <v>791</v>
      </c>
      <c r="D31" s="5" t="n">
        <v>2000</v>
      </c>
      <c r="E31" s="5" t="s">
        <v>792</v>
      </c>
      <c r="F31" s="5" t="s">
        <v>1415</v>
      </c>
      <c r="G31" s="5" t="s">
        <v>2046</v>
      </c>
      <c r="H31" s="5" t="n">
        <v>29</v>
      </c>
      <c r="I31" s="5" t="n">
        <v>79.083</v>
      </c>
      <c r="J31" s="5" t="s">
        <v>83</v>
      </c>
      <c r="K31" s="5" t="s">
        <v>3543</v>
      </c>
      <c r="L31" s="5" t="s">
        <v>84</v>
      </c>
      <c r="M31" s="5" t="s">
        <v>85</v>
      </c>
      <c r="N31" s="5"/>
      <c r="O31" s="5" t="n">
        <v>3.77</v>
      </c>
      <c r="P31" s="5"/>
      <c r="Q31" s="5"/>
      <c r="R31" s="5"/>
      <c r="S31" s="5"/>
      <c r="T31" s="5" t="n">
        <v>3.27</v>
      </c>
      <c r="U31" s="5"/>
      <c r="V31" s="5"/>
      <c r="W31" s="5"/>
      <c r="X31" s="5"/>
      <c r="Y31" s="5"/>
      <c r="Z31" s="5"/>
      <c r="AA31" s="5"/>
      <c r="AB31" s="5"/>
      <c r="AC31" s="5"/>
      <c r="AD31" s="5"/>
      <c r="AE31" s="5"/>
      <c r="AF31" s="5"/>
      <c r="AG31" s="5"/>
      <c r="AH31" s="5"/>
      <c r="AI31" s="5"/>
      <c r="AJ31" s="5"/>
      <c r="AK31" s="5"/>
      <c r="AL31" s="5"/>
      <c r="AM31" s="5" t="n">
        <v>4.4</v>
      </c>
      <c r="AN31" s="5"/>
      <c r="AO31" s="5"/>
      <c r="AP31" s="5"/>
      <c r="AQ31" s="5"/>
      <c r="AR31" s="5" t="n">
        <v>3.5</v>
      </c>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t="n">
        <v>1</v>
      </c>
      <c r="BW31" s="5" t="n">
        <v>4</v>
      </c>
      <c r="BX31" s="5" t="n">
        <f aca="false">IF(AND(N(BV31)&gt;0,N(BW31)&gt;0),SQRT(2*BV31/BW31),"")</f>
        <v>0.707106781186548</v>
      </c>
      <c r="BY31" s="5"/>
      <c r="BZ31" s="5"/>
      <c r="CA31" s="5"/>
      <c r="CB31" s="5" t="n">
        <v>1350</v>
      </c>
      <c r="CC31" s="5" t="n">
        <v>29</v>
      </c>
      <c r="CD31" s="5" t="n">
        <v>9</v>
      </c>
      <c r="CE31" s="5"/>
      <c r="CF31" s="5"/>
      <c r="CG31" s="5"/>
      <c r="CH31" s="5" t="n">
        <v>14.2</v>
      </c>
      <c r="CI31" s="5"/>
      <c r="CJ31" s="5"/>
      <c r="CK31" s="5"/>
      <c r="CL31" s="5" t="s">
        <v>3524</v>
      </c>
      <c r="CM31" s="5" t="s">
        <v>2040</v>
      </c>
      <c r="CN31" s="5" t="s">
        <v>3544</v>
      </c>
      <c r="CO31" s="5" t="s">
        <v>2047</v>
      </c>
      <c r="CP31" s="5" t="s">
        <v>3556</v>
      </c>
      <c r="CQ31" s="23" t="s">
        <v>3557</v>
      </c>
      <c r="CR31" s="5" t="s">
        <v>807</v>
      </c>
      <c r="CS31" s="5" t="s">
        <v>3528</v>
      </c>
    </row>
    <row r="32" customFormat="false" ht="15" hidden="false" customHeight="true" outlineLevel="0" collapsed="false">
      <c r="A32" s="5" t="n">
        <v>164</v>
      </c>
      <c r="B32" s="5" t="n">
        <v>164</v>
      </c>
      <c r="C32" s="5" t="s">
        <v>791</v>
      </c>
      <c r="D32" s="5" t="n">
        <v>2000</v>
      </c>
      <c r="E32" s="5" t="s">
        <v>792</v>
      </c>
      <c r="F32" s="5" t="s">
        <v>1415</v>
      </c>
      <c r="G32" s="5" t="s">
        <v>2046</v>
      </c>
      <c r="H32" s="5" t="n">
        <v>29</v>
      </c>
      <c r="I32" s="5" t="n">
        <v>79.083</v>
      </c>
      <c r="J32" s="5" t="s">
        <v>83</v>
      </c>
      <c r="K32" s="5" t="s">
        <v>3545</v>
      </c>
      <c r="L32" s="5" t="s">
        <v>84</v>
      </c>
      <c r="M32" s="5" t="s">
        <v>85</v>
      </c>
      <c r="N32" s="5"/>
      <c r="O32" s="5" t="n">
        <v>3.06</v>
      </c>
      <c r="P32" s="5"/>
      <c r="Q32" s="5"/>
      <c r="R32" s="5"/>
      <c r="S32" s="5"/>
      <c r="T32" s="5" t="n">
        <v>2.93</v>
      </c>
      <c r="U32" s="5"/>
      <c r="V32" s="5"/>
      <c r="W32" s="5"/>
      <c r="X32" s="5"/>
      <c r="Y32" s="5"/>
      <c r="Z32" s="5"/>
      <c r="AA32" s="5"/>
      <c r="AB32" s="5"/>
      <c r="AC32" s="5"/>
      <c r="AD32" s="5"/>
      <c r="AE32" s="5"/>
      <c r="AF32" s="5"/>
      <c r="AG32" s="5"/>
      <c r="AH32" s="5"/>
      <c r="AI32" s="5"/>
      <c r="AJ32" s="5"/>
      <c r="AK32" s="5"/>
      <c r="AL32" s="5"/>
      <c r="AM32" s="5" t="n">
        <v>5.39</v>
      </c>
      <c r="AN32" s="5"/>
      <c r="AO32" s="5"/>
      <c r="AP32" s="5"/>
      <c r="AQ32" s="5"/>
      <c r="AR32" s="5" t="n">
        <v>4.38</v>
      </c>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t="n">
        <v>1</v>
      </c>
      <c r="BW32" s="5" t="n">
        <v>4</v>
      </c>
      <c r="BX32" s="5" t="n">
        <f aca="false">IF(AND(N(BV32)&gt;0,N(BW32)&gt;0),SQRT(2*BV32/BW32),"")</f>
        <v>0.707106781186548</v>
      </c>
      <c r="BY32" s="5"/>
      <c r="BZ32" s="5"/>
      <c r="CA32" s="5"/>
      <c r="CB32" s="5" t="n">
        <v>1350</v>
      </c>
      <c r="CC32" s="5" t="n">
        <v>29</v>
      </c>
      <c r="CD32" s="5" t="n">
        <v>10</v>
      </c>
      <c r="CE32" s="5"/>
      <c r="CF32" s="5"/>
      <c r="CG32" s="5"/>
      <c r="CH32" s="5" t="n">
        <v>14.2</v>
      </c>
      <c r="CI32" s="5"/>
      <c r="CJ32" s="5"/>
      <c r="CK32" s="5"/>
      <c r="CL32" s="5" t="s">
        <v>3524</v>
      </c>
      <c r="CM32" s="5" t="s">
        <v>2040</v>
      </c>
      <c r="CN32" s="5" t="s">
        <v>3546</v>
      </c>
      <c r="CO32" s="5" t="s">
        <v>2047</v>
      </c>
      <c r="CP32" s="5" t="s">
        <v>3556</v>
      </c>
      <c r="CQ32" s="23" t="s">
        <v>3557</v>
      </c>
      <c r="CR32" s="5" t="s">
        <v>807</v>
      </c>
      <c r="CS32" s="5" t="s">
        <v>3528</v>
      </c>
    </row>
    <row r="33" customFormat="false" ht="15" hidden="false" customHeight="true" outlineLevel="0" collapsed="false">
      <c r="A33" s="5" t="n">
        <v>164</v>
      </c>
      <c r="B33" s="5" t="n">
        <v>164</v>
      </c>
      <c r="C33" s="5" t="s">
        <v>791</v>
      </c>
      <c r="D33" s="5" t="n">
        <v>2000</v>
      </c>
      <c r="E33" s="5" t="s">
        <v>792</v>
      </c>
      <c r="F33" s="5" t="s">
        <v>1415</v>
      </c>
      <c r="G33" s="5" t="s">
        <v>2046</v>
      </c>
      <c r="H33" s="5" t="n">
        <v>29</v>
      </c>
      <c r="I33" s="5" t="n">
        <v>79.083</v>
      </c>
      <c r="J33" s="5" t="s">
        <v>83</v>
      </c>
      <c r="K33" s="5" t="s">
        <v>3547</v>
      </c>
      <c r="L33" s="5" t="s">
        <v>802</v>
      </c>
      <c r="M33" s="5" t="s">
        <v>85</v>
      </c>
      <c r="N33" s="5"/>
      <c r="O33" s="5" t="n">
        <v>3.79</v>
      </c>
      <c r="P33" s="5"/>
      <c r="Q33" s="5"/>
      <c r="R33" s="5"/>
      <c r="S33" s="5"/>
      <c r="T33" s="5" t="n">
        <v>3.65</v>
      </c>
      <c r="U33" s="5"/>
      <c r="V33" s="5"/>
      <c r="W33" s="5"/>
      <c r="X33" s="5"/>
      <c r="Y33" s="5"/>
      <c r="Z33" s="5"/>
      <c r="AA33" s="5"/>
      <c r="AB33" s="5"/>
      <c r="AC33" s="5"/>
      <c r="AD33" s="5"/>
      <c r="AE33" s="5"/>
      <c r="AF33" s="5"/>
      <c r="AG33" s="5"/>
      <c r="AH33" s="5"/>
      <c r="AI33" s="5"/>
      <c r="AJ33" s="5"/>
      <c r="AK33" s="5"/>
      <c r="AL33" s="5"/>
      <c r="AM33" s="5" t="n">
        <v>4.02</v>
      </c>
      <c r="AN33" s="5"/>
      <c r="AO33" s="5"/>
      <c r="AP33" s="5"/>
      <c r="AQ33" s="5"/>
      <c r="AR33" s="5" t="n">
        <v>3.39</v>
      </c>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t="n">
        <v>1</v>
      </c>
      <c r="BW33" s="5" t="n">
        <v>4</v>
      </c>
      <c r="BX33" s="5" t="n">
        <f aca="false">IF(AND(N(BV33)&gt;0,N(BW33)&gt;0),SQRT(2*BV33/BW33),"")</f>
        <v>0.707106781186548</v>
      </c>
      <c r="BY33" s="5"/>
      <c r="BZ33" s="5"/>
      <c r="CA33" s="5"/>
      <c r="CB33" s="5" t="n">
        <v>1350</v>
      </c>
      <c r="CC33" s="5" t="n">
        <v>29</v>
      </c>
      <c r="CD33" s="5" t="n">
        <v>11</v>
      </c>
      <c r="CE33" s="5"/>
      <c r="CF33" s="5"/>
      <c r="CG33" s="5"/>
      <c r="CH33" s="5" t="n">
        <v>14.2</v>
      </c>
      <c r="CI33" s="5"/>
      <c r="CJ33" s="5"/>
      <c r="CK33" s="5"/>
      <c r="CL33" s="5" t="s">
        <v>3524</v>
      </c>
      <c r="CM33" s="5" t="s">
        <v>2040</v>
      </c>
      <c r="CN33" s="5" t="s">
        <v>3548</v>
      </c>
      <c r="CO33" s="5" t="s">
        <v>2047</v>
      </c>
      <c r="CP33" s="5" t="s">
        <v>3556</v>
      </c>
      <c r="CQ33" s="23" t="s">
        <v>3557</v>
      </c>
      <c r="CR33" s="5" t="s">
        <v>807</v>
      </c>
      <c r="CS33" s="5" t="s">
        <v>3528</v>
      </c>
    </row>
    <row r="34" customFormat="false" ht="15" hidden="false" customHeight="true" outlineLevel="0" collapsed="false">
      <c r="A34" s="5" t="n">
        <v>164</v>
      </c>
      <c r="B34" s="5" t="n">
        <v>164</v>
      </c>
      <c r="C34" s="5" t="s">
        <v>791</v>
      </c>
      <c r="D34" s="5" t="n">
        <v>2000</v>
      </c>
      <c r="E34" s="5" t="s">
        <v>792</v>
      </c>
      <c r="F34" s="5" t="s">
        <v>1415</v>
      </c>
      <c r="G34" s="5" t="s">
        <v>2046</v>
      </c>
      <c r="H34" s="5" t="n">
        <v>29</v>
      </c>
      <c r="I34" s="5" t="n">
        <v>79.083</v>
      </c>
      <c r="J34" s="5" t="s">
        <v>83</v>
      </c>
      <c r="K34" s="5" t="s">
        <v>3549</v>
      </c>
      <c r="L34" s="5" t="s">
        <v>802</v>
      </c>
      <c r="M34" s="5" t="s">
        <v>85</v>
      </c>
      <c r="N34" s="5"/>
      <c r="O34" s="5" t="n">
        <v>4.22</v>
      </c>
      <c r="P34" s="5"/>
      <c r="Q34" s="5"/>
      <c r="R34" s="5"/>
      <c r="S34" s="5"/>
      <c r="T34" s="5" t="n">
        <v>3.9</v>
      </c>
      <c r="U34" s="5"/>
      <c r="V34" s="5"/>
      <c r="W34" s="5"/>
      <c r="X34" s="5"/>
      <c r="Y34" s="5"/>
      <c r="Z34" s="5"/>
      <c r="AA34" s="5"/>
      <c r="AB34" s="5"/>
      <c r="AC34" s="5"/>
      <c r="AD34" s="5"/>
      <c r="AE34" s="5"/>
      <c r="AF34" s="5"/>
      <c r="AG34" s="5"/>
      <c r="AH34" s="5"/>
      <c r="AI34" s="5"/>
      <c r="AJ34" s="5"/>
      <c r="AK34" s="5"/>
      <c r="AL34" s="5"/>
      <c r="AM34" s="5" t="n">
        <v>4.33</v>
      </c>
      <c r="AN34" s="5"/>
      <c r="AO34" s="5"/>
      <c r="AP34" s="5"/>
      <c r="AQ34" s="5"/>
      <c r="AR34" s="5" t="n">
        <v>3.97</v>
      </c>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t="n">
        <v>1</v>
      </c>
      <c r="BW34" s="5" t="n">
        <v>4</v>
      </c>
      <c r="BX34" s="5" t="n">
        <f aca="false">IF(AND(N(BV34)&gt;0,N(BW34)&gt;0),SQRT(2*BV34/BW34),"")</f>
        <v>0.707106781186548</v>
      </c>
      <c r="BY34" s="5"/>
      <c r="BZ34" s="5"/>
      <c r="CA34" s="5"/>
      <c r="CB34" s="5" t="n">
        <v>1350</v>
      </c>
      <c r="CC34" s="5" t="n">
        <v>29</v>
      </c>
      <c r="CD34" s="5" t="n">
        <v>12</v>
      </c>
      <c r="CE34" s="5"/>
      <c r="CF34" s="5"/>
      <c r="CG34" s="5"/>
      <c r="CH34" s="5" t="n">
        <v>14.2</v>
      </c>
      <c r="CI34" s="5"/>
      <c r="CJ34" s="5"/>
      <c r="CK34" s="5"/>
      <c r="CL34" s="5" t="s">
        <v>3524</v>
      </c>
      <c r="CM34" s="5" t="s">
        <v>2040</v>
      </c>
      <c r="CN34" s="5" t="s">
        <v>3550</v>
      </c>
      <c r="CO34" s="5" t="s">
        <v>2047</v>
      </c>
      <c r="CP34" s="5" t="s">
        <v>3556</v>
      </c>
      <c r="CQ34" s="23" t="s">
        <v>3557</v>
      </c>
      <c r="CR34" s="5" t="s">
        <v>807</v>
      </c>
      <c r="CS34" s="5" t="s">
        <v>3528</v>
      </c>
    </row>
    <row r="35" customFormat="false" ht="15" hidden="false" customHeight="true" outlineLevel="0" collapsed="false">
      <c r="A35" s="5" t="n">
        <v>164</v>
      </c>
      <c r="B35" s="5" t="n">
        <v>164</v>
      </c>
      <c r="C35" s="5" t="s">
        <v>791</v>
      </c>
      <c r="D35" s="5" t="n">
        <v>2000</v>
      </c>
      <c r="E35" s="5" t="s">
        <v>792</v>
      </c>
      <c r="F35" s="5" t="s">
        <v>1415</v>
      </c>
      <c r="G35" s="5" t="s">
        <v>2046</v>
      </c>
      <c r="H35" s="5" t="n">
        <v>29</v>
      </c>
      <c r="I35" s="5" t="n">
        <v>79.083</v>
      </c>
      <c r="J35" s="5" t="s">
        <v>83</v>
      </c>
      <c r="K35" s="5" t="s">
        <v>3551</v>
      </c>
      <c r="L35" s="5" t="s">
        <v>802</v>
      </c>
      <c r="M35" s="5" t="s">
        <v>85</v>
      </c>
      <c r="N35" s="5"/>
      <c r="O35" s="5" t="n">
        <v>3.02</v>
      </c>
      <c r="P35" s="5"/>
      <c r="Q35" s="5"/>
      <c r="R35" s="5"/>
      <c r="S35" s="5"/>
      <c r="T35" s="5" t="n">
        <v>2.91</v>
      </c>
      <c r="U35" s="5"/>
      <c r="V35" s="5"/>
      <c r="W35" s="5"/>
      <c r="X35" s="5"/>
      <c r="Y35" s="5"/>
      <c r="Z35" s="5"/>
      <c r="AA35" s="5"/>
      <c r="AB35" s="5"/>
      <c r="AC35" s="5"/>
      <c r="AD35" s="5"/>
      <c r="AE35" s="5"/>
      <c r="AF35" s="5"/>
      <c r="AG35" s="5"/>
      <c r="AH35" s="5"/>
      <c r="AI35" s="5"/>
      <c r="AJ35" s="5"/>
      <c r="AK35" s="5"/>
      <c r="AL35" s="5"/>
      <c r="AM35" s="5" t="n">
        <v>4.28</v>
      </c>
      <c r="AN35" s="5"/>
      <c r="AO35" s="5"/>
      <c r="AP35" s="5"/>
      <c r="AQ35" s="5"/>
      <c r="AR35" s="5" t="n">
        <v>2.42</v>
      </c>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t="n">
        <v>1</v>
      </c>
      <c r="BW35" s="5" t="n">
        <v>4</v>
      </c>
      <c r="BX35" s="5" t="n">
        <f aca="false">IF(AND(N(BV35)&gt;0,N(BW35)&gt;0),SQRT(2*BV35/BW35),"")</f>
        <v>0.707106781186548</v>
      </c>
      <c r="BY35" s="5"/>
      <c r="BZ35" s="5"/>
      <c r="CA35" s="5"/>
      <c r="CB35" s="5" t="n">
        <v>1350</v>
      </c>
      <c r="CC35" s="5" t="n">
        <v>29</v>
      </c>
      <c r="CD35" s="5" t="n">
        <v>13</v>
      </c>
      <c r="CE35" s="5"/>
      <c r="CF35" s="5"/>
      <c r="CG35" s="5"/>
      <c r="CH35" s="5" t="n">
        <v>14.2</v>
      </c>
      <c r="CI35" s="5"/>
      <c r="CJ35" s="5"/>
      <c r="CK35" s="5"/>
      <c r="CL35" s="5" t="s">
        <v>3524</v>
      </c>
      <c r="CM35" s="5" t="s">
        <v>2040</v>
      </c>
      <c r="CN35" s="5" t="s">
        <v>3552</v>
      </c>
      <c r="CO35" s="5" t="s">
        <v>2047</v>
      </c>
      <c r="CP35" s="5" t="s">
        <v>3556</v>
      </c>
      <c r="CQ35" s="23" t="s">
        <v>3557</v>
      </c>
      <c r="CR35" s="5" t="s">
        <v>807</v>
      </c>
      <c r="CS35" s="5" t="s">
        <v>3528</v>
      </c>
    </row>
    <row r="36" customFormat="false" ht="15" hidden="false" customHeight="true" outlineLevel="0" collapsed="false">
      <c r="A36" s="5" t="n">
        <v>164</v>
      </c>
      <c r="B36" s="5" t="n">
        <v>164</v>
      </c>
      <c r="C36" s="5" t="s">
        <v>791</v>
      </c>
      <c r="D36" s="5" t="n">
        <v>2000</v>
      </c>
      <c r="E36" s="5" t="s">
        <v>792</v>
      </c>
      <c r="F36" s="5" t="s">
        <v>1415</v>
      </c>
      <c r="G36" s="5" t="s">
        <v>2046</v>
      </c>
      <c r="H36" s="5" t="n">
        <v>29</v>
      </c>
      <c r="I36" s="5" t="n">
        <v>79.083</v>
      </c>
      <c r="J36" s="5" t="s">
        <v>83</v>
      </c>
      <c r="K36" s="5" t="s">
        <v>3553</v>
      </c>
      <c r="L36" s="5" t="s">
        <v>802</v>
      </c>
      <c r="M36" s="5" t="s">
        <v>85</v>
      </c>
      <c r="N36" s="5"/>
      <c r="O36" s="5" t="n">
        <v>3.68</v>
      </c>
      <c r="P36" s="5"/>
      <c r="Q36" s="5"/>
      <c r="R36" s="5"/>
      <c r="S36" s="5"/>
      <c r="T36" s="5" t="n">
        <v>3.55</v>
      </c>
      <c r="U36" s="5"/>
      <c r="V36" s="5"/>
      <c r="W36" s="5"/>
      <c r="X36" s="5"/>
      <c r="Y36" s="5"/>
      <c r="Z36" s="5"/>
      <c r="AA36" s="5"/>
      <c r="AB36" s="5"/>
      <c r="AC36" s="5"/>
      <c r="AD36" s="5"/>
      <c r="AE36" s="5"/>
      <c r="AF36" s="5"/>
      <c r="AG36" s="5"/>
      <c r="AH36" s="5"/>
      <c r="AI36" s="5"/>
      <c r="AJ36" s="5"/>
      <c r="AK36" s="5"/>
      <c r="AL36" s="5"/>
      <c r="AM36" s="5" t="n">
        <v>4.53</v>
      </c>
      <c r="AN36" s="5"/>
      <c r="AO36" s="5"/>
      <c r="AP36" s="5"/>
      <c r="AQ36" s="5"/>
      <c r="AR36" s="5" t="n">
        <v>4.49</v>
      </c>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t="n">
        <v>1</v>
      </c>
      <c r="BW36" s="5" t="n">
        <v>4</v>
      </c>
      <c r="BX36" s="5" t="n">
        <f aca="false">IF(AND(N(BV36)&gt;0,N(BW36)&gt;0),SQRT(2*BV36/BW36),"")</f>
        <v>0.707106781186548</v>
      </c>
      <c r="BY36" s="5"/>
      <c r="BZ36" s="5"/>
      <c r="CA36" s="5"/>
      <c r="CB36" s="5" t="n">
        <v>1350</v>
      </c>
      <c r="CC36" s="5" t="n">
        <v>29</v>
      </c>
      <c r="CD36" s="5" t="n">
        <v>14</v>
      </c>
      <c r="CE36" s="5"/>
      <c r="CF36" s="5"/>
      <c r="CG36" s="5"/>
      <c r="CH36" s="5" t="n">
        <v>14.2</v>
      </c>
      <c r="CI36" s="5"/>
      <c r="CJ36" s="5"/>
      <c r="CK36" s="5"/>
      <c r="CL36" s="5" t="s">
        <v>3524</v>
      </c>
      <c r="CM36" s="5" t="s">
        <v>2040</v>
      </c>
      <c r="CN36" s="5" t="s">
        <v>3554</v>
      </c>
      <c r="CO36" s="5" t="s">
        <v>2047</v>
      </c>
      <c r="CP36" s="5" t="s">
        <v>3556</v>
      </c>
      <c r="CQ36" s="23" t="s">
        <v>3557</v>
      </c>
      <c r="CR36" s="5" t="s">
        <v>807</v>
      </c>
      <c r="CS36" s="5" t="s">
        <v>3528</v>
      </c>
    </row>
    <row r="37" customFormat="false" ht="15" hidden="false" customHeight="true" outlineLevel="0" collapsed="false">
      <c r="A37" s="5" t="n">
        <v>164</v>
      </c>
      <c r="B37" s="5" t="n">
        <v>164</v>
      </c>
      <c r="C37" s="5" t="s">
        <v>791</v>
      </c>
      <c r="D37" s="5" t="n">
        <v>2000</v>
      </c>
      <c r="E37" s="5" t="s">
        <v>792</v>
      </c>
      <c r="F37" s="5" t="s">
        <v>1415</v>
      </c>
      <c r="G37" s="5" t="s">
        <v>2046</v>
      </c>
      <c r="H37" s="5" t="n">
        <v>29</v>
      </c>
      <c r="I37" s="5" t="n">
        <v>79.083</v>
      </c>
      <c r="J37" s="5" t="s">
        <v>83</v>
      </c>
      <c r="K37" s="5" t="s">
        <v>2039</v>
      </c>
      <c r="L37" s="5" t="s">
        <v>802</v>
      </c>
      <c r="M37" s="5" t="s">
        <v>85</v>
      </c>
      <c r="N37" s="5"/>
      <c r="O37" s="5" t="n">
        <v>2.3</v>
      </c>
      <c r="P37" s="5"/>
      <c r="Q37" s="5"/>
      <c r="R37" s="5"/>
      <c r="S37" s="5"/>
      <c r="T37" s="5" t="n">
        <v>2.29</v>
      </c>
      <c r="U37" s="5"/>
      <c r="V37" s="5"/>
      <c r="W37" s="5"/>
      <c r="X37" s="5"/>
      <c r="Y37" s="5"/>
      <c r="Z37" s="5"/>
      <c r="AA37" s="5"/>
      <c r="AB37" s="5"/>
      <c r="AC37" s="5"/>
      <c r="AD37" s="5"/>
      <c r="AE37" s="5"/>
      <c r="AF37" s="5"/>
      <c r="AG37" s="5"/>
      <c r="AH37" s="5"/>
      <c r="AI37" s="5"/>
      <c r="AJ37" s="5"/>
      <c r="AK37" s="5"/>
      <c r="AL37" s="5"/>
      <c r="AM37" s="5" t="n">
        <v>4.1</v>
      </c>
      <c r="AN37" s="5"/>
      <c r="AO37" s="5"/>
      <c r="AP37" s="5"/>
      <c r="AQ37" s="5"/>
      <c r="AR37" s="5" t="n">
        <v>3.49</v>
      </c>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t="n">
        <v>1</v>
      </c>
      <c r="BW37" s="5" t="n">
        <v>4</v>
      </c>
      <c r="BX37" s="5" t="n">
        <f aca="false">IF(AND(N(BV37)&gt;0,N(BW37)&gt;0),SQRT(2*BV37/BW37),"")</f>
        <v>0.707106781186548</v>
      </c>
      <c r="BY37" s="5"/>
      <c r="BZ37" s="5"/>
      <c r="CA37" s="5"/>
      <c r="CB37" s="5" t="n">
        <v>1350</v>
      </c>
      <c r="CC37" s="5" t="n">
        <v>29</v>
      </c>
      <c r="CD37" s="5" t="n">
        <v>15</v>
      </c>
      <c r="CE37" s="5"/>
      <c r="CF37" s="5"/>
      <c r="CG37" s="5"/>
      <c r="CH37" s="5" t="n">
        <v>14.2</v>
      </c>
      <c r="CI37" s="5"/>
      <c r="CJ37" s="5"/>
      <c r="CK37" s="5"/>
      <c r="CL37" s="5" t="s">
        <v>3524</v>
      </c>
      <c r="CM37" s="5" t="s">
        <v>2040</v>
      </c>
      <c r="CN37" s="5" t="s">
        <v>3555</v>
      </c>
      <c r="CO37" s="5" t="s">
        <v>2047</v>
      </c>
      <c r="CP37" s="5" t="s">
        <v>3556</v>
      </c>
      <c r="CQ37" s="23" t="s">
        <v>3557</v>
      </c>
      <c r="CR37" s="5" t="s">
        <v>807</v>
      </c>
      <c r="CS37" s="5" t="s">
        <v>3528</v>
      </c>
    </row>
    <row r="38" customFormat="false" ht="15" hidden="false" customHeight="true" outlineLevel="0" collapsed="false">
      <c r="A38" s="5" t="n">
        <v>164</v>
      </c>
      <c r="B38" s="5" t="n">
        <v>164</v>
      </c>
      <c r="C38" s="5" t="s">
        <v>791</v>
      </c>
      <c r="D38" s="5" t="n">
        <v>2000</v>
      </c>
      <c r="E38" s="5" t="s">
        <v>792</v>
      </c>
      <c r="F38" s="5" t="s">
        <v>836</v>
      </c>
      <c r="G38" s="5" t="s">
        <v>2049</v>
      </c>
      <c r="H38" s="5" t="n">
        <v>26.967</v>
      </c>
      <c r="I38" s="5" t="n">
        <v>80.567</v>
      </c>
      <c r="J38" s="5" t="s">
        <v>83</v>
      </c>
      <c r="K38" s="5" t="s">
        <v>3531</v>
      </c>
      <c r="L38" s="5" t="s">
        <v>821</v>
      </c>
      <c r="M38" s="5"/>
      <c r="N38" s="5"/>
      <c r="O38" s="5" t="n">
        <v>5.12</v>
      </c>
      <c r="P38" s="5"/>
      <c r="Q38" s="5"/>
      <c r="R38" s="5"/>
      <c r="S38" s="5"/>
      <c r="T38" s="5" t="n">
        <v>4.31</v>
      </c>
      <c r="U38" s="5"/>
      <c r="V38" s="5"/>
      <c r="W38" s="5"/>
      <c r="X38" s="5"/>
      <c r="Y38" s="5"/>
      <c r="Z38" s="5"/>
      <c r="AA38" s="5"/>
      <c r="AB38" s="5"/>
      <c r="AC38" s="5"/>
      <c r="AD38" s="5"/>
      <c r="AE38" s="5"/>
      <c r="AF38" s="5"/>
      <c r="AG38" s="5"/>
      <c r="AH38" s="5"/>
      <c r="AI38" s="5"/>
      <c r="AJ38" s="5"/>
      <c r="AK38" s="5"/>
      <c r="AL38" s="5"/>
      <c r="AM38" s="5" t="n">
        <v>3.55</v>
      </c>
      <c r="AN38" s="5"/>
      <c r="AO38" s="5"/>
      <c r="AP38" s="5"/>
      <c r="AQ38" s="5"/>
      <c r="AR38" s="5" t="n">
        <v>3.12</v>
      </c>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t="n">
        <v>1</v>
      </c>
      <c r="BW38" s="5" t="n">
        <v>4</v>
      </c>
      <c r="BX38" s="5" t="n">
        <f aca="false">IF(AND(N(BV38)&gt;0,N(BW38)&gt;0),SQRT(2*BV38/BW38),"")</f>
        <v>0.707106781186548</v>
      </c>
      <c r="BY38" s="5"/>
      <c r="BZ38" s="5"/>
      <c r="CA38" s="5"/>
      <c r="CB38" s="5" t="n">
        <v>818</v>
      </c>
      <c r="CC38" s="5" t="n">
        <v>26.967</v>
      </c>
      <c r="CD38" s="5" t="n">
        <v>1</v>
      </c>
      <c r="CE38" s="5"/>
      <c r="CF38" s="5"/>
      <c r="CG38" s="5" t="n">
        <v>8</v>
      </c>
      <c r="CH38" s="5" t="n">
        <v>2.9</v>
      </c>
      <c r="CI38" s="5"/>
      <c r="CJ38" s="5"/>
      <c r="CK38" s="5"/>
      <c r="CL38" s="5" t="s">
        <v>3524</v>
      </c>
      <c r="CM38" s="5" t="s">
        <v>2040</v>
      </c>
      <c r="CN38" s="5" t="s">
        <v>3532</v>
      </c>
      <c r="CO38" s="5" t="s">
        <v>2050</v>
      </c>
      <c r="CP38" s="5" t="s">
        <v>3558</v>
      </c>
      <c r="CQ38" s="23" t="s">
        <v>3559</v>
      </c>
      <c r="CR38" s="5" t="s">
        <v>807</v>
      </c>
      <c r="CS38" s="5" t="s">
        <v>3528</v>
      </c>
    </row>
    <row r="39" customFormat="false" ht="15" hidden="false" customHeight="true" outlineLevel="0" collapsed="false">
      <c r="A39" s="5" t="n">
        <v>164</v>
      </c>
      <c r="B39" s="5" t="n">
        <v>164</v>
      </c>
      <c r="C39" s="5" t="s">
        <v>791</v>
      </c>
      <c r="D39" s="5" t="n">
        <v>2000</v>
      </c>
      <c r="E39" s="5" t="s">
        <v>792</v>
      </c>
      <c r="F39" s="5" t="s">
        <v>836</v>
      </c>
      <c r="G39" s="5" t="s">
        <v>2049</v>
      </c>
      <c r="H39" s="5" t="n">
        <v>26.967</v>
      </c>
      <c r="I39" s="5" t="n">
        <v>80.567</v>
      </c>
      <c r="J39" s="5" t="s">
        <v>83</v>
      </c>
      <c r="K39" s="5" t="s">
        <v>3533</v>
      </c>
      <c r="L39" s="5" t="s">
        <v>821</v>
      </c>
      <c r="M39" s="5"/>
      <c r="N39" s="5"/>
      <c r="O39" s="5" t="n">
        <v>4.38</v>
      </c>
      <c r="P39" s="5"/>
      <c r="Q39" s="5"/>
      <c r="R39" s="5"/>
      <c r="S39" s="5"/>
      <c r="T39" s="5" t="n">
        <v>4.45</v>
      </c>
      <c r="U39" s="5"/>
      <c r="V39" s="5"/>
      <c r="W39" s="5"/>
      <c r="X39" s="5"/>
      <c r="Y39" s="5"/>
      <c r="Z39" s="5"/>
      <c r="AA39" s="5"/>
      <c r="AB39" s="5"/>
      <c r="AC39" s="5"/>
      <c r="AD39" s="5"/>
      <c r="AE39" s="5"/>
      <c r="AF39" s="5"/>
      <c r="AG39" s="5"/>
      <c r="AH39" s="5"/>
      <c r="AI39" s="5"/>
      <c r="AJ39" s="5"/>
      <c r="AK39" s="5"/>
      <c r="AL39" s="5"/>
      <c r="AM39" s="5" t="n">
        <v>4.02</v>
      </c>
      <c r="AN39" s="5"/>
      <c r="AO39" s="5"/>
      <c r="AP39" s="5"/>
      <c r="AQ39" s="5"/>
      <c r="AR39" s="5" t="n">
        <v>3.21</v>
      </c>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t="n">
        <v>1</v>
      </c>
      <c r="BW39" s="5" t="n">
        <v>4</v>
      </c>
      <c r="BX39" s="5" t="n">
        <f aca="false">IF(AND(N(BV39)&gt;0,N(BW39)&gt;0),SQRT(2*BV39/BW39),"")</f>
        <v>0.707106781186548</v>
      </c>
      <c r="BY39" s="5"/>
      <c r="BZ39" s="5"/>
      <c r="CA39" s="5"/>
      <c r="CB39" s="5" t="n">
        <v>818</v>
      </c>
      <c r="CC39" s="5" t="n">
        <v>26.967</v>
      </c>
      <c r="CD39" s="5" t="n">
        <v>2</v>
      </c>
      <c r="CE39" s="5"/>
      <c r="CF39" s="5"/>
      <c r="CG39" s="5" t="n">
        <v>8</v>
      </c>
      <c r="CH39" s="5" t="n">
        <v>2.9</v>
      </c>
      <c r="CI39" s="5"/>
      <c r="CJ39" s="5"/>
      <c r="CK39" s="5"/>
      <c r="CL39" s="5" t="s">
        <v>3524</v>
      </c>
      <c r="CM39" s="5" t="s">
        <v>2040</v>
      </c>
      <c r="CN39" s="5" t="s">
        <v>3534</v>
      </c>
      <c r="CO39" s="5" t="s">
        <v>2050</v>
      </c>
      <c r="CP39" s="5" t="s">
        <v>3558</v>
      </c>
      <c r="CQ39" s="23" t="s">
        <v>3559</v>
      </c>
      <c r="CR39" s="5" t="s">
        <v>807</v>
      </c>
      <c r="CS39" s="5" t="s">
        <v>3528</v>
      </c>
    </row>
    <row r="40" customFormat="false" ht="15" hidden="false" customHeight="true" outlineLevel="0" collapsed="false">
      <c r="A40" s="5" t="n">
        <v>164</v>
      </c>
      <c r="B40" s="5" t="n">
        <v>164</v>
      </c>
      <c r="C40" s="5" t="s">
        <v>791</v>
      </c>
      <c r="D40" s="5" t="n">
        <v>2000</v>
      </c>
      <c r="E40" s="5" t="s">
        <v>792</v>
      </c>
      <c r="F40" s="5" t="s">
        <v>836</v>
      </c>
      <c r="G40" s="5" t="s">
        <v>2049</v>
      </c>
      <c r="H40" s="5" t="n">
        <v>26.967</v>
      </c>
      <c r="I40" s="5" t="n">
        <v>80.567</v>
      </c>
      <c r="J40" s="5" t="s">
        <v>83</v>
      </c>
      <c r="K40" s="5" t="s">
        <v>3535</v>
      </c>
      <c r="L40" s="5" t="s">
        <v>821</v>
      </c>
      <c r="M40" s="5"/>
      <c r="N40" s="5"/>
      <c r="O40" s="5" t="n">
        <v>4.49</v>
      </c>
      <c r="P40" s="5"/>
      <c r="Q40" s="5"/>
      <c r="R40" s="5"/>
      <c r="S40" s="5"/>
      <c r="T40" s="5" t="n">
        <v>4.44</v>
      </c>
      <c r="U40" s="5"/>
      <c r="V40" s="5"/>
      <c r="W40" s="5"/>
      <c r="X40" s="5"/>
      <c r="Y40" s="5"/>
      <c r="Z40" s="5"/>
      <c r="AA40" s="5"/>
      <c r="AB40" s="5"/>
      <c r="AC40" s="5"/>
      <c r="AD40" s="5"/>
      <c r="AE40" s="5"/>
      <c r="AF40" s="5"/>
      <c r="AG40" s="5"/>
      <c r="AH40" s="5"/>
      <c r="AI40" s="5"/>
      <c r="AJ40" s="5"/>
      <c r="AK40" s="5"/>
      <c r="AL40" s="5"/>
      <c r="AM40" s="5" t="n">
        <v>4.27</v>
      </c>
      <c r="AN40" s="5"/>
      <c r="AO40" s="5"/>
      <c r="AP40" s="5"/>
      <c r="AQ40" s="5"/>
      <c r="AR40" s="5" t="n">
        <v>3.64</v>
      </c>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t="n">
        <v>1</v>
      </c>
      <c r="BW40" s="5" t="n">
        <v>4</v>
      </c>
      <c r="BX40" s="5" t="n">
        <f aca="false">IF(AND(N(BV40)&gt;0,N(BW40)&gt;0),SQRT(2*BV40/BW40),"")</f>
        <v>0.707106781186548</v>
      </c>
      <c r="BY40" s="5"/>
      <c r="BZ40" s="5"/>
      <c r="CA40" s="5"/>
      <c r="CB40" s="5" t="n">
        <v>818</v>
      </c>
      <c r="CC40" s="5" t="n">
        <v>26.967</v>
      </c>
      <c r="CD40" s="5" t="n">
        <v>3</v>
      </c>
      <c r="CE40" s="5"/>
      <c r="CF40" s="5"/>
      <c r="CG40" s="5" t="n">
        <v>8</v>
      </c>
      <c r="CH40" s="5" t="n">
        <v>2.9</v>
      </c>
      <c r="CI40" s="5"/>
      <c r="CJ40" s="5"/>
      <c r="CK40" s="5"/>
      <c r="CL40" s="5" t="s">
        <v>3524</v>
      </c>
      <c r="CM40" s="5" t="s">
        <v>2040</v>
      </c>
      <c r="CN40" s="5" t="s">
        <v>3536</v>
      </c>
      <c r="CO40" s="5" t="s">
        <v>2050</v>
      </c>
      <c r="CP40" s="5" t="s">
        <v>3558</v>
      </c>
      <c r="CQ40" s="23" t="s">
        <v>3559</v>
      </c>
      <c r="CR40" s="5" t="s">
        <v>807</v>
      </c>
      <c r="CS40" s="5" t="s">
        <v>3528</v>
      </c>
    </row>
    <row r="41" customFormat="false" ht="15" hidden="false" customHeight="true" outlineLevel="0" collapsed="false">
      <c r="A41" s="5" t="n">
        <v>164</v>
      </c>
      <c r="B41" s="5" t="n">
        <v>164</v>
      </c>
      <c r="C41" s="5" t="s">
        <v>791</v>
      </c>
      <c r="D41" s="5" t="n">
        <v>2000</v>
      </c>
      <c r="E41" s="5" t="s">
        <v>792</v>
      </c>
      <c r="F41" s="5" t="s">
        <v>836</v>
      </c>
      <c r="G41" s="5" t="s">
        <v>2049</v>
      </c>
      <c r="H41" s="5" t="n">
        <v>26.967</v>
      </c>
      <c r="I41" s="5" t="n">
        <v>80.567</v>
      </c>
      <c r="J41" s="5" t="s">
        <v>83</v>
      </c>
      <c r="K41" s="5" t="s">
        <v>3537</v>
      </c>
      <c r="L41" s="5" t="s">
        <v>84</v>
      </c>
      <c r="M41" s="5"/>
      <c r="N41" s="5"/>
      <c r="O41" s="5" t="n">
        <v>4.51</v>
      </c>
      <c r="P41" s="5"/>
      <c r="Q41" s="5"/>
      <c r="R41" s="5"/>
      <c r="S41" s="5"/>
      <c r="T41" s="5" t="n">
        <v>4.46</v>
      </c>
      <c r="U41" s="5"/>
      <c r="V41" s="5"/>
      <c r="W41" s="5"/>
      <c r="X41" s="5"/>
      <c r="Y41" s="5"/>
      <c r="Z41" s="5"/>
      <c r="AA41" s="5"/>
      <c r="AB41" s="5"/>
      <c r="AC41" s="5"/>
      <c r="AD41" s="5"/>
      <c r="AE41" s="5"/>
      <c r="AF41" s="5"/>
      <c r="AG41" s="5"/>
      <c r="AH41" s="5"/>
      <c r="AI41" s="5"/>
      <c r="AJ41" s="5"/>
      <c r="AK41" s="5"/>
      <c r="AL41" s="5"/>
      <c r="AM41" s="5" t="n">
        <v>3.72</v>
      </c>
      <c r="AN41" s="5"/>
      <c r="AO41" s="5"/>
      <c r="AP41" s="5"/>
      <c r="AQ41" s="5"/>
      <c r="AR41" s="5" t="n">
        <v>3.16</v>
      </c>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t="n">
        <v>1</v>
      </c>
      <c r="BW41" s="5" t="n">
        <v>4</v>
      </c>
      <c r="BX41" s="5" t="n">
        <f aca="false">IF(AND(N(BV41)&gt;0,N(BW41)&gt;0),SQRT(2*BV41/BW41),"")</f>
        <v>0.707106781186548</v>
      </c>
      <c r="BY41" s="5"/>
      <c r="BZ41" s="5"/>
      <c r="CA41" s="5"/>
      <c r="CB41" s="5" t="n">
        <v>818</v>
      </c>
      <c r="CC41" s="5" t="n">
        <v>26.967</v>
      </c>
      <c r="CD41" s="5" t="n">
        <v>4</v>
      </c>
      <c r="CE41" s="5"/>
      <c r="CF41" s="5"/>
      <c r="CG41" s="5" t="n">
        <v>8</v>
      </c>
      <c r="CH41" s="5" t="n">
        <v>2.9</v>
      </c>
      <c r="CI41" s="5"/>
      <c r="CJ41" s="5"/>
      <c r="CK41" s="5"/>
      <c r="CL41" s="5" t="s">
        <v>3524</v>
      </c>
      <c r="CM41" s="5" t="s">
        <v>2040</v>
      </c>
      <c r="CN41" s="5" t="s">
        <v>3538</v>
      </c>
      <c r="CO41" s="5" t="s">
        <v>2050</v>
      </c>
      <c r="CP41" s="5" t="s">
        <v>3558</v>
      </c>
      <c r="CQ41" s="23" t="s">
        <v>3559</v>
      </c>
      <c r="CR41" s="5" t="s">
        <v>807</v>
      </c>
      <c r="CS41" s="5" t="s">
        <v>3528</v>
      </c>
    </row>
    <row r="42" customFormat="false" ht="15" hidden="false" customHeight="true" outlineLevel="0" collapsed="false">
      <c r="A42" s="5" t="n">
        <v>164</v>
      </c>
      <c r="B42" s="5" t="n">
        <v>164</v>
      </c>
      <c r="C42" s="5" t="s">
        <v>791</v>
      </c>
      <c r="D42" s="5" t="n">
        <v>2000</v>
      </c>
      <c r="E42" s="5" t="s">
        <v>792</v>
      </c>
      <c r="F42" s="5" t="s">
        <v>836</v>
      </c>
      <c r="G42" s="5" t="s">
        <v>2049</v>
      </c>
      <c r="H42" s="5" t="n">
        <v>26.967</v>
      </c>
      <c r="I42" s="5" t="n">
        <v>80.567</v>
      </c>
      <c r="J42" s="5" t="s">
        <v>83</v>
      </c>
      <c r="K42" s="5" t="s">
        <v>3539</v>
      </c>
      <c r="L42" s="5" t="s">
        <v>84</v>
      </c>
      <c r="M42" s="5"/>
      <c r="N42" s="5"/>
      <c r="O42" s="5" t="n">
        <v>4.58</v>
      </c>
      <c r="P42" s="5"/>
      <c r="Q42" s="5"/>
      <c r="R42" s="5"/>
      <c r="S42" s="5"/>
      <c r="T42" s="5" t="n">
        <v>4.53</v>
      </c>
      <c r="U42" s="5"/>
      <c r="V42" s="5"/>
      <c r="W42" s="5"/>
      <c r="X42" s="5"/>
      <c r="Y42" s="5"/>
      <c r="Z42" s="5"/>
      <c r="AA42" s="5"/>
      <c r="AB42" s="5"/>
      <c r="AC42" s="5"/>
      <c r="AD42" s="5"/>
      <c r="AE42" s="5"/>
      <c r="AF42" s="5"/>
      <c r="AG42" s="5"/>
      <c r="AH42" s="5"/>
      <c r="AI42" s="5"/>
      <c r="AJ42" s="5"/>
      <c r="AK42" s="5"/>
      <c r="AL42" s="5"/>
      <c r="AM42" s="5" t="n">
        <v>4.14</v>
      </c>
      <c r="AN42" s="5"/>
      <c r="AO42" s="5"/>
      <c r="AP42" s="5"/>
      <c r="AQ42" s="5"/>
      <c r="AR42" s="5" t="n">
        <v>3.34</v>
      </c>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t="n">
        <v>1</v>
      </c>
      <c r="BW42" s="5" t="n">
        <v>4</v>
      </c>
      <c r="BX42" s="5" t="n">
        <f aca="false">IF(AND(N(BV42)&gt;0,N(BW42)&gt;0),SQRT(2*BV42/BW42),"")</f>
        <v>0.707106781186548</v>
      </c>
      <c r="BY42" s="5"/>
      <c r="BZ42" s="5"/>
      <c r="CA42" s="5"/>
      <c r="CB42" s="5" t="n">
        <v>818</v>
      </c>
      <c r="CC42" s="5" t="n">
        <v>26.967</v>
      </c>
      <c r="CD42" s="5" t="n">
        <v>5</v>
      </c>
      <c r="CE42" s="5"/>
      <c r="CF42" s="5"/>
      <c r="CG42" s="5" t="n">
        <v>8</v>
      </c>
      <c r="CH42" s="5" t="n">
        <v>2.9</v>
      </c>
      <c r="CI42" s="5"/>
      <c r="CJ42" s="5"/>
      <c r="CK42" s="5"/>
      <c r="CL42" s="5" t="s">
        <v>3524</v>
      </c>
      <c r="CM42" s="5" t="s">
        <v>2040</v>
      </c>
      <c r="CN42" s="5" t="s">
        <v>3540</v>
      </c>
      <c r="CO42" s="5" t="s">
        <v>2050</v>
      </c>
      <c r="CP42" s="5" t="s">
        <v>3558</v>
      </c>
      <c r="CQ42" s="23" t="s">
        <v>3559</v>
      </c>
      <c r="CR42" s="5" t="s">
        <v>807</v>
      </c>
      <c r="CS42" s="5" t="s">
        <v>3528</v>
      </c>
    </row>
    <row r="43" customFormat="false" ht="15" hidden="false" customHeight="true" outlineLevel="0" collapsed="false">
      <c r="A43" s="5" t="n">
        <v>164</v>
      </c>
      <c r="B43" s="5" t="n">
        <v>164</v>
      </c>
      <c r="C43" s="5" t="s">
        <v>791</v>
      </c>
      <c r="D43" s="5" t="n">
        <v>2000</v>
      </c>
      <c r="E43" s="5" t="s">
        <v>792</v>
      </c>
      <c r="F43" s="5" t="s">
        <v>836</v>
      </c>
      <c r="G43" s="5" t="s">
        <v>2049</v>
      </c>
      <c r="H43" s="5" t="n">
        <v>26.967</v>
      </c>
      <c r="I43" s="5" t="n">
        <v>80.567</v>
      </c>
      <c r="J43" s="5" t="s">
        <v>83</v>
      </c>
      <c r="K43" s="5" t="s">
        <v>3541</v>
      </c>
      <c r="L43" s="5" t="s">
        <v>84</v>
      </c>
      <c r="M43" s="5"/>
      <c r="N43" s="5"/>
      <c r="O43" s="5" t="n">
        <v>4.51</v>
      </c>
      <c r="P43" s="5"/>
      <c r="Q43" s="5"/>
      <c r="R43" s="5"/>
      <c r="S43" s="5"/>
      <c r="T43" s="5" t="n">
        <v>4.48</v>
      </c>
      <c r="U43" s="5"/>
      <c r="V43" s="5"/>
      <c r="W43" s="5"/>
      <c r="X43" s="5"/>
      <c r="Y43" s="5"/>
      <c r="Z43" s="5"/>
      <c r="AA43" s="5"/>
      <c r="AB43" s="5"/>
      <c r="AC43" s="5"/>
      <c r="AD43" s="5"/>
      <c r="AE43" s="5"/>
      <c r="AF43" s="5"/>
      <c r="AG43" s="5"/>
      <c r="AH43" s="5"/>
      <c r="AI43" s="5"/>
      <c r="AJ43" s="5"/>
      <c r="AK43" s="5"/>
      <c r="AL43" s="5"/>
      <c r="AM43" s="5" t="n">
        <v>4.06</v>
      </c>
      <c r="AN43" s="5"/>
      <c r="AO43" s="5"/>
      <c r="AP43" s="5"/>
      <c r="AQ43" s="5"/>
      <c r="AR43" s="5" t="n">
        <v>3.29</v>
      </c>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t="n">
        <v>1</v>
      </c>
      <c r="BW43" s="5" t="n">
        <v>4</v>
      </c>
      <c r="BX43" s="5" t="n">
        <f aca="false">IF(AND(N(BV43)&gt;0,N(BW43)&gt;0),SQRT(2*BV43/BW43),"")</f>
        <v>0.707106781186548</v>
      </c>
      <c r="BY43" s="5"/>
      <c r="BZ43" s="5"/>
      <c r="CA43" s="5"/>
      <c r="CB43" s="5" t="n">
        <v>818</v>
      </c>
      <c r="CC43" s="5" t="n">
        <v>26.967</v>
      </c>
      <c r="CD43" s="5" t="n">
        <v>6</v>
      </c>
      <c r="CE43" s="5"/>
      <c r="CF43" s="5"/>
      <c r="CG43" s="5" t="n">
        <v>8</v>
      </c>
      <c r="CH43" s="5" t="n">
        <v>2.9</v>
      </c>
      <c r="CI43" s="5"/>
      <c r="CJ43" s="5"/>
      <c r="CK43" s="5"/>
      <c r="CL43" s="5" t="s">
        <v>3524</v>
      </c>
      <c r="CM43" s="5" t="s">
        <v>2040</v>
      </c>
      <c r="CN43" s="5" t="s">
        <v>3542</v>
      </c>
      <c r="CO43" s="5" t="s">
        <v>2050</v>
      </c>
      <c r="CP43" s="5" t="s">
        <v>3558</v>
      </c>
      <c r="CQ43" s="23" t="s">
        <v>3559</v>
      </c>
      <c r="CR43" s="5" t="s">
        <v>807</v>
      </c>
      <c r="CS43" s="5" t="s">
        <v>3528</v>
      </c>
    </row>
    <row r="44" customFormat="false" ht="15" hidden="false" customHeight="true" outlineLevel="0" collapsed="false">
      <c r="A44" s="5" t="n">
        <v>164</v>
      </c>
      <c r="B44" s="5" t="n">
        <v>164</v>
      </c>
      <c r="C44" s="5" t="s">
        <v>791</v>
      </c>
      <c r="D44" s="5" t="n">
        <v>2000</v>
      </c>
      <c r="E44" s="5" t="s">
        <v>792</v>
      </c>
      <c r="F44" s="5" t="s">
        <v>836</v>
      </c>
      <c r="G44" s="5" t="s">
        <v>2049</v>
      </c>
      <c r="H44" s="5" t="n">
        <v>26.967</v>
      </c>
      <c r="I44" s="5" t="n">
        <v>80.567</v>
      </c>
      <c r="J44" s="5" t="s">
        <v>83</v>
      </c>
      <c r="K44" s="5" t="s">
        <v>3543</v>
      </c>
      <c r="L44" s="5" t="s">
        <v>84</v>
      </c>
      <c r="M44" s="5"/>
      <c r="N44" s="5"/>
      <c r="O44" s="5" t="n">
        <v>4.51</v>
      </c>
      <c r="P44" s="5"/>
      <c r="Q44" s="5"/>
      <c r="R44" s="5"/>
      <c r="S44" s="5"/>
      <c r="T44" s="5" t="n">
        <v>4.47</v>
      </c>
      <c r="U44" s="5"/>
      <c r="V44" s="5"/>
      <c r="W44" s="5"/>
      <c r="X44" s="5"/>
      <c r="Y44" s="5"/>
      <c r="Z44" s="5"/>
      <c r="AA44" s="5"/>
      <c r="AB44" s="5"/>
      <c r="AC44" s="5"/>
      <c r="AD44" s="5"/>
      <c r="AE44" s="5"/>
      <c r="AF44" s="5"/>
      <c r="AG44" s="5"/>
      <c r="AH44" s="5"/>
      <c r="AI44" s="5"/>
      <c r="AJ44" s="5"/>
      <c r="AK44" s="5"/>
      <c r="AL44" s="5"/>
      <c r="AM44" s="5" t="n">
        <v>4.09</v>
      </c>
      <c r="AN44" s="5"/>
      <c r="AO44" s="5"/>
      <c r="AP44" s="5"/>
      <c r="AQ44" s="5"/>
      <c r="AR44" s="5" t="n">
        <v>3.34</v>
      </c>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t="n">
        <v>1</v>
      </c>
      <c r="BW44" s="5" t="n">
        <v>4</v>
      </c>
      <c r="BX44" s="5" t="n">
        <f aca="false">IF(AND(N(BV44)&gt;0,N(BW44)&gt;0),SQRT(2*BV44/BW44),"")</f>
        <v>0.707106781186548</v>
      </c>
      <c r="BY44" s="5"/>
      <c r="BZ44" s="5"/>
      <c r="CA44" s="5"/>
      <c r="CB44" s="5" t="n">
        <v>818</v>
      </c>
      <c r="CC44" s="5" t="n">
        <v>26.967</v>
      </c>
      <c r="CD44" s="5" t="n">
        <v>7</v>
      </c>
      <c r="CE44" s="5"/>
      <c r="CF44" s="5"/>
      <c r="CG44" s="5" t="n">
        <v>8</v>
      </c>
      <c r="CH44" s="5" t="n">
        <v>2.9</v>
      </c>
      <c r="CI44" s="5"/>
      <c r="CJ44" s="5"/>
      <c r="CK44" s="5"/>
      <c r="CL44" s="5" t="s">
        <v>3524</v>
      </c>
      <c r="CM44" s="5" t="s">
        <v>2040</v>
      </c>
      <c r="CN44" s="5" t="s">
        <v>3544</v>
      </c>
      <c r="CO44" s="5" t="s">
        <v>2050</v>
      </c>
      <c r="CP44" s="5" t="s">
        <v>3558</v>
      </c>
      <c r="CQ44" s="23" t="s">
        <v>3559</v>
      </c>
      <c r="CR44" s="5" t="s">
        <v>807</v>
      </c>
      <c r="CS44" s="5" t="s">
        <v>3528</v>
      </c>
    </row>
    <row r="45" customFormat="false" ht="15" hidden="false" customHeight="true" outlineLevel="0" collapsed="false">
      <c r="A45" s="5" t="n">
        <v>164</v>
      </c>
      <c r="B45" s="5" t="n">
        <v>164</v>
      </c>
      <c r="C45" s="5" t="s">
        <v>791</v>
      </c>
      <c r="D45" s="5" t="n">
        <v>2000</v>
      </c>
      <c r="E45" s="5" t="s">
        <v>792</v>
      </c>
      <c r="F45" s="5" t="s">
        <v>836</v>
      </c>
      <c r="G45" s="5" t="s">
        <v>2049</v>
      </c>
      <c r="H45" s="5" t="n">
        <v>26.967</v>
      </c>
      <c r="I45" s="5" t="n">
        <v>80.567</v>
      </c>
      <c r="J45" s="5" t="s">
        <v>83</v>
      </c>
      <c r="K45" s="5" t="s">
        <v>3545</v>
      </c>
      <c r="L45" s="5" t="s">
        <v>84</v>
      </c>
      <c r="M45" s="5"/>
      <c r="N45" s="5"/>
      <c r="O45" s="5" t="n">
        <v>4.8</v>
      </c>
      <c r="P45" s="5"/>
      <c r="Q45" s="5"/>
      <c r="R45" s="5"/>
      <c r="S45" s="5"/>
      <c r="T45" s="5" t="n">
        <v>4.58</v>
      </c>
      <c r="U45" s="5"/>
      <c r="V45" s="5"/>
      <c r="W45" s="5"/>
      <c r="X45" s="5"/>
      <c r="Y45" s="5"/>
      <c r="Z45" s="5"/>
      <c r="AA45" s="5"/>
      <c r="AB45" s="5"/>
      <c r="AC45" s="5"/>
      <c r="AD45" s="5"/>
      <c r="AE45" s="5"/>
      <c r="AF45" s="5"/>
      <c r="AG45" s="5"/>
      <c r="AH45" s="5"/>
      <c r="AI45" s="5"/>
      <c r="AJ45" s="5"/>
      <c r="AK45" s="5"/>
      <c r="AL45" s="5"/>
      <c r="AM45" s="5" t="n">
        <v>3.88</v>
      </c>
      <c r="AN45" s="5"/>
      <c r="AO45" s="5"/>
      <c r="AP45" s="5"/>
      <c r="AQ45" s="5"/>
      <c r="AR45" s="5" t="n">
        <v>3.26</v>
      </c>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t="n">
        <v>1</v>
      </c>
      <c r="BW45" s="5" t="n">
        <v>4</v>
      </c>
      <c r="BX45" s="5" t="n">
        <f aca="false">IF(AND(N(BV45)&gt;0,N(BW45)&gt;0),SQRT(2*BV45/BW45),"")</f>
        <v>0.707106781186548</v>
      </c>
      <c r="BY45" s="5"/>
      <c r="BZ45" s="5"/>
      <c r="CA45" s="5"/>
      <c r="CB45" s="5" t="n">
        <v>818</v>
      </c>
      <c r="CC45" s="5" t="n">
        <v>26.967</v>
      </c>
      <c r="CD45" s="5" t="n">
        <v>8</v>
      </c>
      <c r="CE45" s="5"/>
      <c r="CF45" s="5"/>
      <c r="CG45" s="5" t="n">
        <v>8</v>
      </c>
      <c r="CH45" s="5" t="n">
        <v>2.9</v>
      </c>
      <c r="CI45" s="5"/>
      <c r="CJ45" s="5"/>
      <c r="CK45" s="5"/>
      <c r="CL45" s="5" t="s">
        <v>3524</v>
      </c>
      <c r="CM45" s="5" t="s">
        <v>2040</v>
      </c>
      <c r="CN45" s="5" t="s">
        <v>3546</v>
      </c>
      <c r="CO45" s="5" t="s">
        <v>2050</v>
      </c>
      <c r="CP45" s="5" t="s">
        <v>3558</v>
      </c>
      <c r="CQ45" s="23" t="s">
        <v>3559</v>
      </c>
      <c r="CR45" s="5" t="s">
        <v>807</v>
      </c>
      <c r="CS45" s="5" t="s">
        <v>3528</v>
      </c>
    </row>
    <row r="46" customFormat="false" ht="15" hidden="false" customHeight="true" outlineLevel="0" collapsed="false">
      <c r="A46" s="5" t="n">
        <v>164</v>
      </c>
      <c r="B46" s="5" t="n">
        <v>164</v>
      </c>
      <c r="C46" s="5" t="s">
        <v>791</v>
      </c>
      <c r="D46" s="5" t="n">
        <v>2000</v>
      </c>
      <c r="E46" s="5" t="s">
        <v>792</v>
      </c>
      <c r="F46" s="5" t="s">
        <v>836</v>
      </c>
      <c r="G46" s="5" t="s">
        <v>2049</v>
      </c>
      <c r="H46" s="5" t="n">
        <v>26.967</v>
      </c>
      <c r="I46" s="5" t="n">
        <v>80.567</v>
      </c>
      <c r="J46" s="5" t="s">
        <v>83</v>
      </c>
      <c r="K46" s="5" t="s">
        <v>3547</v>
      </c>
      <c r="L46" s="5" t="s">
        <v>84</v>
      </c>
      <c r="M46" s="5"/>
      <c r="N46" s="5"/>
      <c r="O46" s="5" t="n">
        <v>4.45</v>
      </c>
      <c r="P46" s="5"/>
      <c r="Q46" s="5"/>
      <c r="R46" s="5"/>
      <c r="S46" s="5"/>
      <c r="T46" s="5" t="n">
        <v>4.71</v>
      </c>
      <c r="U46" s="5"/>
      <c r="V46" s="5"/>
      <c r="W46" s="5"/>
      <c r="X46" s="5"/>
      <c r="Y46" s="5"/>
      <c r="Z46" s="5"/>
      <c r="AA46" s="5"/>
      <c r="AB46" s="5"/>
      <c r="AC46" s="5"/>
      <c r="AD46" s="5"/>
      <c r="AE46" s="5"/>
      <c r="AF46" s="5"/>
      <c r="AG46" s="5"/>
      <c r="AH46" s="5"/>
      <c r="AI46" s="5"/>
      <c r="AJ46" s="5"/>
      <c r="AK46" s="5"/>
      <c r="AL46" s="5"/>
      <c r="AM46" s="5" t="n">
        <v>3.69</v>
      </c>
      <c r="AN46" s="5"/>
      <c r="AO46" s="5"/>
      <c r="AP46" s="5"/>
      <c r="AQ46" s="5"/>
      <c r="AR46" s="5" t="n">
        <v>3.3</v>
      </c>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t="n">
        <v>1</v>
      </c>
      <c r="BW46" s="5" t="n">
        <v>4</v>
      </c>
      <c r="BX46" s="5" t="n">
        <f aca="false">IF(AND(N(BV46)&gt;0,N(BW46)&gt;0),SQRT(2*BV46/BW46),"")</f>
        <v>0.707106781186548</v>
      </c>
      <c r="BY46" s="5"/>
      <c r="BZ46" s="5"/>
      <c r="CA46" s="5"/>
      <c r="CB46" s="5" t="n">
        <v>818</v>
      </c>
      <c r="CC46" s="5" t="n">
        <v>26.967</v>
      </c>
      <c r="CD46" s="5" t="n">
        <v>9</v>
      </c>
      <c r="CE46" s="5"/>
      <c r="CF46" s="5"/>
      <c r="CG46" s="5" t="n">
        <v>8</v>
      </c>
      <c r="CH46" s="5" t="n">
        <v>2.9</v>
      </c>
      <c r="CI46" s="5"/>
      <c r="CJ46" s="5"/>
      <c r="CK46" s="5"/>
      <c r="CL46" s="5" t="s">
        <v>3524</v>
      </c>
      <c r="CM46" s="5" t="s">
        <v>2040</v>
      </c>
      <c r="CN46" s="5" t="s">
        <v>3548</v>
      </c>
      <c r="CO46" s="5" t="s">
        <v>2050</v>
      </c>
      <c r="CP46" s="5" t="s">
        <v>3558</v>
      </c>
      <c r="CQ46" s="23" t="s">
        <v>3559</v>
      </c>
      <c r="CR46" s="5" t="s">
        <v>807</v>
      </c>
      <c r="CS46" s="5" t="s">
        <v>3528</v>
      </c>
    </row>
    <row r="47" customFormat="false" ht="15" hidden="false" customHeight="true" outlineLevel="0" collapsed="false">
      <c r="A47" s="5" t="n">
        <v>164</v>
      </c>
      <c r="B47" s="5" t="n">
        <v>164</v>
      </c>
      <c r="C47" s="5" t="s">
        <v>791</v>
      </c>
      <c r="D47" s="5" t="n">
        <v>2000</v>
      </c>
      <c r="E47" s="5" t="s">
        <v>792</v>
      </c>
      <c r="F47" s="5" t="s">
        <v>836</v>
      </c>
      <c r="G47" s="5" t="s">
        <v>2049</v>
      </c>
      <c r="H47" s="5" t="n">
        <v>26.967</v>
      </c>
      <c r="I47" s="5" t="n">
        <v>80.567</v>
      </c>
      <c r="J47" s="5" t="s">
        <v>83</v>
      </c>
      <c r="K47" s="5" t="s">
        <v>3549</v>
      </c>
      <c r="L47" s="5" t="s">
        <v>84</v>
      </c>
      <c r="M47" s="5"/>
      <c r="N47" s="5"/>
      <c r="O47" s="5" t="n">
        <v>4.59</v>
      </c>
      <c r="P47" s="5"/>
      <c r="Q47" s="5"/>
      <c r="R47" s="5"/>
      <c r="S47" s="5"/>
      <c r="T47" s="5" t="n">
        <v>4.88</v>
      </c>
      <c r="U47" s="5"/>
      <c r="V47" s="5"/>
      <c r="W47" s="5"/>
      <c r="X47" s="5"/>
      <c r="Y47" s="5"/>
      <c r="Z47" s="5"/>
      <c r="AA47" s="5"/>
      <c r="AB47" s="5"/>
      <c r="AC47" s="5"/>
      <c r="AD47" s="5"/>
      <c r="AE47" s="5"/>
      <c r="AF47" s="5"/>
      <c r="AG47" s="5"/>
      <c r="AH47" s="5"/>
      <c r="AI47" s="5"/>
      <c r="AJ47" s="5"/>
      <c r="AK47" s="5"/>
      <c r="AL47" s="5"/>
      <c r="AM47" s="5" t="n">
        <v>5.79</v>
      </c>
      <c r="AN47" s="5"/>
      <c r="AO47" s="5"/>
      <c r="AP47" s="5"/>
      <c r="AQ47" s="5"/>
      <c r="AR47" s="5" t="n">
        <v>4.68</v>
      </c>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t="n">
        <v>1</v>
      </c>
      <c r="BW47" s="5" t="n">
        <v>4</v>
      </c>
      <c r="BX47" s="5" t="n">
        <f aca="false">IF(AND(N(BV47)&gt;0,N(BW47)&gt;0),SQRT(2*BV47/BW47),"")</f>
        <v>0.707106781186548</v>
      </c>
      <c r="BY47" s="5"/>
      <c r="BZ47" s="5"/>
      <c r="CA47" s="5"/>
      <c r="CB47" s="5" t="n">
        <v>818</v>
      </c>
      <c r="CC47" s="5" t="n">
        <v>26.967</v>
      </c>
      <c r="CD47" s="5" t="n">
        <v>10</v>
      </c>
      <c r="CE47" s="5"/>
      <c r="CF47" s="5"/>
      <c r="CG47" s="5" t="n">
        <v>8</v>
      </c>
      <c r="CH47" s="5" t="n">
        <v>2.9</v>
      </c>
      <c r="CI47" s="5"/>
      <c r="CJ47" s="5"/>
      <c r="CK47" s="5"/>
      <c r="CL47" s="5" t="s">
        <v>3524</v>
      </c>
      <c r="CM47" s="5" t="s">
        <v>2040</v>
      </c>
      <c r="CN47" s="5" t="s">
        <v>3550</v>
      </c>
      <c r="CO47" s="5" t="s">
        <v>2050</v>
      </c>
      <c r="CP47" s="5" t="s">
        <v>3558</v>
      </c>
      <c r="CQ47" s="23" t="s">
        <v>3559</v>
      </c>
      <c r="CR47" s="5" t="s">
        <v>807</v>
      </c>
      <c r="CS47" s="5" t="s">
        <v>3528</v>
      </c>
    </row>
    <row r="48" customFormat="false" ht="15" hidden="false" customHeight="true" outlineLevel="0" collapsed="false">
      <c r="A48" s="5" t="n">
        <v>164</v>
      </c>
      <c r="B48" s="5" t="n">
        <v>164</v>
      </c>
      <c r="C48" s="5" t="s">
        <v>791</v>
      </c>
      <c r="D48" s="5" t="n">
        <v>2000</v>
      </c>
      <c r="E48" s="5" t="s">
        <v>792</v>
      </c>
      <c r="F48" s="5" t="s">
        <v>836</v>
      </c>
      <c r="G48" s="5" t="s">
        <v>2049</v>
      </c>
      <c r="H48" s="5" t="n">
        <v>26.967</v>
      </c>
      <c r="I48" s="5" t="n">
        <v>80.567</v>
      </c>
      <c r="J48" s="5" t="s">
        <v>83</v>
      </c>
      <c r="K48" s="5" t="s">
        <v>3551</v>
      </c>
      <c r="L48" s="5" t="s">
        <v>802</v>
      </c>
      <c r="M48" s="5"/>
      <c r="N48" s="5"/>
      <c r="O48" s="5" t="n">
        <v>4.43</v>
      </c>
      <c r="P48" s="5"/>
      <c r="Q48" s="5"/>
      <c r="R48" s="5"/>
      <c r="S48" s="5"/>
      <c r="T48" s="5" t="n">
        <v>4.14</v>
      </c>
      <c r="U48" s="5"/>
      <c r="V48" s="5"/>
      <c r="W48" s="5"/>
      <c r="X48" s="5"/>
      <c r="Y48" s="5"/>
      <c r="Z48" s="5"/>
      <c r="AA48" s="5"/>
      <c r="AB48" s="5"/>
      <c r="AC48" s="5"/>
      <c r="AD48" s="5"/>
      <c r="AE48" s="5"/>
      <c r="AF48" s="5"/>
      <c r="AG48" s="5"/>
      <c r="AH48" s="5"/>
      <c r="AI48" s="5"/>
      <c r="AJ48" s="5"/>
      <c r="AK48" s="5"/>
      <c r="AL48" s="5"/>
      <c r="AM48" s="5" t="n">
        <v>5.76</v>
      </c>
      <c r="AN48" s="5"/>
      <c r="AO48" s="5"/>
      <c r="AP48" s="5"/>
      <c r="AQ48" s="5"/>
      <c r="AR48" s="5" t="n">
        <v>4.34</v>
      </c>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t="n">
        <v>1</v>
      </c>
      <c r="BW48" s="5" t="n">
        <v>4</v>
      </c>
      <c r="BX48" s="5" t="n">
        <f aca="false">IF(AND(N(BV48)&gt;0,N(BW48)&gt;0),SQRT(2*BV48/BW48),"")</f>
        <v>0.707106781186548</v>
      </c>
      <c r="BY48" s="5"/>
      <c r="BZ48" s="5"/>
      <c r="CA48" s="5"/>
      <c r="CB48" s="5" t="n">
        <v>818</v>
      </c>
      <c r="CC48" s="5" t="n">
        <v>26.967</v>
      </c>
      <c r="CD48" s="5" t="n">
        <v>11</v>
      </c>
      <c r="CE48" s="5"/>
      <c r="CF48" s="5"/>
      <c r="CG48" s="5" t="n">
        <v>8</v>
      </c>
      <c r="CH48" s="5" t="n">
        <v>2.9</v>
      </c>
      <c r="CI48" s="5"/>
      <c r="CJ48" s="5"/>
      <c r="CK48" s="5"/>
      <c r="CL48" s="5" t="s">
        <v>3524</v>
      </c>
      <c r="CM48" s="5" t="s">
        <v>2040</v>
      </c>
      <c r="CN48" s="5" t="s">
        <v>3552</v>
      </c>
      <c r="CO48" s="5" t="s">
        <v>2050</v>
      </c>
      <c r="CP48" s="5" t="s">
        <v>3558</v>
      </c>
      <c r="CQ48" s="23" t="s">
        <v>3559</v>
      </c>
      <c r="CR48" s="5" t="s">
        <v>807</v>
      </c>
      <c r="CS48" s="5" t="s">
        <v>3528</v>
      </c>
    </row>
    <row r="49" customFormat="false" ht="15" hidden="false" customHeight="true" outlineLevel="0" collapsed="false">
      <c r="A49" s="5" t="n">
        <v>164</v>
      </c>
      <c r="B49" s="5" t="n">
        <v>164</v>
      </c>
      <c r="C49" s="5" t="s">
        <v>791</v>
      </c>
      <c r="D49" s="5" t="n">
        <v>2000</v>
      </c>
      <c r="E49" s="5" t="s">
        <v>792</v>
      </c>
      <c r="F49" s="5" t="s">
        <v>836</v>
      </c>
      <c r="G49" s="5" t="s">
        <v>2049</v>
      </c>
      <c r="H49" s="5" t="n">
        <v>26.967</v>
      </c>
      <c r="I49" s="5" t="n">
        <v>80.567</v>
      </c>
      <c r="J49" s="5" t="s">
        <v>83</v>
      </c>
      <c r="K49" s="5" t="s">
        <v>3553</v>
      </c>
      <c r="L49" s="5" t="s">
        <v>802</v>
      </c>
      <c r="M49" s="5"/>
      <c r="N49" s="5"/>
      <c r="O49" s="5" t="n">
        <v>4.58</v>
      </c>
      <c r="P49" s="5"/>
      <c r="Q49" s="5"/>
      <c r="R49" s="5"/>
      <c r="S49" s="5"/>
      <c r="T49" s="5" t="n">
        <v>3.94</v>
      </c>
      <c r="U49" s="5"/>
      <c r="V49" s="5"/>
      <c r="W49" s="5"/>
      <c r="X49" s="5"/>
      <c r="Y49" s="5"/>
      <c r="Z49" s="5"/>
      <c r="AA49" s="5"/>
      <c r="AB49" s="5"/>
      <c r="AC49" s="5"/>
      <c r="AD49" s="5"/>
      <c r="AE49" s="5"/>
      <c r="AF49" s="5"/>
      <c r="AG49" s="5"/>
      <c r="AH49" s="5"/>
      <c r="AI49" s="5"/>
      <c r="AJ49" s="5"/>
      <c r="AK49" s="5"/>
      <c r="AL49" s="5"/>
      <c r="AM49" s="5" t="n">
        <v>5.85</v>
      </c>
      <c r="AN49" s="5"/>
      <c r="AO49" s="5"/>
      <c r="AP49" s="5"/>
      <c r="AQ49" s="5"/>
      <c r="AR49" s="5" t="n">
        <v>4.54</v>
      </c>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t="n">
        <v>1</v>
      </c>
      <c r="BW49" s="5" t="n">
        <v>4</v>
      </c>
      <c r="BX49" s="5" t="n">
        <f aca="false">IF(AND(N(BV49)&gt;0,N(BW49)&gt;0),SQRT(2*BV49/BW49),"")</f>
        <v>0.707106781186548</v>
      </c>
      <c r="BY49" s="5"/>
      <c r="BZ49" s="5"/>
      <c r="CA49" s="5"/>
      <c r="CB49" s="5" t="n">
        <v>818</v>
      </c>
      <c r="CC49" s="5" t="n">
        <v>26.967</v>
      </c>
      <c r="CD49" s="5" t="n">
        <v>12</v>
      </c>
      <c r="CE49" s="5"/>
      <c r="CF49" s="5"/>
      <c r="CG49" s="5" t="n">
        <v>8</v>
      </c>
      <c r="CH49" s="5" t="n">
        <v>2.9</v>
      </c>
      <c r="CI49" s="5"/>
      <c r="CJ49" s="5"/>
      <c r="CK49" s="5"/>
      <c r="CL49" s="5" t="s">
        <v>3524</v>
      </c>
      <c r="CM49" s="5" t="s">
        <v>2040</v>
      </c>
      <c r="CN49" s="5" t="s">
        <v>3554</v>
      </c>
      <c r="CO49" s="5" t="s">
        <v>2050</v>
      </c>
      <c r="CP49" s="5" t="s">
        <v>3558</v>
      </c>
      <c r="CQ49" s="23" t="s">
        <v>3559</v>
      </c>
      <c r="CR49" s="5" t="s">
        <v>807</v>
      </c>
      <c r="CS49" s="5" t="s">
        <v>3528</v>
      </c>
    </row>
    <row r="50" customFormat="false" ht="15" hidden="false" customHeight="true" outlineLevel="0" collapsed="false">
      <c r="A50" s="5" t="n">
        <v>164</v>
      </c>
      <c r="B50" s="5" t="n">
        <v>164</v>
      </c>
      <c r="C50" s="5" t="s">
        <v>791</v>
      </c>
      <c r="D50" s="5" t="n">
        <v>2000</v>
      </c>
      <c r="E50" s="5" t="s">
        <v>792</v>
      </c>
      <c r="F50" s="5" t="s">
        <v>836</v>
      </c>
      <c r="G50" s="5" t="s">
        <v>2049</v>
      </c>
      <c r="H50" s="5" t="n">
        <v>26.967</v>
      </c>
      <c r="I50" s="5" t="n">
        <v>80.567</v>
      </c>
      <c r="J50" s="5" t="s">
        <v>83</v>
      </c>
      <c r="K50" s="5" t="s">
        <v>2039</v>
      </c>
      <c r="L50" s="5" t="s">
        <v>802</v>
      </c>
      <c r="M50" s="5"/>
      <c r="N50" s="5"/>
      <c r="O50" s="5" t="n">
        <v>3.76</v>
      </c>
      <c r="P50" s="5"/>
      <c r="Q50" s="5"/>
      <c r="R50" s="5"/>
      <c r="S50" s="5"/>
      <c r="T50" s="5" t="n">
        <v>3.52</v>
      </c>
      <c r="U50" s="5"/>
      <c r="V50" s="5"/>
      <c r="W50" s="5"/>
      <c r="X50" s="5"/>
      <c r="Y50" s="5"/>
      <c r="Z50" s="5"/>
      <c r="AA50" s="5"/>
      <c r="AB50" s="5"/>
      <c r="AC50" s="5"/>
      <c r="AD50" s="5"/>
      <c r="AE50" s="5"/>
      <c r="AF50" s="5"/>
      <c r="AG50" s="5"/>
      <c r="AH50" s="5"/>
      <c r="AI50" s="5"/>
      <c r="AJ50" s="5"/>
      <c r="AK50" s="5"/>
      <c r="AL50" s="5"/>
      <c r="AM50" s="5" t="n">
        <v>5.22</v>
      </c>
      <c r="AN50" s="5"/>
      <c r="AO50" s="5"/>
      <c r="AP50" s="5"/>
      <c r="AQ50" s="5"/>
      <c r="AR50" s="5" t="n">
        <v>4.21</v>
      </c>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t="n">
        <v>1</v>
      </c>
      <c r="BW50" s="5" t="n">
        <v>4</v>
      </c>
      <c r="BX50" s="5" t="n">
        <f aca="false">IF(AND(N(BV50)&gt;0,N(BW50)&gt;0),SQRT(2*BV50/BW50),"")</f>
        <v>0.707106781186548</v>
      </c>
      <c r="BY50" s="5"/>
      <c r="BZ50" s="5"/>
      <c r="CA50" s="5"/>
      <c r="CB50" s="5" t="n">
        <v>818</v>
      </c>
      <c r="CC50" s="5" t="n">
        <v>26.967</v>
      </c>
      <c r="CD50" s="5" t="n">
        <v>13</v>
      </c>
      <c r="CE50" s="5"/>
      <c r="CF50" s="5"/>
      <c r="CG50" s="5" t="n">
        <v>8</v>
      </c>
      <c r="CH50" s="5" t="n">
        <v>2.9</v>
      </c>
      <c r="CI50" s="5"/>
      <c r="CJ50" s="5"/>
      <c r="CK50" s="5"/>
      <c r="CL50" s="5" t="s">
        <v>3524</v>
      </c>
      <c r="CM50" s="5" t="s">
        <v>2040</v>
      </c>
      <c r="CN50" s="5" t="s">
        <v>3555</v>
      </c>
      <c r="CO50" s="5" t="s">
        <v>2050</v>
      </c>
      <c r="CP50" s="5" t="s">
        <v>3558</v>
      </c>
      <c r="CQ50" s="23" t="s">
        <v>3559</v>
      </c>
      <c r="CR50" s="5" t="s">
        <v>807</v>
      </c>
      <c r="CS50" s="5" t="s">
        <v>3528</v>
      </c>
    </row>
    <row r="51" customFormat="false" ht="15" hidden="false" customHeight="true" outlineLevel="0" collapsed="false">
      <c r="A51" s="5" t="n">
        <v>164</v>
      </c>
      <c r="B51" s="5" t="n">
        <v>164</v>
      </c>
      <c r="C51" s="5" t="s">
        <v>791</v>
      </c>
      <c r="D51" s="5" t="n">
        <v>2000</v>
      </c>
      <c r="E51" s="5" t="s">
        <v>792</v>
      </c>
      <c r="F51" s="5" t="s">
        <v>836</v>
      </c>
      <c r="G51" s="5" t="s">
        <v>2052</v>
      </c>
      <c r="H51" s="5" t="n">
        <v>26.067</v>
      </c>
      <c r="I51" s="5" t="n">
        <v>82.133</v>
      </c>
      <c r="J51" s="5" t="s">
        <v>83</v>
      </c>
      <c r="K51" s="5" t="s">
        <v>3529</v>
      </c>
      <c r="L51" s="5" t="s">
        <v>821</v>
      </c>
      <c r="M51" s="5" t="s">
        <v>85</v>
      </c>
      <c r="N51" s="5"/>
      <c r="O51" s="5" t="n">
        <v>4.5</v>
      </c>
      <c r="P51" s="5"/>
      <c r="Q51" s="5"/>
      <c r="R51" s="5"/>
      <c r="S51" s="5"/>
      <c r="T51" s="5" t="n">
        <v>4.53</v>
      </c>
      <c r="U51" s="5"/>
      <c r="V51" s="5"/>
      <c r="W51" s="5"/>
      <c r="X51" s="5"/>
      <c r="Y51" s="5"/>
      <c r="Z51" s="5"/>
      <c r="AA51" s="5"/>
      <c r="AB51" s="5"/>
      <c r="AC51" s="5"/>
      <c r="AD51" s="5"/>
      <c r="AE51" s="5"/>
      <c r="AF51" s="5"/>
      <c r="AG51" s="5"/>
      <c r="AH51" s="5"/>
      <c r="AI51" s="5"/>
      <c r="AJ51" s="5"/>
      <c r="AK51" s="5"/>
      <c r="AL51" s="5"/>
      <c r="AM51" s="5" t="n">
        <v>4.6</v>
      </c>
      <c r="AN51" s="5"/>
      <c r="AO51" s="5"/>
      <c r="AP51" s="5"/>
      <c r="AQ51" s="5"/>
      <c r="AR51" s="5" t="n">
        <v>3.76</v>
      </c>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t="n">
        <v>1</v>
      </c>
      <c r="BW51" s="5" t="n">
        <v>4</v>
      </c>
      <c r="BX51" s="5" t="n">
        <f aca="false">IF(AND(N(BV51)&gt;0,N(BW51)&gt;0),SQRT(2*BV51/BW51),"")</f>
        <v>0.707106781186548</v>
      </c>
      <c r="BY51" s="5"/>
      <c r="BZ51" s="5"/>
      <c r="CA51" s="5"/>
      <c r="CB51" s="5" t="n">
        <v>1100</v>
      </c>
      <c r="CC51" s="5" t="n">
        <v>26.067</v>
      </c>
      <c r="CD51" s="5" t="n">
        <v>1</v>
      </c>
      <c r="CE51" s="5"/>
      <c r="CF51" s="5"/>
      <c r="CG51" s="5"/>
      <c r="CH51" s="5" t="n">
        <v>3.7</v>
      </c>
      <c r="CI51" s="5"/>
      <c r="CJ51" s="5"/>
      <c r="CK51" s="5"/>
      <c r="CL51" s="5" t="s">
        <v>3524</v>
      </c>
      <c r="CM51" s="5" t="s">
        <v>2040</v>
      </c>
      <c r="CN51" s="5" t="s">
        <v>3530</v>
      </c>
      <c r="CO51" s="5" t="s">
        <v>2053</v>
      </c>
      <c r="CP51" s="5" t="s">
        <v>3560</v>
      </c>
      <c r="CQ51" s="23" t="s">
        <v>3561</v>
      </c>
      <c r="CR51" s="5" t="s">
        <v>807</v>
      </c>
      <c r="CS51" s="5" t="s">
        <v>3528</v>
      </c>
    </row>
    <row r="52" customFormat="false" ht="15" hidden="false" customHeight="true" outlineLevel="0" collapsed="false">
      <c r="A52" s="5" t="n">
        <v>164</v>
      </c>
      <c r="B52" s="5" t="n">
        <v>164</v>
      </c>
      <c r="C52" s="5" t="s">
        <v>791</v>
      </c>
      <c r="D52" s="5" t="n">
        <v>2000</v>
      </c>
      <c r="E52" s="5" t="s">
        <v>792</v>
      </c>
      <c r="F52" s="5" t="s">
        <v>836</v>
      </c>
      <c r="G52" s="5" t="s">
        <v>2052</v>
      </c>
      <c r="H52" s="5" t="n">
        <v>26.067</v>
      </c>
      <c r="I52" s="5" t="n">
        <v>82.133</v>
      </c>
      <c r="J52" s="5" t="s">
        <v>83</v>
      </c>
      <c r="K52" s="5" t="s">
        <v>3531</v>
      </c>
      <c r="L52" s="5" t="s">
        <v>821</v>
      </c>
      <c r="M52" s="5" t="s">
        <v>85</v>
      </c>
      <c r="N52" s="5"/>
      <c r="O52" s="5" t="n">
        <v>2.97</v>
      </c>
      <c r="P52" s="5"/>
      <c r="Q52" s="5"/>
      <c r="R52" s="5"/>
      <c r="S52" s="5"/>
      <c r="T52" s="5" t="n">
        <v>2.8</v>
      </c>
      <c r="U52" s="5"/>
      <c r="V52" s="5"/>
      <c r="W52" s="5"/>
      <c r="X52" s="5"/>
      <c r="Y52" s="5"/>
      <c r="Z52" s="5"/>
      <c r="AA52" s="5"/>
      <c r="AB52" s="5"/>
      <c r="AC52" s="5"/>
      <c r="AD52" s="5"/>
      <c r="AE52" s="5"/>
      <c r="AF52" s="5"/>
      <c r="AG52" s="5"/>
      <c r="AH52" s="5"/>
      <c r="AI52" s="5"/>
      <c r="AJ52" s="5"/>
      <c r="AK52" s="5"/>
      <c r="AL52" s="5"/>
      <c r="AM52" s="5" t="n">
        <v>3.47</v>
      </c>
      <c r="AN52" s="5"/>
      <c r="AO52" s="5"/>
      <c r="AP52" s="5"/>
      <c r="AQ52" s="5"/>
      <c r="AR52" s="5" t="n">
        <v>3.8</v>
      </c>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t="n">
        <v>1</v>
      </c>
      <c r="BW52" s="5" t="n">
        <v>4</v>
      </c>
      <c r="BX52" s="5" t="n">
        <f aca="false">IF(AND(N(BV52)&gt;0,N(BW52)&gt;0),SQRT(2*BV52/BW52),"")</f>
        <v>0.707106781186548</v>
      </c>
      <c r="BY52" s="5"/>
      <c r="BZ52" s="5"/>
      <c r="CA52" s="5"/>
      <c r="CB52" s="5" t="n">
        <v>1100</v>
      </c>
      <c r="CC52" s="5" t="n">
        <v>26.067</v>
      </c>
      <c r="CD52" s="5" t="n">
        <v>2</v>
      </c>
      <c r="CE52" s="5"/>
      <c r="CF52" s="5"/>
      <c r="CG52" s="5"/>
      <c r="CH52" s="5" t="n">
        <v>3.7</v>
      </c>
      <c r="CI52" s="5"/>
      <c r="CJ52" s="5"/>
      <c r="CK52" s="5"/>
      <c r="CL52" s="5" t="s">
        <v>3524</v>
      </c>
      <c r="CM52" s="5" t="s">
        <v>2040</v>
      </c>
      <c r="CN52" s="5" t="s">
        <v>3532</v>
      </c>
      <c r="CO52" s="5" t="s">
        <v>2053</v>
      </c>
      <c r="CP52" s="5" t="s">
        <v>3560</v>
      </c>
      <c r="CQ52" s="23" t="s">
        <v>3561</v>
      </c>
      <c r="CR52" s="5" t="s">
        <v>807</v>
      </c>
      <c r="CS52" s="5" t="s">
        <v>3528</v>
      </c>
    </row>
    <row r="53" customFormat="false" ht="15" hidden="false" customHeight="true" outlineLevel="0" collapsed="false">
      <c r="A53" s="5" t="n">
        <v>164</v>
      </c>
      <c r="B53" s="5" t="n">
        <v>164</v>
      </c>
      <c r="C53" s="5" t="s">
        <v>791</v>
      </c>
      <c r="D53" s="5" t="n">
        <v>2000</v>
      </c>
      <c r="E53" s="5" t="s">
        <v>792</v>
      </c>
      <c r="F53" s="5" t="s">
        <v>836</v>
      </c>
      <c r="G53" s="5" t="s">
        <v>2052</v>
      </c>
      <c r="H53" s="5" t="n">
        <v>26.067</v>
      </c>
      <c r="I53" s="5" t="n">
        <v>82.133</v>
      </c>
      <c r="J53" s="5" t="s">
        <v>83</v>
      </c>
      <c r="K53" s="5" t="s">
        <v>3533</v>
      </c>
      <c r="L53" s="5" t="s">
        <v>821</v>
      </c>
      <c r="M53" s="5" t="s">
        <v>85</v>
      </c>
      <c r="N53" s="5"/>
      <c r="O53" s="5" t="n">
        <v>4.4</v>
      </c>
      <c r="P53" s="5"/>
      <c r="Q53" s="5"/>
      <c r="R53" s="5"/>
      <c r="S53" s="5"/>
      <c r="T53" s="5" t="n">
        <v>3.44</v>
      </c>
      <c r="U53" s="5"/>
      <c r="V53" s="5"/>
      <c r="W53" s="5"/>
      <c r="X53" s="5"/>
      <c r="Y53" s="5"/>
      <c r="Z53" s="5"/>
      <c r="AA53" s="5"/>
      <c r="AB53" s="5"/>
      <c r="AC53" s="5"/>
      <c r="AD53" s="5"/>
      <c r="AE53" s="5"/>
      <c r="AF53" s="5"/>
      <c r="AG53" s="5"/>
      <c r="AH53" s="5"/>
      <c r="AI53" s="5"/>
      <c r="AJ53" s="5"/>
      <c r="AK53" s="5"/>
      <c r="AL53" s="5"/>
      <c r="AM53" s="5" t="n">
        <v>3.73</v>
      </c>
      <c r="AN53" s="5"/>
      <c r="AO53" s="5"/>
      <c r="AP53" s="5"/>
      <c r="AQ53" s="5"/>
      <c r="AR53" s="5" t="n">
        <v>2.95</v>
      </c>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t="n">
        <v>1</v>
      </c>
      <c r="BW53" s="5" t="n">
        <v>4</v>
      </c>
      <c r="BX53" s="5" t="n">
        <f aca="false">IF(AND(N(BV53)&gt;0,N(BW53)&gt;0),SQRT(2*BV53/BW53),"")</f>
        <v>0.707106781186548</v>
      </c>
      <c r="BY53" s="5"/>
      <c r="BZ53" s="5"/>
      <c r="CA53" s="5"/>
      <c r="CB53" s="5" t="n">
        <v>1100</v>
      </c>
      <c r="CC53" s="5" t="n">
        <v>26.067</v>
      </c>
      <c r="CD53" s="5" t="n">
        <v>3</v>
      </c>
      <c r="CE53" s="5"/>
      <c r="CF53" s="5"/>
      <c r="CG53" s="5"/>
      <c r="CH53" s="5" t="n">
        <v>3.7</v>
      </c>
      <c r="CI53" s="5"/>
      <c r="CJ53" s="5"/>
      <c r="CK53" s="5"/>
      <c r="CL53" s="5" t="s">
        <v>3524</v>
      </c>
      <c r="CM53" s="5" t="s">
        <v>2040</v>
      </c>
      <c r="CN53" s="5" t="s">
        <v>3534</v>
      </c>
      <c r="CO53" s="5" t="s">
        <v>2053</v>
      </c>
      <c r="CP53" s="5" t="s">
        <v>3560</v>
      </c>
      <c r="CQ53" s="23" t="s">
        <v>3561</v>
      </c>
      <c r="CR53" s="5" t="s">
        <v>807</v>
      </c>
      <c r="CS53" s="5" t="s">
        <v>3528</v>
      </c>
    </row>
    <row r="54" customFormat="false" ht="15" hidden="false" customHeight="true" outlineLevel="0" collapsed="false">
      <c r="A54" s="5" t="n">
        <v>164</v>
      </c>
      <c r="B54" s="5" t="n">
        <v>164</v>
      </c>
      <c r="C54" s="5" t="s">
        <v>791</v>
      </c>
      <c r="D54" s="5" t="n">
        <v>2000</v>
      </c>
      <c r="E54" s="5" t="s">
        <v>792</v>
      </c>
      <c r="F54" s="5" t="s">
        <v>836</v>
      </c>
      <c r="G54" s="5" t="s">
        <v>2052</v>
      </c>
      <c r="H54" s="5" t="n">
        <v>26.067</v>
      </c>
      <c r="I54" s="5" t="n">
        <v>82.133</v>
      </c>
      <c r="J54" s="5" t="s">
        <v>83</v>
      </c>
      <c r="K54" s="5" t="s">
        <v>3535</v>
      </c>
      <c r="L54" s="5" t="s">
        <v>84</v>
      </c>
      <c r="M54" s="5" t="s">
        <v>85</v>
      </c>
      <c r="N54" s="5"/>
      <c r="O54" s="5" t="n">
        <v>0.98</v>
      </c>
      <c r="P54" s="5"/>
      <c r="Q54" s="5"/>
      <c r="R54" s="5"/>
      <c r="S54" s="5"/>
      <c r="T54" s="5" t="n">
        <v>0.96</v>
      </c>
      <c r="U54" s="5"/>
      <c r="V54" s="5"/>
      <c r="W54" s="5"/>
      <c r="X54" s="5"/>
      <c r="Y54" s="5"/>
      <c r="Z54" s="5"/>
      <c r="AA54" s="5"/>
      <c r="AB54" s="5"/>
      <c r="AC54" s="5"/>
      <c r="AD54" s="5"/>
      <c r="AE54" s="5"/>
      <c r="AF54" s="5"/>
      <c r="AG54" s="5"/>
      <c r="AH54" s="5"/>
      <c r="AI54" s="5"/>
      <c r="AJ54" s="5"/>
      <c r="AK54" s="5"/>
      <c r="AL54" s="5"/>
      <c r="AM54" s="5" t="n">
        <v>3.75</v>
      </c>
      <c r="AN54" s="5"/>
      <c r="AO54" s="5"/>
      <c r="AP54" s="5"/>
      <c r="AQ54" s="5"/>
      <c r="AR54" s="5" t="n">
        <v>2.95</v>
      </c>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t="n">
        <v>1</v>
      </c>
      <c r="BW54" s="5" t="n">
        <v>4</v>
      </c>
      <c r="BX54" s="5" t="n">
        <f aca="false">IF(AND(N(BV54)&gt;0,N(BW54)&gt;0),SQRT(2*BV54/BW54),"")</f>
        <v>0.707106781186548</v>
      </c>
      <c r="BY54" s="5"/>
      <c r="BZ54" s="5"/>
      <c r="CA54" s="5"/>
      <c r="CB54" s="5" t="n">
        <v>1100</v>
      </c>
      <c r="CC54" s="5" t="n">
        <v>26.067</v>
      </c>
      <c r="CD54" s="5" t="n">
        <v>4</v>
      </c>
      <c r="CE54" s="5"/>
      <c r="CF54" s="5"/>
      <c r="CG54" s="5"/>
      <c r="CH54" s="5" t="n">
        <v>3.7</v>
      </c>
      <c r="CI54" s="5"/>
      <c r="CJ54" s="5"/>
      <c r="CK54" s="5"/>
      <c r="CL54" s="5" t="s">
        <v>3524</v>
      </c>
      <c r="CM54" s="5" t="s">
        <v>2040</v>
      </c>
      <c r="CN54" s="5" t="s">
        <v>3536</v>
      </c>
      <c r="CO54" s="5" t="s">
        <v>2053</v>
      </c>
      <c r="CP54" s="5" t="s">
        <v>3560</v>
      </c>
      <c r="CQ54" s="23" t="s">
        <v>3561</v>
      </c>
      <c r="CR54" s="5" t="s">
        <v>807</v>
      </c>
      <c r="CS54" s="5" t="s">
        <v>3528</v>
      </c>
    </row>
    <row r="55" customFormat="false" ht="15" hidden="false" customHeight="true" outlineLevel="0" collapsed="false">
      <c r="A55" s="5" t="n">
        <v>164</v>
      </c>
      <c r="B55" s="5" t="n">
        <v>164</v>
      </c>
      <c r="C55" s="5" t="s">
        <v>791</v>
      </c>
      <c r="D55" s="5" t="n">
        <v>2000</v>
      </c>
      <c r="E55" s="5" t="s">
        <v>792</v>
      </c>
      <c r="F55" s="5" t="s">
        <v>836</v>
      </c>
      <c r="G55" s="5" t="s">
        <v>2052</v>
      </c>
      <c r="H55" s="5" t="n">
        <v>26.067</v>
      </c>
      <c r="I55" s="5" t="n">
        <v>82.133</v>
      </c>
      <c r="J55" s="5" t="s">
        <v>83</v>
      </c>
      <c r="K55" s="5" t="s">
        <v>3537</v>
      </c>
      <c r="L55" s="5" t="s">
        <v>84</v>
      </c>
      <c r="M55" s="5" t="s">
        <v>85</v>
      </c>
      <c r="N55" s="5"/>
      <c r="O55" s="5" t="n">
        <v>3.98</v>
      </c>
      <c r="P55" s="5"/>
      <c r="Q55" s="5"/>
      <c r="R55" s="5"/>
      <c r="S55" s="5"/>
      <c r="T55" s="5" t="n">
        <v>3.94</v>
      </c>
      <c r="U55" s="5"/>
      <c r="V55" s="5"/>
      <c r="W55" s="5"/>
      <c r="X55" s="5"/>
      <c r="Y55" s="5"/>
      <c r="Z55" s="5"/>
      <c r="AA55" s="5"/>
      <c r="AB55" s="5"/>
      <c r="AC55" s="5"/>
      <c r="AD55" s="5"/>
      <c r="AE55" s="5"/>
      <c r="AF55" s="5"/>
      <c r="AG55" s="5"/>
      <c r="AH55" s="5"/>
      <c r="AI55" s="5"/>
      <c r="AJ55" s="5"/>
      <c r="AK55" s="5"/>
      <c r="AL55" s="5"/>
      <c r="AM55" s="5" t="n">
        <v>5</v>
      </c>
      <c r="AN55" s="5"/>
      <c r="AO55" s="5"/>
      <c r="AP55" s="5"/>
      <c r="AQ55" s="5"/>
      <c r="AR55" s="5" t="n">
        <v>4.47</v>
      </c>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t="n">
        <v>1</v>
      </c>
      <c r="BW55" s="5" t="n">
        <v>4</v>
      </c>
      <c r="BX55" s="5" t="n">
        <f aca="false">IF(AND(N(BV55)&gt;0,N(BW55)&gt;0),SQRT(2*BV55/BW55),"")</f>
        <v>0.707106781186548</v>
      </c>
      <c r="BY55" s="5"/>
      <c r="BZ55" s="5"/>
      <c r="CA55" s="5"/>
      <c r="CB55" s="5" t="n">
        <v>1100</v>
      </c>
      <c r="CC55" s="5" t="n">
        <v>26.067</v>
      </c>
      <c r="CD55" s="5" t="n">
        <v>5</v>
      </c>
      <c r="CE55" s="5"/>
      <c r="CF55" s="5"/>
      <c r="CG55" s="5"/>
      <c r="CH55" s="5" t="n">
        <v>3.7</v>
      </c>
      <c r="CI55" s="5"/>
      <c r="CJ55" s="5"/>
      <c r="CK55" s="5"/>
      <c r="CL55" s="5" t="s">
        <v>3524</v>
      </c>
      <c r="CM55" s="5" t="s">
        <v>2040</v>
      </c>
      <c r="CN55" s="5" t="s">
        <v>3538</v>
      </c>
      <c r="CO55" s="5" t="s">
        <v>2053</v>
      </c>
      <c r="CP55" s="5" t="s">
        <v>3560</v>
      </c>
      <c r="CQ55" s="23" t="s">
        <v>3561</v>
      </c>
      <c r="CR55" s="5" t="s">
        <v>807</v>
      </c>
      <c r="CS55" s="5" t="s">
        <v>3528</v>
      </c>
    </row>
    <row r="56" customFormat="false" ht="15" hidden="false" customHeight="true" outlineLevel="0" collapsed="false">
      <c r="A56" s="5" t="n">
        <v>164</v>
      </c>
      <c r="B56" s="5" t="n">
        <v>164</v>
      </c>
      <c r="C56" s="5" t="s">
        <v>791</v>
      </c>
      <c r="D56" s="5" t="n">
        <v>2000</v>
      </c>
      <c r="E56" s="5" t="s">
        <v>792</v>
      </c>
      <c r="F56" s="5" t="s">
        <v>836</v>
      </c>
      <c r="G56" s="5" t="s">
        <v>2052</v>
      </c>
      <c r="H56" s="5" t="n">
        <v>26.067</v>
      </c>
      <c r="I56" s="5" t="n">
        <v>82.133</v>
      </c>
      <c r="J56" s="5" t="s">
        <v>83</v>
      </c>
      <c r="K56" s="5" t="s">
        <v>3539</v>
      </c>
      <c r="L56" s="5" t="s">
        <v>84</v>
      </c>
      <c r="M56" s="5" t="s">
        <v>85</v>
      </c>
      <c r="N56" s="5"/>
      <c r="O56" s="5" t="n">
        <v>3.25</v>
      </c>
      <c r="P56" s="5"/>
      <c r="Q56" s="5"/>
      <c r="R56" s="5"/>
      <c r="S56" s="5"/>
      <c r="T56" s="5" t="n">
        <v>3.67</v>
      </c>
      <c r="U56" s="5"/>
      <c r="V56" s="5"/>
      <c r="W56" s="5"/>
      <c r="X56" s="5"/>
      <c r="Y56" s="5"/>
      <c r="Z56" s="5"/>
      <c r="AA56" s="5"/>
      <c r="AB56" s="5"/>
      <c r="AC56" s="5"/>
      <c r="AD56" s="5"/>
      <c r="AE56" s="5"/>
      <c r="AF56" s="5"/>
      <c r="AG56" s="5"/>
      <c r="AH56" s="5"/>
      <c r="AI56" s="5"/>
      <c r="AJ56" s="5"/>
      <c r="AK56" s="5"/>
      <c r="AL56" s="5"/>
      <c r="AM56" s="5" t="n">
        <v>5.24</v>
      </c>
      <c r="AN56" s="5"/>
      <c r="AO56" s="5"/>
      <c r="AP56" s="5"/>
      <c r="AQ56" s="5"/>
      <c r="AR56" s="5" t="n">
        <v>4.32</v>
      </c>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t="n">
        <v>1</v>
      </c>
      <c r="BW56" s="5" t="n">
        <v>4</v>
      </c>
      <c r="BX56" s="5" t="n">
        <f aca="false">IF(AND(N(BV56)&gt;0,N(BW56)&gt;0),SQRT(2*BV56/BW56),"")</f>
        <v>0.707106781186548</v>
      </c>
      <c r="BY56" s="5"/>
      <c r="BZ56" s="5"/>
      <c r="CA56" s="5"/>
      <c r="CB56" s="5" t="n">
        <v>1100</v>
      </c>
      <c r="CC56" s="5" t="n">
        <v>26.067</v>
      </c>
      <c r="CD56" s="5" t="n">
        <v>6</v>
      </c>
      <c r="CE56" s="5"/>
      <c r="CF56" s="5"/>
      <c r="CG56" s="5"/>
      <c r="CH56" s="5" t="n">
        <v>3.7</v>
      </c>
      <c r="CI56" s="5"/>
      <c r="CJ56" s="5"/>
      <c r="CK56" s="5"/>
      <c r="CL56" s="5" t="s">
        <v>3524</v>
      </c>
      <c r="CM56" s="5" t="s">
        <v>2040</v>
      </c>
      <c r="CN56" s="5" t="s">
        <v>3540</v>
      </c>
      <c r="CO56" s="5" t="s">
        <v>2053</v>
      </c>
      <c r="CP56" s="5" t="s">
        <v>3560</v>
      </c>
      <c r="CQ56" s="23" t="s">
        <v>3561</v>
      </c>
      <c r="CR56" s="5" t="s">
        <v>807</v>
      </c>
      <c r="CS56" s="5" t="s">
        <v>3528</v>
      </c>
    </row>
    <row r="57" customFormat="false" ht="15" hidden="false" customHeight="true" outlineLevel="0" collapsed="false">
      <c r="A57" s="5" t="n">
        <v>164</v>
      </c>
      <c r="B57" s="5" t="n">
        <v>164</v>
      </c>
      <c r="C57" s="5" t="s">
        <v>791</v>
      </c>
      <c r="D57" s="5" t="n">
        <v>2000</v>
      </c>
      <c r="E57" s="5" t="s">
        <v>792</v>
      </c>
      <c r="F57" s="5" t="s">
        <v>836</v>
      </c>
      <c r="G57" s="5" t="s">
        <v>2052</v>
      </c>
      <c r="H57" s="5" t="n">
        <v>26.067</v>
      </c>
      <c r="I57" s="5" t="n">
        <v>82.133</v>
      </c>
      <c r="J57" s="5" t="s">
        <v>83</v>
      </c>
      <c r="K57" s="5" t="s">
        <v>3541</v>
      </c>
      <c r="L57" s="5" t="s">
        <v>84</v>
      </c>
      <c r="M57" s="5" t="s">
        <v>85</v>
      </c>
      <c r="N57" s="5"/>
      <c r="O57" s="5" t="n">
        <v>3.57</v>
      </c>
      <c r="P57" s="5"/>
      <c r="Q57" s="5"/>
      <c r="R57" s="5"/>
      <c r="S57" s="5"/>
      <c r="T57" s="5" t="n">
        <v>3.54</v>
      </c>
      <c r="U57" s="5"/>
      <c r="V57" s="5"/>
      <c r="W57" s="5"/>
      <c r="X57" s="5"/>
      <c r="Y57" s="5"/>
      <c r="Z57" s="5"/>
      <c r="AA57" s="5"/>
      <c r="AB57" s="5"/>
      <c r="AC57" s="5"/>
      <c r="AD57" s="5"/>
      <c r="AE57" s="5"/>
      <c r="AF57" s="5"/>
      <c r="AG57" s="5"/>
      <c r="AH57" s="5"/>
      <c r="AI57" s="5"/>
      <c r="AJ57" s="5"/>
      <c r="AK57" s="5"/>
      <c r="AL57" s="5"/>
      <c r="AM57" s="5" t="n">
        <v>4.86</v>
      </c>
      <c r="AN57" s="5"/>
      <c r="AO57" s="5"/>
      <c r="AP57" s="5"/>
      <c r="AQ57" s="5"/>
      <c r="AR57" s="5" t="n">
        <v>4.39</v>
      </c>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t="n">
        <v>1</v>
      </c>
      <c r="BW57" s="5" t="n">
        <v>4</v>
      </c>
      <c r="BX57" s="5" t="n">
        <f aca="false">IF(AND(N(BV57)&gt;0,N(BW57)&gt;0),SQRT(2*BV57/BW57),"")</f>
        <v>0.707106781186548</v>
      </c>
      <c r="BY57" s="5"/>
      <c r="BZ57" s="5"/>
      <c r="CA57" s="5"/>
      <c r="CB57" s="5" t="n">
        <v>1100</v>
      </c>
      <c r="CC57" s="5" t="n">
        <v>26.067</v>
      </c>
      <c r="CD57" s="5" t="n">
        <v>7</v>
      </c>
      <c r="CE57" s="5"/>
      <c r="CF57" s="5"/>
      <c r="CG57" s="5"/>
      <c r="CH57" s="5" t="n">
        <v>3.7</v>
      </c>
      <c r="CI57" s="5"/>
      <c r="CJ57" s="5"/>
      <c r="CK57" s="5"/>
      <c r="CL57" s="5" t="s">
        <v>3524</v>
      </c>
      <c r="CM57" s="5" t="s">
        <v>2040</v>
      </c>
      <c r="CN57" s="5" t="s">
        <v>3542</v>
      </c>
      <c r="CO57" s="5" t="s">
        <v>2053</v>
      </c>
      <c r="CP57" s="5" t="s">
        <v>3560</v>
      </c>
      <c r="CQ57" s="23" t="s">
        <v>3561</v>
      </c>
      <c r="CR57" s="5" t="s">
        <v>807</v>
      </c>
      <c r="CS57" s="5" t="s">
        <v>3528</v>
      </c>
    </row>
    <row r="58" customFormat="false" ht="15" hidden="false" customHeight="true" outlineLevel="0" collapsed="false">
      <c r="A58" s="5" t="n">
        <v>164</v>
      </c>
      <c r="B58" s="5" t="n">
        <v>164</v>
      </c>
      <c r="C58" s="5" t="s">
        <v>791</v>
      </c>
      <c r="D58" s="5" t="n">
        <v>2000</v>
      </c>
      <c r="E58" s="5" t="s">
        <v>792</v>
      </c>
      <c r="F58" s="5" t="s">
        <v>836</v>
      </c>
      <c r="G58" s="5" t="s">
        <v>2052</v>
      </c>
      <c r="H58" s="5" t="n">
        <v>26.067</v>
      </c>
      <c r="I58" s="5" t="n">
        <v>82.133</v>
      </c>
      <c r="J58" s="5" t="s">
        <v>83</v>
      </c>
      <c r="K58" s="5" t="s">
        <v>3543</v>
      </c>
      <c r="L58" s="5" t="s">
        <v>84</v>
      </c>
      <c r="M58" s="5" t="s">
        <v>85</v>
      </c>
      <c r="N58" s="5"/>
      <c r="O58" s="5" t="n">
        <v>3.27</v>
      </c>
      <c r="P58" s="5"/>
      <c r="Q58" s="5"/>
      <c r="R58" s="5"/>
      <c r="S58" s="5"/>
      <c r="T58" s="5" t="n">
        <v>3.04</v>
      </c>
      <c r="U58" s="5"/>
      <c r="V58" s="5"/>
      <c r="W58" s="5"/>
      <c r="X58" s="5"/>
      <c r="Y58" s="5"/>
      <c r="Z58" s="5"/>
      <c r="AA58" s="5"/>
      <c r="AB58" s="5"/>
      <c r="AC58" s="5"/>
      <c r="AD58" s="5"/>
      <c r="AE58" s="5"/>
      <c r="AF58" s="5"/>
      <c r="AG58" s="5"/>
      <c r="AH58" s="5"/>
      <c r="AI58" s="5"/>
      <c r="AJ58" s="5"/>
      <c r="AK58" s="5"/>
      <c r="AL58" s="5"/>
      <c r="AM58" s="5" t="n">
        <v>4.33</v>
      </c>
      <c r="AN58" s="5"/>
      <c r="AO58" s="5"/>
      <c r="AP58" s="5"/>
      <c r="AQ58" s="5"/>
      <c r="AR58" s="5" t="n">
        <v>4.19</v>
      </c>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t="n">
        <v>1</v>
      </c>
      <c r="BW58" s="5" t="n">
        <v>4</v>
      </c>
      <c r="BX58" s="5" t="n">
        <f aca="false">IF(AND(N(BV58)&gt;0,N(BW58)&gt;0),SQRT(2*BV58/BW58),"")</f>
        <v>0.707106781186548</v>
      </c>
      <c r="BY58" s="5"/>
      <c r="BZ58" s="5"/>
      <c r="CA58" s="5"/>
      <c r="CB58" s="5" t="n">
        <v>1100</v>
      </c>
      <c r="CC58" s="5" t="n">
        <v>26.067</v>
      </c>
      <c r="CD58" s="5" t="n">
        <v>8</v>
      </c>
      <c r="CE58" s="5"/>
      <c r="CF58" s="5"/>
      <c r="CG58" s="5"/>
      <c r="CH58" s="5" t="n">
        <v>3.7</v>
      </c>
      <c r="CI58" s="5"/>
      <c r="CJ58" s="5"/>
      <c r="CK58" s="5"/>
      <c r="CL58" s="5" t="s">
        <v>3524</v>
      </c>
      <c r="CM58" s="5" t="s">
        <v>2040</v>
      </c>
      <c r="CN58" s="5" t="s">
        <v>3544</v>
      </c>
      <c r="CO58" s="5" t="s">
        <v>2053</v>
      </c>
      <c r="CP58" s="5" t="s">
        <v>3560</v>
      </c>
      <c r="CQ58" s="23" t="s">
        <v>3561</v>
      </c>
      <c r="CR58" s="5" t="s">
        <v>807</v>
      </c>
      <c r="CS58" s="5" t="s">
        <v>3528</v>
      </c>
    </row>
    <row r="59" customFormat="false" ht="15" hidden="false" customHeight="true" outlineLevel="0" collapsed="false">
      <c r="A59" s="5" t="n">
        <v>164</v>
      </c>
      <c r="B59" s="5" t="n">
        <v>164</v>
      </c>
      <c r="C59" s="5" t="s">
        <v>791</v>
      </c>
      <c r="D59" s="5" t="n">
        <v>2000</v>
      </c>
      <c r="E59" s="5" t="s">
        <v>792</v>
      </c>
      <c r="F59" s="5" t="s">
        <v>836</v>
      </c>
      <c r="G59" s="5" t="s">
        <v>2052</v>
      </c>
      <c r="H59" s="5" t="n">
        <v>26.067</v>
      </c>
      <c r="I59" s="5" t="n">
        <v>82.133</v>
      </c>
      <c r="J59" s="5" t="s">
        <v>83</v>
      </c>
      <c r="K59" s="5" t="s">
        <v>3545</v>
      </c>
      <c r="L59" s="5" t="s">
        <v>84</v>
      </c>
      <c r="M59" s="5" t="s">
        <v>85</v>
      </c>
      <c r="N59" s="5"/>
      <c r="O59" s="5" t="n">
        <v>2.87</v>
      </c>
      <c r="P59" s="5"/>
      <c r="Q59" s="5"/>
      <c r="R59" s="5"/>
      <c r="S59" s="5"/>
      <c r="T59" s="5" t="n">
        <v>2.41</v>
      </c>
      <c r="U59" s="5"/>
      <c r="V59" s="5"/>
      <c r="W59" s="5"/>
      <c r="X59" s="5"/>
      <c r="Y59" s="5"/>
      <c r="Z59" s="5"/>
      <c r="AA59" s="5"/>
      <c r="AB59" s="5"/>
      <c r="AC59" s="5"/>
      <c r="AD59" s="5"/>
      <c r="AE59" s="5"/>
      <c r="AF59" s="5"/>
      <c r="AG59" s="5"/>
      <c r="AH59" s="5"/>
      <c r="AI59" s="5"/>
      <c r="AJ59" s="5"/>
      <c r="AK59" s="5"/>
      <c r="AL59" s="5"/>
      <c r="AM59" s="5" t="n">
        <v>3.96</v>
      </c>
      <c r="AN59" s="5"/>
      <c r="AO59" s="5"/>
      <c r="AP59" s="5"/>
      <c r="AQ59" s="5"/>
      <c r="AR59" s="5" t="n">
        <v>4.01</v>
      </c>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t="n">
        <v>1</v>
      </c>
      <c r="BW59" s="5" t="n">
        <v>4</v>
      </c>
      <c r="BX59" s="5" t="n">
        <f aca="false">IF(AND(N(BV59)&gt;0,N(BW59)&gt;0),SQRT(2*BV59/BW59),"")</f>
        <v>0.707106781186548</v>
      </c>
      <c r="BY59" s="5"/>
      <c r="BZ59" s="5"/>
      <c r="CA59" s="5"/>
      <c r="CB59" s="5" t="n">
        <v>1100</v>
      </c>
      <c r="CC59" s="5" t="n">
        <v>26.067</v>
      </c>
      <c r="CD59" s="5" t="n">
        <v>9</v>
      </c>
      <c r="CE59" s="5"/>
      <c r="CF59" s="5"/>
      <c r="CG59" s="5"/>
      <c r="CH59" s="5" t="n">
        <v>3.7</v>
      </c>
      <c r="CI59" s="5"/>
      <c r="CJ59" s="5"/>
      <c r="CK59" s="5"/>
      <c r="CL59" s="5" t="s">
        <v>3524</v>
      </c>
      <c r="CM59" s="5" t="s">
        <v>2040</v>
      </c>
      <c r="CN59" s="5" t="s">
        <v>3546</v>
      </c>
      <c r="CO59" s="5" t="s">
        <v>2053</v>
      </c>
      <c r="CP59" s="5" t="s">
        <v>3560</v>
      </c>
      <c r="CQ59" s="23" t="s">
        <v>3561</v>
      </c>
      <c r="CR59" s="5" t="s">
        <v>807</v>
      </c>
      <c r="CS59" s="5" t="s">
        <v>3528</v>
      </c>
    </row>
    <row r="60" customFormat="false" ht="15" hidden="false" customHeight="true" outlineLevel="0" collapsed="false">
      <c r="A60" s="5" t="n">
        <v>164</v>
      </c>
      <c r="B60" s="5" t="n">
        <v>164</v>
      </c>
      <c r="C60" s="5" t="s">
        <v>791</v>
      </c>
      <c r="D60" s="5" t="n">
        <v>2000</v>
      </c>
      <c r="E60" s="5" t="s">
        <v>792</v>
      </c>
      <c r="F60" s="5" t="s">
        <v>836</v>
      </c>
      <c r="G60" s="5" t="s">
        <v>2052</v>
      </c>
      <c r="H60" s="5" t="n">
        <v>26.067</v>
      </c>
      <c r="I60" s="5" t="n">
        <v>82.133</v>
      </c>
      <c r="J60" s="5" t="s">
        <v>83</v>
      </c>
      <c r="K60" s="5" t="s">
        <v>3547</v>
      </c>
      <c r="L60" s="5" t="s">
        <v>84</v>
      </c>
      <c r="M60" s="5" t="s">
        <v>85</v>
      </c>
      <c r="N60" s="5"/>
      <c r="O60" s="5" t="n">
        <v>4.5</v>
      </c>
      <c r="P60" s="5"/>
      <c r="Q60" s="5"/>
      <c r="R60" s="5"/>
      <c r="S60" s="5"/>
      <c r="T60" s="5" t="n">
        <v>4.43</v>
      </c>
      <c r="U60" s="5"/>
      <c r="V60" s="5"/>
      <c r="W60" s="5"/>
      <c r="X60" s="5"/>
      <c r="Y60" s="5"/>
      <c r="Z60" s="5"/>
      <c r="AA60" s="5"/>
      <c r="AB60" s="5"/>
      <c r="AC60" s="5"/>
      <c r="AD60" s="5"/>
      <c r="AE60" s="5"/>
      <c r="AF60" s="5"/>
      <c r="AG60" s="5"/>
      <c r="AH60" s="5"/>
      <c r="AI60" s="5"/>
      <c r="AJ60" s="5"/>
      <c r="AK60" s="5"/>
      <c r="AL60" s="5"/>
      <c r="AM60" s="5" t="n">
        <v>4.75</v>
      </c>
      <c r="AN60" s="5"/>
      <c r="AO60" s="5"/>
      <c r="AP60" s="5"/>
      <c r="AQ60" s="5"/>
      <c r="AR60" s="5" t="n">
        <v>4.39</v>
      </c>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t="n">
        <v>1</v>
      </c>
      <c r="BW60" s="5" t="n">
        <v>4</v>
      </c>
      <c r="BX60" s="5" t="n">
        <f aca="false">IF(AND(N(BV60)&gt;0,N(BW60)&gt;0),SQRT(2*BV60/BW60),"")</f>
        <v>0.707106781186548</v>
      </c>
      <c r="BY60" s="5"/>
      <c r="BZ60" s="5"/>
      <c r="CA60" s="5"/>
      <c r="CB60" s="5" t="n">
        <v>1100</v>
      </c>
      <c r="CC60" s="5" t="n">
        <v>26.067</v>
      </c>
      <c r="CD60" s="5" t="n">
        <v>10</v>
      </c>
      <c r="CE60" s="5"/>
      <c r="CF60" s="5"/>
      <c r="CG60" s="5"/>
      <c r="CH60" s="5" t="n">
        <v>3.7</v>
      </c>
      <c r="CI60" s="5"/>
      <c r="CJ60" s="5"/>
      <c r="CK60" s="5"/>
      <c r="CL60" s="5" t="s">
        <v>3524</v>
      </c>
      <c r="CM60" s="5" t="s">
        <v>2040</v>
      </c>
      <c r="CN60" s="5" t="s">
        <v>3548</v>
      </c>
      <c r="CO60" s="5" t="s">
        <v>2053</v>
      </c>
      <c r="CP60" s="5" t="s">
        <v>3560</v>
      </c>
      <c r="CQ60" s="23" t="s">
        <v>3561</v>
      </c>
      <c r="CR60" s="5" t="s">
        <v>807</v>
      </c>
      <c r="CS60" s="5" t="s">
        <v>3528</v>
      </c>
    </row>
    <row r="61" customFormat="false" ht="15" hidden="false" customHeight="true" outlineLevel="0" collapsed="false">
      <c r="A61" s="5" t="n">
        <v>164</v>
      </c>
      <c r="B61" s="5" t="n">
        <v>164</v>
      </c>
      <c r="C61" s="5" t="s">
        <v>791</v>
      </c>
      <c r="D61" s="5" t="n">
        <v>2000</v>
      </c>
      <c r="E61" s="5" t="s">
        <v>792</v>
      </c>
      <c r="F61" s="5" t="s">
        <v>836</v>
      </c>
      <c r="G61" s="5" t="s">
        <v>2052</v>
      </c>
      <c r="H61" s="5" t="n">
        <v>26.067</v>
      </c>
      <c r="I61" s="5" t="n">
        <v>82.133</v>
      </c>
      <c r="J61" s="5" t="s">
        <v>83</v>
      </c>
      <c r="K61" s="5" t="s">
        <v>3549</v>
      </c>
      <c r="L61" s="5" t="s">
        <v>802</v>
      </c>
      <c r="M61" s="5" t="s">
        <v>85</v>
      </c>
      <c r="N61" s="5"/>
      <c r="O61" s="5" t="n">
        <v>4.11</v>
      </c>
      <c r="P61" s="5"/>
      <c r="Q61" s="5"/>
      <c r="R61" s="5"/>
      <c r="S61" s="5"/>
      <c r="T61" s="5" t="n">
        <v>4.22</v>
      </c>
      <c r="U61" s="5"/>
      <c r="V61" s="5"/>
      <c r="W61" s="5"/>
      <c r="X61" s="5"/>
      <c r="Y61" s="5"/>
      <c r="Z61" s="5"/>
      <c r="AA61" s="5"/>
      <c r="AB61" s="5"/>
      <c r="AC61" s="5"/>
      <c r="AD61" s="5"/>
      <c r="AE61" s="5"/>
      <c r="AF61" s="5"/>
      <c r="AG61" s="5"/>
      <c r="AH61" s="5"/>
      <c r="AI61" s="5"/>
      <c r="AJ61" s="5"/>
      <c r="AK61" s="5"/>
      <c r="AL61" s="5"/>
      <c r="AM61" s="5" t="n">
        <v>4.56</v>
      </c>
      <c r="AN61" s="5"/>
      <c r="AO61" s="5"/>
      <c r="AP61" s="5"/>
      <c r="AQ61" s="5"/>
      <c r="AR61" s="5" t="n">
        <v>3.8</v>
      </c>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t="n">
        <v>1</v>
      </c>
      <c r="BW61" s="5" t="n">
        <v>4</v>
      </c>
      <c r="BX61" s="5" t="n">
        <f aca="false">IF(AND(N(BV61)&gt;0,N(BW61)&gt;0),SQRT(2*BV61/BW61),"")</f>
        <v>0.707106781186548</v>
      </c>
      <c r="BY61" s="5"/>
      <c r="BZ61" s="5"/>
      <c r="CA61" s="5"/>
      <c r="CB61" s="5" t="n">
        <v>1100</v>
      </c>
      <c r="CC61" s="5" t="n">
        <v>26.067</v>
      </c>
      <c r="CD61" s="5" t="n">
        <v>11</v>
      </c>
      <c r="CE61" s="5"/>
      <c r="CF61" s="5"/>
      <c r="CG61" s="5"/>
      <c r="CH61" s="5" t="n">
        <v>3.7</v>
      </c>
      <c r="CI61" s="5"/>
      <c r="CJ61" s="5"/>
      <c r="CK61" s="5"/>
      <c r="CL61" s="5" t="s">
        <v>3524</v>
      </c>
      <c r="CM61" s="5" t="s">
        <v>2040</v>
      </c>
      <c r="CN61" s="5" t="s">
        <v>3550</v>
      </c>
      <c r="CO61" s="5" t="s">
        <v>2053</v>
      </c>
      <c r="CP61" s="5" t="s">
        <v>3560</v>
      </c>
      <c r="CQ61" s="23" t="s">
        <v>3561</v>
      </c>
      <c r="CR61" s="5" t="s">
        <v>807</v>
      </c>
      <c r="CS61" s="5" t="s">
        <v>3528</v>
      </c>
    </row>
    <row r="62" customFormat="false" ht="14.25" hidden="false" customHeight="true" outlineLevel="0" collapsed="false">
      <c r="A62" s="5" t="n">
        <v>164</v>
      </c>
      <c r="B62" s="5" t="n">
        <v>164</v>
      </c>
      <c r="C62" s="5" t="s">
        <v>791</v>
      </c>
      <c r="D62" s="5" t="n">
        <v>2000</v>
      </c>
      <c r="E62" s="5" t="s">
        <v>792</v>
      </c>
      <c r="F62" s="5" t="s">
        <v>836</v>
      </c>
      <c r="G62" s="5" t="s">
        <v>2052</v>
      </c>
      <c r="H62" s="5" t="n">
        <v>26.067</v>
      </c>
      <c r="I62" s="5" t="n">
        <v>82.133</v>
      </c>
      <c r="J62" s="5" t="s">
        <v>83</v>
      </c>
      <c r="K62" s="5" t="s">
        <v>3551</v>
      </c>
      <c r="L62" s="5" t="s">
        <v>802</v>
      </c>
      <c r="M62" s="5" t="s">
        <v>85</v>
      </c>
      <c r="N62" s="5"/>
      <c r="O62" s="5" t="n">
        <v>4.08</v>
      </c>
      <c r="P62" s="5"/>
      <c r="Q62" s="5"/>
      <c r="R62" s="5"/>
      <c r="S62" s="5"/>
      <c r="T62" s="5" t="n">
        <v>3.9</v>
      </c>
      <c r="U62" s="5"/>
      <c r="V62" s="5"/>
      <c r="W62" s="5"/>
      <c r="X62" s="5"/>
      <c r="Y62" s="5"/>
      <c r="Z62" s="5"/>
      <c r="AA62" s="5"/>
      <c r="AB62" s="5"/>
      <c r="AC62" s="5"/>
      <c r="AD62" s="5"/>
      <c r="AE62" s="5"/>
      <c r="AF62" s="5"/>
      <c r="AG62" s="5"/>
      <c r="AH62" s="5"/>
      <c r="AI62" s="5"/>
      <c r="AJ62" s="5"/>
      <c r="AK62" s="5"/>
      <c r="AL62" s="5"/>
      <c r="AM62" s="5" t="n">
        <v>4.47</v>
      </c>
      <c r="AN62" s="5"/>
      <c r="AO62" s="5"/>
      <c r="AP62" s="5"/>
      <c r="AQ62" s="5"/>
      <c r="AR62" s="5" t="n">
        <v>4.34</v>
      </c>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t="n">
        <v>1</v>
      </c>
      <c r="BW62" s="5" t="n">
        <v>4</v>
      </c>
      <c r="BX62" s="5" t="n">
        <f aca="false">IF(AND(N(BV62)&gt;0,N(BW62)&gt;0),SQRT(2*BV62/BW62),"")</f>
        <v>0.707106781186548</v>
      </c>
      <c r="BY62" s="5"/>
      <c r="BZ62" s="5"/>
      <c r="CA62" s="5"/>
      <c r="CB62" s="5" t="n">
        <v>1100</v>
      </c>
      <c r="CC62" s="5" t="n">
        <v>26.067</v>
      </c>
      <c r="CD62" s="5" t="n">
        <v>12</v>
      </c>
      <c r="CE62" s="5"/>
      <c r="CF62" s="5"/>
      <c r="CG62" s="5"/>
      <c r="CH62" s="5" t="n">
        <v>3.7</v>
      </c>
      <c r="CI62" s="5"/>
      <c r="CJ62" s="5"/>
      <c r="CK62" s="5"/>
      <c r="CL62" s="5" t="s">
        <v>3524</v>
      </c>
      <c r="CM62" s="5" t="s">
        <v>2040</v>
      </c>
      <c r="CN62" s="5" t="s">
        <v>3552</v>
      </c>
      <c r="CO62" s="5" t="s">
        <v>2053</v>
      </c>
      <c r="CP62" s="5" t="s">
        <v>3560</v>
      </c>
      <c r="CQ62" s="23" t="s">
        <v>3561</v>
      </c>
      <c r="CR62" s="5" t="s">
        <v>807</v>
      </c>
      <c r="CS62" s="5" t="s">
        <v>3528</v>
      </c>
    </row>
    <row r="63" customFormat="false" ht="14.25" hidden="false" customHeight="true" outlineLevel="0" collapsed="false">
      <c r="A63" s="5" t="n">
        <v>164</v>
      </c>
      <c r="B63" s="5" t="n">
        <v>164</v>
      </c>
      <c r="C63" s="5" t="s">
        <v>791</v>
      </c>
      <c r="D63" s="5" t="n">
        <v>2000</v>
      </c>
      <c r="E63" s="5" t="s">
        <v>792</v>
      </c>
      <c r="F63" s="5" t="s">
        <v>836</v>
      </c>
      <c r="G63" s="5" t="s">
        <v>2052</v>
      </c>
      <c r="H63" s="5" t="n">
        <v>26.067</v>
      </c>
      <c r="I63" s="5" t="n">
        <v>82.133</v>
      </c>
      <c r="J63" s="5" t="s">
        <v>83</v>
      </c>
      <c r="K63" s="5" t="s">
        <v>3553</v>
      </c>
      <c r="L63" s="5" t="s">
        <v>802</v>
      </c>
      <c r="M63" s="5" t="s">
        <v>85</v>
      </c>
      <c r="N63" s="5"/>
      <c r="O63" s="5"/>
      <c r="P63" s="5"/>
      <c r="Q63" s="5"/>
      <c r="R63" s="5"/>
      <c r="S63" s="5"/>
      <c r="T63" s="5"/>
      <c r="U63" s="5"/>
      <c r="V63" s="5"/>
      <c r="W63" s="5"/>
      <c r="X63" s="5"/>
      <c r="Y63" s="5"/>
      <c r="Z63" s="5"/>
      <c r="AA63" s="5"/>
      <c r="AB63" s="5"/>
      <c r="AC63" s="5"/>
      <c r="AD63" s="5"/>
      <c r="AE63" s="5"/>
      <c r="AF63" s="5"/>
      <c r="AG63" s="5"/>
      <c r="AH63" s="5"/>
      <c r="AI63" s="5"/>
      <c r="AJ63" s="5"/>
      <c r="AK63" s="5"/>
      <c r="AL63" s="5"/>
      <c r="AM63" s="5" t="n">
        <v>4.29</v>
      </c>
      <c r="AN63" s="5"/>
      <c r="AO63" s="5"/>
      <c r="AP63" s="5"/>
      <c r="AQ63" s="5"/>
      <c r="AR63" s="5" t="n">
        <v>3.86</v>
      </c>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t="n">
        <v>1</v>
      </c>
      <c r="BW63" s="5" t="n">
        <v>4</v>
      </c>
      <c r="BX63" s="5" t="n">
        <f aca="false">IF(AND(N(BV63)&gt;0,N(BW63)&gt;0),SQRT(2*BV63/BW63),"")</f>
        <v>0.707106781186548</v>
      </c>
      <c r="BY63" s="5"/>
      <c r="BZ63" s="5"/>
      <c r="CA63" s="5"/>
      <c r="CB63" s="5" t="n">
        <v>1100</v>
      </c>
      <c r="CC63" s="5" t="n">
        <v>26.067</v>
      </c>
      <c r="CD63" s="5" t="n">
        <v>13</v>
      </c>
      <c r="CE63" s="5"/>
      <c r="CF63" s="5"/>
      <c r="CG63" s="5"/>
      <c r="CH63" s="5" t="n">
        <v>3.7</v>
      </c>
      <c r="CI63" s="5"/>
      <c r="CJ63" s="5"/>
      <c r="CK63" s="5"/>
      <c r="CL63" s="5" t="s">
        <v>3524</v>
      </c>
      <c r="CM63" s="5" t="s">
        <v>2040</v>
      </c>
      <c r="CN63" s="5" t="s">
        <v>3554</v>
      </c>
      <c r="CO63" s="5" t="s">
        <v>2053</v>
      </c>
      <c r="CP63" s="5" t="s">
        <v>3560</v>
      </c>
      <c r="CQ63" s="23" t="s">
        <v>3562</v>
      </c>
      <c r="CR63" s="5" t="s">
        <v>807</v>
      </c>
      <c r="CS63" s="5" t="s">
        <v>3528</v>
      </c>
    </row>
    <row r="64" customFormat="false" ht="14.25" hidden="false" customHeight="true" outlineLevel="0" collapsed="false">
      <c r="A64" s="5" t="n">
        <v>164</v>
      </c>
      <c r="B64" s="5" t="n">
        <v>164</v>
      </c>
      <c r="C64" s="5" t="s">
        <v>791</v>
      </c>
      <c r="D64" s="5" t="n">
        <v>2000</v>
      </c>
      <c r="E64" s="5" t="s">
        <v>792</v>
      </c>
      <c r="F64" s="5" t="s">
        <v>836</v>
      </c>
      <c r="G64" s="5" t="s">
        <v>2052</v>
      </c>
      <c r="H64" s="5" t="n">
        <v>26.067</v>
      </c>
      <c r="I64" s="5" t="n">
        <v>82.133</v>
      </c>
      <c r="J64" s="5" t="s">
        <v>83</v>
      </c>
      <c r="K64" s="5" t="s">
        <v>2039</v>
      </c>
      <c r="L64" s="5" t="s">
        <v>802</v>
      </c>
      <c r="M64" s="5" t="s">
        <v>85</v>
      </c>
      <c r="N64" s="5"/>
      <c r="O64" s="5"/>
      <c r="P64" s="5"/>
      <c r="Q64" s="5"/>
      <c r="R64" s="5"/>
      <c r="S64" s="5"/>
      <c r="T64" s="5"/>
      <c r="U64" s="5"/>
      <c r="V64" s="5"/>
      <c r="W64" s="5"/>
      <c r="X64" s="5"/>
      <c r="Y64" s="5"/>
      <c r="Z64" s="5"/>
      <c r="AA64" s="5"/>
      <c r="AB64" s="5"/>
      <c r="AC64" s="5"/>
      <c r="AD64" s="5"/>
      <c r="AE64" s="5"/>
      <c r="AF64" s="5"/>
      <c r="AG64" s="5"/>
      <c r="AH64" s="5"/>
      <c r="AI64" s="5"/>
      <c r="AJ64" s="5"/>
      <c r="AK64" s="5"/>
      <c r="AL64" s="5"/>
      <c r="AM64" s="5" t="n">
        <v>1.97</v>
      </c>
      <c r="AN64" s="5"/>
      <c r="AO64" s="5"/>
      <c r="AP64" s="5"/>
      <c r="AQ64" s="5"/>
      <c r="AR64" s="5" t="n">
        <v>1.81</v>
      </c>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t="n">
        <v>1</v>
      </c>
      <c r="BW64" s="5" t="n">
        <v>4</v>
      </c>
      <c r="BX64" s="5" t="n">
        <f aca="false">IF(AND(N(BV64)&gt;0,N(BW64)&gt;0),SQRT(2*BV64/BW64),"")</f>
        <v>0.707106781186548</v>
      </c>
      <c r="BY64" s="5"/>
      <c r="BZ64" s="5"/>
      <c r="CA64" s="5"/>
      <c r="CB64" s="5" t="n">
        <v>1100</v>
      </c>
      <c r="CC64" s="5" t="n">
        <v>26.067</v>
      </c>
      <c r="CD64" s="5" t="n">
        <v>14</v>
      </c>
      <c r="CE64" s="5"/>
      <c r="CF64" s="5"/>
      <c r="CG64" s="5"/>
      <c r="CH64" s="5" t="n">
        <v>3.7</v>
      </c>
      <c r="CI64" s="5"/>
      <c r="CJ64" s="5"/>
      <c r="CK64" s="5"/>
      <c r="CL64" s="5" t="s">
        <v>3524</v>
      </c>
      <c r="CM64" s="5" t="s">
        <v>2040</v>
      </c>
      <c r="CN64" s="5" t="s">
        <v>3555</v>
      </c>
      <c r="CO64" s="5" t="s">
        <v>2053</v>
      </c>
      <c r="CP64" s="5" t="s">
        <v>3560</v>
      </c>
      <c r="CQ64" s="23" t="s">
        <v>3563</v>
      </c>
      <c r="CR64" s="5" t="s">
        <v>807</v>
      </c>
      <c r="CS64" s="5" t="s">
        <v>3528</v>
      </c>
    </row>
    <row r="65" customFormat="false" ht="14.25" hidden="false" customHeight="true" outlineLevel="0" collapsed="false">
      <c r="A65" s="5" t="n">
        <v>164</v>
      </c>
      <c r="B65" s="5" t="n">
        <v>164</v>
      </c>
      <c r="C65" s="5" t="s">
        <v>791</v>
      </c>
      <c r="D65" s="5" t="n">
        <v>2000</v>
      </c>
      <c r="E65" s="5" t="s">
        <v>792</v>
      </c>
      <c r="F65" s="5" t="s">
        <v>1427</v>
      </c>
      <c r="G65" s="5" t="s">
        <v>2055</v>
      </c>
      <c r="H65" s="5" t="n">
        <v>25.233</v>
      </c>
      <c r="I65" s="5" t="n">
        <v>87.067</v>
      </c>
      <c r="J65" s="5" t="s">
        <v>83</v>
      </c>
      <c r="K65" s="5" t="s">
        <v>3529</v>
      </c>
      <c r="L65" s="5" t="s">
        <v>821</v>
      </c>
      <c r="M65" s="5" t="s">
        <v>2056</v>
      </c>
      <c r="N65" s="5"/>
      <c r="O65" s="5" t="n">
        <v>3.21</v>
      </c>
      <c r="P65" s="5"/>
      <c r="Q65" s="5"/>
      <c r="R65" s="5"/>
      <c r="S65" s="5"/>
      <c r="T65" s="5" t="n">
        <v>2.7</v>
      </c>
      <c r="U65" s="5"/>
      <c r="V65" s="5"/>
      <c r="W65" s="5"/>
      <c r="X65" s="5"/>
      <c r="Y65" s="5"/>
      <c r="Z65" s="5"/>
      <c r="AA65" s="5"/>
      <c r="AB65" s="5"/>
      <c r="AC65" s="5"/>
      <c r="AD65" s="5"/>
      <c r="AE65" s="5"/>
      <c r="AF65" s="5"/>
      <c r="AG65" s="5"/>
      <c r="AH65" s="5"/>
      <c r="AI65" s="5"/>
      <c r="AJ65" s="5"/>
      <c r="AK65" s="5"/>
      <c r="AL65" s="5"/>
      <c r="AM65" s="5" t="n">
        <v>3.81</v>
      </c>
      <c r="AN65" s="5"/>
      <c r="AO65" s="5"/>
      <c r="AP65" s="5"/>
      <c r="AQ65" s="5"/>
      <c r="AR65" s="5" t="n">
        <v>2.78</v>
      </c>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t="n">
        <v>1</v>
      </c>
      <c r="BW65" s="5" t="n">
        <v>4</v>
      </c>
      <c r="BX65" s="5" t="n">
        <f aca="false">IF(AND(N(BV65)&gt;0,N(BW65)&gt;0),SQRT(2*BV65/BW65),"")</f>
        <v>0.707106781186548</v>
      </c>
      <c r="BY65" s="5"/>
      <c r="BZ65" s="5"/>
      <c r="CA65" s="5"/>
      <c r="CB65" s="5" t="n">
        <v>1358</v>
      </c>
      <c r="CC65" s="5" t="n">
        <v>25.233</v>
      </c>
      <c r="CD65" s="5" t="n">
        <v>1</v>
      </c>
      <c r="CE65" s="5"/>
      <c r="CF65" s="5"/>
      <c r="CG65" s="5"/>
      <c r="CH65" s="5" t="n">
        <v>4.6</v>
      </c>
      <c r="CI65" s="5"/>
      <c r="CJ65" s="5"/>
      <c r="CK65" s="5"/>
      <c r="CL65" s="5" t="s">
        <v>3524</v>
      </c>
      <c r="CM65" s="5" t="s">
        <v>2040</v>
      </c>
      <c r="CN65" s="5" t="s">
        <v>3530</v>
      </c>
      <c r="CO65" s="5" t="s">
        <v>2057</v>
      </c>
      <c r="CP65" s="5" t="s">
        <v>3564</v>
      </c>
      <c r="CQ65" s="23" t="s">
        <v>3565</v>
      </c>
      <c r="CR65" s="5" t="s">
        <v>807</v>
      </c>
      <c r="CS65" s="5" t="s">
        <v>3528</v>
      </c>
    </row>
    <row r="66" customFormat="false" ht="14.25" hidden="false" customHeight="true" outlineLevel="0" collapsed="false">
      <c r="A66" s="5" t="n">
        <v>164</v>
      </c>
      <c r="B66" s="5" t="n">
        <v>164</v>
      </c>
      <c r="C66" s="5" t="s">
        <v>791</v>
      </c>
      <c r="D66" s="5" t="n">
        <v>2000</v>
      </c>
      <c r="E66" s="5" t="s">
        <v>792</v>
      </c>
      <c r="F66" s="5" t="s">
        <v>1427</v>
      </c>
      <c r="G66" s="5" t="s">
        <v>2055</v>
      </c>
      <c r="H66" s="5" t="n">
        <v>25.233</v>
      </c>
      <c r="I66" s="5" t="n">
        <v>87.067</v>
      </c>
      <c r="J66" s="5" t="s">
        <v>83</v>
      </c>
      <c r="K66" s="5" t="s">
        <v>3531</v>
      </c>
      <c r="L66" s="5" t="s">
        <v>821</v>
      </c>
      <c r="M66" s="5" t="s">
        <v>2056</v>
      </c>
      <c r="N66" s="5"/>
      <c r="O66" s="5" t="n">
        <v>2.5</v>
      </c>
      <c r="P66" s="5"/>
      <c r="Q66" s="5"/>
      <c r="R66" s="5"/>
      <c r="S66" s="5"/>
      <c r="T66" s="5" t="n">
        <v>2.55</v>
      </c>
      <c r="U66" s="5"/>
      <c r="V66" s="5"/>
      <c r="W66" s="5"/>
      <c r="X66" s="5"/>
      <c r="Y66" s="5"/>
      <c r="Z66" s="5"/>
      <c r="AA66" s="5"/>
      <c r="AB66" s="5"/>
      <c r="AC66" s="5"/>
      <c r="AD66" s="5"/>
      <c r="AE66" s="5"/>
      <c r="AF66" s="5"/>
      <c r="AG66" s="5"/>
      <c r="AH66" s="5"/>
      <c r="AI66" s="5"/>
      <c r="AJ66" s="5"/>
      <c r="AK66" s="5"/>
      <c r="AL66" s="5"/>
      <c r="AM66" s="5" t="n">
        <v>3.92</v>
      </c>
      <c r="AN66" s="5"/>
      <c r="AO66" s="5"/>
      <c r="AP66" s="5"/>
      <c r="AQ66" s="5"/>
      <c r="AR66" s="5" t="n">
        <v>3.45</v>
      </c>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t="n">
        <v>1</v>
      </c>
      <c r="BW66" s="5" t="n">
        <v>4</v>
      </c>
      <c r="BX66" s="5" t="n">
        <f aca="false">IF(AND(N(BV66)&gt;0,N(BW66)&gt;0),SQRT(2*BV66/BW66),"")</f>
        <v>0.707106781186548</v>
      </c>
      <c r="BY66" s="5"/>
      <c r="BZ66" s="5"/>
      <c r="CA66" s="5"/>
      <c r="CB66" s="5" t="n">
        <v>1358</v>
      </c>
      <c r="CC66" s="5" t="n">
        <v>25.233</v>
      </c>
      <c r="CD66" s="5" t="n">
        <v>2</v>
      </c>
      <c r="CE66" s="5"/>
      <c r="CF66" s="5"/>
      <c r="CG66" s="5"/>
      <c r="CH66" s="5" t="n">
        <v>4.6</v>
      </c>
      <c r="CI66" s="5"/>
      <c r="CJ66" s="5"/>
      <c r="CK66" s="5"/>
      <c r="CL66" s="5" t="s">
        <v>3524</v>
      </c>
      <c r="CM66" s="5" t="s">
        <v>2040</v>
      </c>
      <c r="CN66" s="5" t="s">
        <v>3532</v>
      </c>
      <c r="CO66" s="5" t="s">
        <v>2057</v>
      </c>
      <c r="CP66" s="5" t="s">
        <v>3564</v>
      </c>
      <c r="CQ66" s="23" t="s">
        <v>3565</v>
      </c>
      <c r="CR66" s="5" t="s">
        <v>807</v>
      </c>
      <c r="CS66" s="5" t="s">
        <v>3528</v>
      </c>
    </row>
    <row r="67" customFormat="false" ht="14.25" hidden="false" customHeight="true" outlineLevel="0" collapsed="false">
      <c r="A67" s="5" t="n">
        <v>164</v>
      </c>
      <c r="B67" s="5" t="n">
        <v>164</v>
      </c>
      <c r="C67" s="5" t="s">
        <v>791</v>
      </c>
      <c r="D67" s="5" t="n">
        <v>2000</v>
      </c>
      <c r="E67" s="5" t="s">
        <v>792</v>
      </c>
      <c r="F67" s="5" t="s">
        <v>1427</v>
      </c>
      <c r="G67" s="5" t="s">
        <v>2055</v>
      </c>
      <c r="H67" s="5" t="n">
        <v>25.233</v>
      </c>
      <c r="I67" s="5" t="n">
        <v>87.067</v>
      </c>
      <c r="J67" s="5" t="s">
        <v>83</v>
      </c>
      <c r="K67" s="5" t="s">
        <v>3533</v>
      </c>
      <c r="L67" s="5" t="s">
        <v>821</v>
      </c>
      <c r="M67" s="5" t="s">
        <v>2056</v>
      </c>
      <c r="N67" s="5"/>
      <c r="O67" s="5" t="n">
        <v>2.58</v>
      </c>
      <c r="P67" s="5"/>
      <c r="Q67" s="5"/>
      <c r="R67" s="5"/>
      <c r="S67" s="5"/>
      <c r="T67" s="5" t="n">
        <v>2.1</v>
      </c>
      <c r="U67" s="5"/>
      <c r="V67" s="5"/>
      <c r="W67" s="5"/>
      <c r="X67" s="5"/>
      <c r="Y67" s="5"/>
      <c r="Z67" s="5"/>
      <c r="AA67" s="5"/>
      <c r="AB67" s="5"/>
      <c r="AC67" s="5"/>
      <c r="AD67" s="5"/>
      <c r="AE67" s="5"/>
      <c r="AF67" s="5"/>
      <c r="AG67" s="5"/>
      <c r="AH67" s="5"/>
      <c r="AI67" s="5"/>
      <c r="AJ67" s="5"/>
      <c r="AK67" s="5"/>
      <c r="AL67" s="5"/>
      <c r="AM67" s="5" t="n">
        <v>4.06</v>
      </c>
      <c r="AN67" s="5"/>
      <c r="AO67" s="5"/>
      <c r="AP67" s="5"/>
      <c r="AQ67" s="5"/>
      <c r="AR67" s="5" t="n">
        <v>3.35</v>
      </c>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t="n">
        <v>1</v>
      </c>
      <c r="BW67" s="5" t="n">
        <v>4</v>
      </c>
      <c r="BX67" s="5" t="n">
        <f aca="false">IF(AND(N(BV67)&gt;0,N(BW67)&gt;0),SQRT(2*BV67/BW67),"")</f>
        <v>0.707106781186548</v>
      </c>
      <c r="BY67" s="5"/>
      <c r="BZ67" s="5"/>
      <c r="CA67" s="5"/>
      <c r="CB67" s="5" t="n">
        <v>1358</v>
      </c>
      <c r="CC67" s="5" t="n">
        <v>25.233</v>
      </c>
      <c r="CD67" s="5" t="n">
        <v>3</v>
      </c>
      <c r="CE67" s="5"/>
      <c r="CF67" s="5"/>
      <c r="CG67" s="5"/>
      <c r="CH67" s="5" t="n">
        <v>4.6</v>
      </c>
      <c r="CI67" s="5"/>
      <c r="CJ67" s="5"/>
      <c r="CK67" s="5"/>
      <c r="CL67" s="5" t="s">
        <v>3524</v>
      </c>
      <c r="CM67" s="5" t="s">
        <v>2040</v>
      </c>
      <c r="CN67" s="5" t="s">
        <v>3534</v>
      </c>
      <c r="CO67" s="5" t="s">
        <v>2057</v>
      </c>
      <c r="CP67" s="5" t="s">
        <v>3564</v>
      </c>
      <c r="CQ67" s="23" t="s">
        <v>3565</v>
      </c>
      <c r="CR67" s="5" t="s">
        <v>807</v>
      </c>
      <c r="CS67" s="5" t="s">
        <v>3528</v>
      </c>
    </row>
    <row r="68" customFormat="false" ht="14.25" hidden="false" customHeight="true" outlineLevel="0" collapsed="false">
      <c r="A68" s="5" t="n">
        <v>164</v>
      </c>
      <c r="B68" s="5" t="n">
        <v>164</v>
      </c>
      <c r="C68" s="5" t="s">
        <v>791</v>
      </c>
      <c r="D68" s="5" t="n">
        <v>2000</v>
      </c>
      <c r="E68" s="5" t="s">
        <v>792</v>
      </c>
      <c r="F68" s="5" t="s">
        <v>1427</v>
      </c>
      <c r="G68" s="5" t="s">
        <v>2055</v>
      </c>
      <c r="H68" s="5" t="n">
        <v>25.233</v>
      </c>
      <c r="I68" s="5" t="n">
        <v>87.067</v>
      </c>
      <c r="J68" s="5" t="s">
        <v>83</v>
      </c>
      <c r="K68" s="5" t="s">
        <v>3535</v>
      </c>
      <c r="L68" s="5" t="s">
        <v>84</v>
      </c>
      <c r="M68" s="5" t="s">
        <v>2056</v>
      </c>
      <c r="N68" s="5"/>
      <c r="O68" s="5" t="n">
        <v>2.88</v>
      </c>
      <c r="P68" s="5"/>
      <c r="Q68" s="5"/>
      <c r="R68" s="5"/>
      <c r="S68" s="5"/>
      <c r="T68" s="5" t="n">
        <v>2.86</v>
      </c>
      <c r="U68" s="5"/>
      <c r="V68" s="5"/>
      <c r="W68" s="5"/>
      <c r="X68" s="5"/>
      <c r="Y68" s="5"/>
      <c r="Z68" s="5"/>
      <c r="AA68" s="5"/>
      <c r="AB68" s="5"/>
      <c r="AC68" s="5"/>
      <c r="AD68" s="5"/>
      <c r="AE68" s="5"/>
      <c r="AF68" s="5"/>
      <c r="AG68" s="5"/>
      <c r="AH68" s="5"/>
      <c r="AI68" s="5"/>
      <c r="AJ68" s="5"/>
      <c r="AK68" s="5"/>
      <c r="AL68" s="5"/>
      <c r="AM68" s="5" t="n">
        <v>4.32</v>
      </c>
      <c r="AN68" s="5"/>
      <c r="AO68" s="5"/>
      <c r="AP68" s="5"/>
      <c r="AQ68" s="5"/>
      <c r="AR68" s="5" t="n">
        <v>3.49</v>
      </c>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t="n">
        <v>1</v>
      </c>
      <c r="BW68" s="5" t="n">
        <v>4</v>
      </c>
      <c r="BX68" s="5" t="n">
        <f aca="false">IF(AND(N(BV68)&gt;0,N(BW68)&gt;0),SQRT(2*BV68/BW68),"")</f>
        <v>0.707106781186548</v>
      </c>
      <c r="BY68" s="5"/>
      <c r="BZ68" s="5"/>
      <c r="CA68" s="5"/>
      <c r="CB68" s="5" t="n">
        <v>1358</v>
      </c>
      <c r="CC68" s="5" t="n">
        <v>25.233</v>
      </c>
      <c r="CD68" s="5" t="n">
        <v>4</v>
      </c>
      <c r="CE68" s="5"/>
      <c r="CF68" s="5"/>
      <c r="CG68" s="5"/>
      <c r="CH68" s="5" t="n">
        <v>4.6</v>
      </c>
      <c r="CI68" s="5"/>
      <c r="CJ68" s="5"/>
      <c r="CK68" s="5"/>
      <c r="CL68" s="5" t="s">
        <v>3524</v>
      </c>
      <c r="CM68" s="5" t="s">
        <v>2040</v>
      </c>
      <c r="CN68" s="5" t="s">
        <v>3536</v>
      </c>
      <c r="CO68" s="5" t="s">
        <v>2057</v>
      </c>
      <c r="CP68" s="5" t="s">
        <v>3564</v>
      </c>
      <c r="CQ68" s="23" t="s">
        <v>3565</v>
      </c>
      <c r="CR68" s="5" t="s">
        <v>807</v>
      </c>
      <c r="CS68" s="5" t="s">
        <v>3528</v>
      </c>
    </row>
    <row r="69" customFormat="false" ht="14.25" hidden="false" customHeight="true" outlineLevel="0" collapsed="false">
      <c r="A69" s="5" t="n">
        <v>164</v>
      </c>
      <c r="B69" s="5" t="n">
        <v>164</v>
      </c>
      <c r="C69" s="5" t="s">
        <v>791</v>
      </c>
      <c r="D69" s="5" t="n">
        <v>2000</v>
      </c>
      <c r="E69" s="5" t="s">
        <v>792</v>
      </c>
      <c r="F69" s="5" t="s">
        <v>1427</v>
      </c>
      <c r="G69" s="5" t="s">
        <v>2055</v>
      </c>
      <c r="H69" s="5" t="n">
        <v>25.233</v>
      </c>
      <c r="I69" s="5" t="n">
        <v>87.067</v>
      </c>
      <c r="J69" s="5" t="s">
        <v>83</v>
      </c>
      <c r="K69" s="5" t="s">
        <v>3537</v>
      </c>
      <c r="L69" s="5" t="s">
        <v>84</v>
      </c>
      <c r="M69" s="5" t="s">
        <v>2056</v>
      </c>
      <c r="N69" s="5"/>
      <c r="O69" s="5" t="n">
        <v>3.36</v>
      </c>
      <c r="P69" s="5"/>
      <c r="Q69" s="5"/>
      <c r="R69" s="5"/>
      <c r="S69" s="5"/>
      <c r="T69" s="5" t="n">
        <v>3.41</v>
      </c>
      <c r="U69" s="5"/>
      <c r="V69" s="5"/>
      <c r="W69" s="5"/>
      <c r="X69" s="5"/>
      <c r="Y69" s="5"/>
      <c r="Z69" s="5"/>
      <c r="AA69" s="5"/>
      <c r="AB69" s="5"/>
      <c r="AC69" s="5"/>
      <c r="AD69" s="5"/>
      <c r="AE69" s="5"/>
      <c r="AF69" s="5"/>
      <c r="AG69" s="5"/>
      <c r="AH69" s="5"/>
      <c r="AI69" s="5"/>
      <c r="AJ69" s="5"/>
      <c r="AK69" s="5"/>
      <c r="AL69" s="5"/>
      <c r="AM69" s="5" t="n">
        <v>4.03</v>
      </c>
      <c r="AN69" s="5"/>
      <c r="AO69" s="5"/>
      <c r="AP69" s="5"/>
      <c r="AQ69" s="5"/>
      <c r="AR69" s="5" t="n">
        <v>3.88</v>
      </c>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t="n">
        <v>1</v>
      </c>
      <c r="BW69" s="5" t="n">
        <v>4</v>
      </c>
      <c r="BX69" s="5" t="n">
        <f aca="false">IF(AND(N(BV69)&gt;0,N(BW69)&gt;0),SQRT(2*BV69/BW69),"")</f>
        <v>0.707106781186548</v>
      </c>
      <c r="BY69" s="5"/>
      <c r="BZ69" s="5"/>
      <c r="CA69" s="5"/>
      <c r="CB69" s="5" t="n">
        <v>1358</v>
      </c>
      <c r="CC69" s="5" t="n">
        <v>25.233</v>
      </c>
      <c r="CD69" s="5" t="n">
        <v>5</v>
      </c>
      <c r="CE69" s="5"/>
      <c r="CF69" s="5"/>
      <c r="CG69" s="5"/>
      <c r="CH69" s="5" t="n">
        <v>4.6</v>
      </c>
      <c r="CI69" s="5"/>
      <c r="CJ69" s="5"/>
      <c r="CK69" s="5"/>
      <c r="CL69" s="5" t="s">
        <v>3524</v>
      </c>
      <c r="CM69" s="5" t="s">
        <v>2040</v>
      </c>
      <c r="CN69" s="5" t="s">
        <v>3538</v>
      </c>
      <c r="CO69" s="5" t="s">
        <v>2057</v>
      </c>
      <c r="CP69" s="5" t="s">
        <v>3564</v>
      </c>
      <c r="CQ69" s="23" t="s">
        <v>3565</v>
      </c>
      <c r="CR69" s="5" t="s">
        <v>807</v>
      </c>
      <c r="CS69" s="5" t="s">
        <v>3528</v>
      </c>
    </row>
    <row r="70" customFormat="false" ht="14.25" hidden="false" customHeight="true" outlineLevel="0" collapsed="false">
      <c r="A70" s="5" t="n">
        <v>164</v>
      </c>
      <c r="B70" s="5" t="n">
        <v>164</v>
      </c>
      <c r="C70" s="5" t="s">
        <v>791</v>
      </c>
      <c r="D70" s="5" t="n">
        <v>2000</v>
      </c>
      <c r="E70" s="5" t="s">
        <v>792</v>
      </c>
      <c r="F70" s="5" t="s">
        <v>1427</v>
      </c>
      <c r="G70" s="5" t="s">
        <v>2055</v>
      </c>
      <c r="H70" s="5" t="n">
        <v>25.233</v>
      </c>
      <c r="I70" s="5" t="n">
        <v>87.067</v>
      </c>
      <c r="J70" s="5" t="s">
        <v>83</v>
      </c>
      <c r="K70" s="5" t="s">
        <v>3539</v>
      </c>
      <c r="L70" s="5" t="s">
        <v>84</v>
      </c>
      <c r="M70" s="5" t="s">
        <v>2056</v>
      </c>
      <c r="N70" s="5"/>
      <c r="O70" s="5" t="n">
        <v>3.45</v>
      </c>
      <c r="P70" s="5"/>
      <c r="Q70" s="5"/>
      <c r="R70" s="5"/>
      <c r="S70" s="5"/>
      <c r="T70" s="5" t="n">
        <v>3.48</v>
      </c>
      <c r="U70" s="5"/>
      <c r="V70" s="5"/>
      <c r="W70" s="5"/>
      <c r="X70" s="5"/>
      <c r="Y70" s="5"/>
      <c r="Z70" s="5"/>
      <c r="AA70" s="5"/>
      <c r="AB70" s="5"/>
      <c r="AC70" s="5"/>
      <c r="AD70" s="5"/>
      <c r="AE70" s="5"/>
      <c r="AF70" s="5"/>
      <c r="AG70" s="5"/>
      <c r="AH70" s="5"/>
      <c r="AI70" s="5"/>
      <c r="AJ70" s="5"/>
      <c r="AK70" s="5"/>
      <c r="AL70" s="5"/>
      <c r="AM70" s="5" t="n">
        <v>4.04</v>
      </c>
      <c r="AN70" s="5"/>
      <c r="AO70" s="5"/>
      <c r="AP70" s="5"/>
      <c r="AQ70" s="5"/>
      <c r="AR70" s="5" t="n">
        <v>3.83</v>
      </c>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t="n">
        <v>1</v>
      </c>
      <c r="BW70" s="5" t="n">
        <v>4</v>
      </c>
      <c r="BX70" s="5" t="n">
        <f aca="false">IF(AND(N(BV70)&gt;0,N(BW70)&gt;0),SQRT(2*BV70/BW70),"")</f>
        <v>0.707106781186548</v>
      </c>
      <c r="BY70" s="5"/>
      <c r="BZ70" s="5"/>
      <c r="CA70" s="5"/>
      <c r="CB70" s="5" t="n">
        <v>1358</v>
      </c>
      <c r="CC70" s="5" t="n">
        <v>25.233</v>
      </c>
      <c r="CD70" s="5" t="n">
        <v>6</v>
      </c>
      <c r="CE70" s="5"/>
      <c r="CF70" s="5"/>
      <c r="CG70" s="5"/>
      <c r="CH70" s="5" t="n">
        <v>4.6</v>
      </c>
      <c r="CI70" s="5"/>
      <c r="CJ70" s="5"/>
      <c r="CK70" s="5"/>
      <c r="CL70" s="5" t="s">
        <v>3524</v>
      </c>
      <c r="CM70" s="5" t="s">
        <v>2040</v>
      </c>
      <c r="CN70" s="5" t="s">
        <v>3540</v>
      </c>
      <c r="CO70" s="5" t="s">
        <v>2057</v>
      </c>
      <c r="CP70" s="5" t="s">
        <v>3564</v>
      </c>
      <c r="CQ70" s="23" t="s">
        <v>3565</v>
      </c>
      <c r="CR70" s="5" t="s">
        <v>807</v>
      </c>
      <c r="CS70" s="5" t="s">
        <v>3528</v>
      </c>
    </row>
    <row r="71" customFormat="false" ht="14.25" hidden="false" customHeight="true" outlineLevel="0" collapsed="false">
      <c r="A71" s="5" t="n">
        <v>164</v>
      </c>
      <c r="B71" s="5" t="n">
        <v>164</v>
      </c>
      <c r="C71" s="5" t="s">
        <v>791</v>
      </c>
      <c r="D71" s="5" t="n">
        <v>2000</v>
      </c>
      <c r="E71" s="5" t="s">
        <v>792</v>
      </c>
      <c r="F71" s="5" t="s">
        <v>1427</v>
      </c>
      <c r="G71" s="5" t="s">
        <v>2055</v>
      </c>
      <c r="H71" s="5" t="n">
        <v>25.233</v>
      </c>
      <c r="I71" s="5" t="n">
        <v>87.067</v>
      </c>
      <c r="J71" s="5" t="s">
        <v>83</v>
      </c>
      <c r="K71" s="5" t="s">
        <v>3541</v>
      </c>
      <c r="L71" s="5" t="s">
        <v>84</v>
      </c>
      <c r="M71" s="5" t="s">
        <v>2056</v>
      </c>
      <c r="N71" s="5"/>
      <c r="O71" s="5" t="n">
        <v>3.34</v>
      </c>
      <c r="P71" s="5"/>
      <c r="Q71" s="5"/>
      <c r="R71" s="5"/>
      <c r="S71" s="5"/>
      <c r="T71" s="5" t="n">
        <v>3.28</v>
      </c>
      <c r="U71" s="5"/>
      <c r="V71" s="5"/>
      <c r="W71" s="5"/>
      <c r="X71" s="5"/>
      <c r="Y71" s="5"/>
      <c r="Z71" s="5"/>
      <c r="AA71" s="5"/>
      <c r="AB71" s="5"/>
      <c r="AC71" s="5"/>
      <c r="AD71" s="5"/>
      <c r="AE71" s="5"/>
      <c r="AF71" s="5"/>
      <c r="AG71" s="5"/>
      <c r="AH71" s="5"/>
      <c r="AI71" s="5"/>
      <c r="AJ71" s="5"/>
      <c r="AK71" s="5"/>
      <c r="AL71" s="5"/>
      <c r="AM71" s="5" t="n">
        <v>4.06</v>
      </c>
      <c r="AN71" s="5"/>
      <c r="AO71" s="5"/>
      <c r="AP71" s="5"/>
      <c r="AQ71" s="5"/>
      <c r="AR71" s="5" t="n">
        <v>3.74</v>
      </c>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t="n">
        <v>1</v>
      </c>
      <c r="BW71" s="5" t="n">
        <v>4</v>
      </c>
      <c r="BX71" s="5" t="n">
        <f aca="false">IF(AND(N(BV71)&gt;0,N(BW71)&gt;0),SQRT(2*BV71/BW71),"")</f>
        <v>0.707106781186548</v>
      </c>
      <c r="BY71" s="5"/>
      <c r="BZ71" s="5"/>
      <c r="CA71" s="5"/>
      <c r="CB71" s="5" t="n">
        <v>1358</v>
      </c>
      <c r="CC71" s="5" t="n">
        <v>25.233</v>
      </c>
      <c r="CD71" s="5" t="n">
        <v>7</v>
      </c>
      <c r="CE71" s="5"/>
      <c r="CF71" s="5"/>
      <c r="CG71" s="5"/>
      <c r="CH71" s="5" t="n">
        <v>4.6</v>
      </c>
      <c r="CI71" s="5"/>
      <c r="CJ71" s="5"/>
      <c r="CK71" s="5"/>
      <c r="CL71" s="5" t="s">
        <v>3524</v>
      </c>
      <c r="CM71" s="5" t="s">
        <v>2040</v>
      </c>
      <c r="CN71" s="5" t="s">
        <v>3542</v>
      </c>
      <c r="CO71" s="5" t="s">
        <v>2057</v>
      </c>
      <c r="CP71" s="5" t="s">
        <v>3564</v>
      </c>
      <c r="CQ71" s="23" t="s">
        <v>3565</v>
      </c>
      <c r="CR71" s="5" t="s">
        <v>807</v>
      </c>
      <c r="CS71" s="5" t="s">
        <v>3528</v>
      </c>
    </row>
    <row r="72" customFormat="false" ht="14.25" hidden="false" customHeight="true" outlineLevel="0" collapsed="false">
      <c r="A72" s="5" t="n">
        <v>164</v>
      </c>
      <c r="B72" s="5" t="n">
        <v>164</v>
      </c>
      <c r="C72" s="5" t="s">
        <v>791</v>
      </c>
      <c r="D72" s="5" t="n">
        <v>2000</v>
      </c>
      <c r="E72" s="5" t="s">
        <v>792</v>
      </c>
      <c r="F72" s="5" t="s">
        <v>1427</v>
      </c>
      <c r="G72" s="5" t="s">
        <v>2055</v>
      </c>
      <c r="H72" s="5" t="n">
        <v>25.233</v>
      </c>
      <c r="I72" s="5" t="n">
        <v>87.067</v>
      </c>
      <c r="J72" s="5" t="s">
        <v>83</v>
      </c>
      <c r="K72" s="5" t="s">
        <v>3543</v>
      </c>
      <c r="L72" s="5" t="s">
        <v>84</v>
      </c>
      <c r="M72" s="5" t="s">
        <v>2056</v>
      </c>
      <c r="N72" s="5"/>
      <c r="O72" s="5" t="n">
        <v>3.23</v>
      </c>
      <c r="P72" s="5"/>
      <c r="Q72" s="5"/>
      <c r="R72" s="5"/>
      <c r="S72" s="5"/>
      <c r="T72" s="5" t="n">
        <v>3.12</v>
      </c>
      <c r="U72" s="5"/>
      <c r="V72" s="5"/>
      <c r="W72" s="5"/>
      <c r="X72" s="5"/>
      <c r="Y72" s="5"/>
      <c r="Z72" s="5"/>
      <c r="AA72" s="5"/>
      <c r="AB72" s="5"/>
      <c r="AC72" s="5"/>
      <c r="AD72" s="5"/>
      <c r="AE72" s="5"/>
      <c r="AF72" s="5"/>
      <c r="AG72" s="5"/>
      <c r="AH72" s="5"/>
      <c r="AI72" s="5"/>
      <c r="AJ72" s="5"/>
      <c r="AK72" s="5"/>
      <c r="AL72" s="5"/>
      <c r="AM72" s="5" t="n">
        <v>4.31</v>
      </c>
      <c r="AN72" s="5"/>
      <c r="AO72" s="5"/>
      <c r="AP72" s="5"/>
      <c r="AQ72" s="5"/>
      <c r="AR72" s="5" t="n">
        <v>4.01</v>
      </c>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t="n">
        <v>1</v>
      </c>
      <c r="BW72" s="5" t="n">
        <v>4</v>
      </c>
      <c r="BX72" s="5" t="n">
        <f aca="false">IF(AND(N(BV72)&gt;0,N(BW72)&gt;0),SQRT(2*BV72/BW72),"")</f>
        <v>0.707106781186548</v>
      </c>
      <c r="BY72" s="5"/>
      <c r="BZ72" s="5"/>
      <c r="CA72" s="5"/>
      <c r="CB72" s="5" t="n">
        <v>1358</v>
      </c>
      <c r="CC72" s="5" t="n">
        <v>25.233</v>
      </c>
      <c r="CD72" s="5" t="n">
        <v>8</v>
      </c>
      <c r="CE72" s="5"/>
      <c r="CF72" s="5"/>
      <c r="CG72" s="5"/>
      <c r="CH72" s="5" t="n">
        <v>4.6</v>
      </c>
      <c r="CI72" s="5"/>
      <c r="CJ72" s="5"/>
      <c r="CK72" s="5"/>
      <c r="CL72" s="5" t="s">
        <v>3524</v>
      </c>
      <c r="CM72" s="5" t="s">
        <v>2040</v>
      </c>
      <c r="CN72" s="5" t="s">
        <v>3544</v>
      </c>
      <c r="CO72" s="5" t="s">
        <v>2057</v>
      </c>
      <c r="CP72" s="5" t="s">
        <v>3564</v>
      </c>
      <c r="CQ72" s="23" t="s">
        <v>3565</v>
      </c>
      <c r="CR72" s="5" t="s">
        <v>807</v>
      </c>
      <c r="CS72" s="5" t="s">
        <v>3528</v>
      </c>
    </row>
    <row r="73" customFormat="false" ht="14.25" hidden="false" customHeight="true" outlineLevel="0" collapsed="false">
      <c r="A73" s="5" t="n">
        <v>164</v>
      </c>
      <c r="B73" s="5" t="n">
        <v>164</v>
      </c>
      <c r="C73" s="5" t="s">
        <v>791</v>
      </c>
      <c r="D73" s="5" t="n">
        <v>2000</v>
      </c>
      <c r="E73" s="5" t="s">
        <v>792</v>
      </c>
      <c r="F73" s="5" t="s">
        <v>1427</v>
      </c>
      <c r="G73" s="5" t="s">
        <v>2055</v>
      </c>
      <c r="H73" s="5" t="n">
        <v>25.233</v>
      </c>
      <c r="I73" s="5" t="n">
        <v>87.067</v>
      </c>
      <c r="J73" s="5" t="s">
        <v>83</v>
      </c>
      <c r="K73" s="5" t="s">
        <v>3545</v>
      </c>
      <c r="L73" s="5" t="s">
        <v>84</v>
      </c>
      <c r="M73" s="5" t="s">
        <v>2056</v>
      </c>
      <c r="N73" s="5"/>
      <c r="O73" s="5" t="n">
        <v>3.04</v>
      </c>
      <c r="P73" s="5"/>
      <c r="Q73" s="5"/>
      <c r="R73" s="5"/>
      <c r="S73" s="5"/>
      <c r="T73" s="5" t="n">
        <v>3.11</v>
      </c>
      <c r="U73" s="5"/>
      <c r="V73" s="5"/>
      <c r="W73" s="5"/>
      <c r="X73" s="5"/>
      <c r="Y73" s="5"/>
      <c r="Z73" s="5"/>
      <c r="AA73" s="5"/>
      <c r="AB73" s="5"/>
      <c r="AC73" s="5"/>
      <c r="AD73" s="5"/>
      <c r="AE73" s="5"/>
      <c r="AF73" s="5"/>
      <c r="AG73" s="5"/>
      <c r="AH73" s="5"/>
      <c r="AI73" s="5"/>
      <c r="AJ73" s="5"/>
      <c r="AK73" s="5"/>
      <c r="AL73" s="5"/>
      <c r="AM73" s="5" t="n">
        <v>3.18</v>
      </c>
      <c r="AN73" s="5"/>
      <c r="AO73" s="5"/>
      <c r="AP73" s="5"/>
      <c r="AQ73" s="5"/>
      <c r="AR73" s="5" t="n">
        <v>3.26</v>
      </c>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t="n">
        <v>1</v>
      </c>
      <c r="BW73" s="5" t="n">
        <v>4</v>
      </c>
      <c r="BX73" s="5" t="n">
        <f aca="false">IF(AND(N(BV73)&gt;0,N(BW73)&gt;0),SQRT(2*BV73/BW73),"")</f>
        <v>0.707106781186548</v>
      </c>
      <c r="BY73" s="5"/>
      <c r="BZ73" s="5"/>
      <c r="CA73" s="5"/>
      <c r="CB73" s="5" t="n">
        <v>1358</v>
      </c>
      <c r="CC73" s="5" t="n">
        <v>25.233</v>
      </c>
      <c r="CD73" s="5" t="n">
        <v>9</v>
      </c>
      <c r="CE73" s="5"/>
      <c r="CF73" s="5"/>
      <c r="CG73" s="5"/>
      <c r="CH73" s="5" t="n">
        <v>4.6</v>
      </c>
      <c r="CI73" s="5"/>
      <c r="CJ73" s="5"/>
      <c r="CK73" s="5"/>
      <c r="CL73" s="5" t="s">
        <v>3524</v>
      </c>
      <c r="CM73" s="5" t="s">
        <v>2040</v>
      </c>
      <c r="CN73" s="5" t="s">
        <v>3546</v>
      </c>
      <c r="CO73" s="5" t="s">
        <v>2057</v>
      </c>
      <c r="CP73" s="5" t="s">
        <v>3564</v>
      </c>
      <c r="CQ73" s="23" t="s">
        <v>3565</v>
      </c>
      <c r="CR73" s="5" t="s">
        <v>807</v>
      </c>
      <c r="CS73" s="5" t="s">
        <v>3528</v>
      </c>
    </row>
    <row r="74" customFormat="false" ht="14.25" hidden="false" customHeight="true" outlineLevel="0" collapsed="false">
      <c r="A74" s="5" t="n">
        <v>164</v>
      </c>
      <c r="B74" s="5" t="n">
        <v>164</v>
      </c>
      <c r="C74" s="5" t="s">
        <v>791</v>
      </c>
      <c r="D74" s="5" t="n">
        <v>2000</v>
      </c>
      <c r="E74" s="5" t="s">
        <v>792</v>
      </c>
      <c r="F74" s="5" t="s">
        <v>1427</v>
      </c>
      <c r="G74" s="5" t="s">
        <v>2055</v>
      </c>
      <c r="H74" s="5" t="n">
        <v>25.233</v>
      </c>
      <c r="I74" s="5" t="n">
        <v>87.067</v>
      </c>
      <c r="J74" s="5" t="s">
        <v>83</v>
      </c>
      <c r="K74" s="5" t="s">
        <v>3566</v>
      </c>
      <c r="L74" s="5" t="s">
        <v>802</v>
      </c>
      <c r="M74" s="5" t="s">
        <v>2056</v>
      </c>
      <c r="N74" s="5"/>
      <c r="O74" s="5" t="n">
        <v>3</v>
      </c>
      <c r="P74" s="5"/>
      <c r="Q74" s="5"/>
      <c r="R74" s="5"/>
      <c r="S74" s="5"/>
      <c r="T74" s="5" t="n">
        <v>3.07</v>
      </c>
      <c r="U74" s="5"/>
      <c r="V74" s="5"/>
      <c r="W74" s="5"/>
      <c r="X74" s="5"/>
      <c r="Y74" s="5"/>
      <c r="Z74" s="5"/>
      <c r="AA74" s="5"/>
      <c r="AB74" s="5"/>
      <c r="AC74" s="5"/>
      <c r="AD74" s="5"/>
      <c r="AE74" s="5"/>
      <c r="AF74" s="5"/>
      <c r="AG74" s="5"/>
      <c r="AH74" s="5"/>
      <c r="AI74" s="5"/>
      <c r="AJ74" s="5"/>
      <c r="AK74" s="5"/>
      <c r="AL74" s="5"/>
      <c r="AM74" s="5" t="n">
        <v>3.94</v>
      </c>
      <c r="AN74" s="5"/>
      <c r="AO74" s="5"/>
      <c r="AP74" s="5"/>
      <c r="AQ74" s="5"/>
      <c r="AR74" s="5" t="n">
        <v>4.04</v>
      </c>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t="n">
        <v>1</v>
      </c>
      <c r="BW74" s="5" t="n">
        <v>4</v>
      </c>
      <c r="BX74" s="5" t="n">
        <f aca="false">IF(AND(N(BV74)&gt;0,N(BW74)&gt;0),SQRT(2*BV74/BW74),"")</f>
        <v>0.707106781186548</v>
      </c>
      <c r="BY74" s="5"/>
      <c r="BZ74" s="5"/>
      <c r="CA74" s="5"/>
      <c r="CB74" s="5" t="n">
        <v>1358</v>
      </c>
      <c r="CC74" s="5" t="n">
        <v>25.233</v>
      </c>
      <c r="CD74" s="5" t="n">
        <v>11</v>
      </c>
      <c r="CE74" s="5"/>
      <c r="CF74" s="5"/>
      <c r="CG74" s="5"/>
      <c r="CH74" s="5" t="n">
        <v>4.6</v>
      </c>
      <c r="CI74" s="5"/>
      <c r="CJ74" s="5"/>
      <c r="CK74" s="5"/>
      <c r="CL74" s="5" t="s">
        <v>3524</v>
      </c>
      <c r="CM74" s="5" t="s">
        <v>2040</v>
      </c>
      <c r="CN74" s="5" t="s">
        <v>3567</v>
      </c>
      <c r="CO74" s="5" t="s">
        <v>2057</v>
      </c>
      <c r="CP74" s="5" t="s">
        <v>3564</v>
      </c>
      <c r="CQ74" s="23" t="s">
        <v>3565</v>
      </c>
      <c r="CR74" s="5" t="s">
        <v>807</v>
      </c>
      <c r="CS74" s="5" t="s">
        <v>3528</v>
      </c>
    </row>
    <row r="75" customFormat="false" ht="14.25" hidden="false" customHeight="true" outlineLevel="0" collapsed="false">
      <c r="A75" s="5" t="n">
        <v>164</v>
      </c>
      <c r="B75" s="5" t="n">
        <v>164</v>
      </c>
      <c r="C75" s="5" t="s">
        <v>791</v>
      </c>
      <c r="D75" s="5" t="n">
        <v>2000</v>
      </c>
      <c r="E75" s="5" t="s">
        <v>792</v>
      </c>
      <c r="F75" s="5" t="s">
        <v>1427</v>
      </c>
      <c r="G75" s="5" t="s">
        <v>2055</v>
      </c>
      <c r="H75" s="5" t="n">
        <v>25.233</v>
      </c>
      <c r="I75" s="5" t="n">
        <v>87.067</v>
      </c>
      <c r="J75" s="5" t="s">
        <v>83</v>
      </c>
      <c r="K75" s="5" t="s">
        <v>3553</v>
      </c>
      <c r="L75" s="5" t="s">
        <v>802</v>
      </c>
      <c r="M75" s="5" t="s">
        <v>2056</v>
      </c>
      <c r="N75" s="5"/>
      <c r="O75" s="5" t="n">
        <v>3.5</v>
      </c>
      <c r="P75" s="5"/>
      <c r="Q75" s="5"/>
      <c r="R75" s="5"/>
      <c r="S75" s="5"/>
      <c r="T75" s="5" t="n">
        <v>4.11</v>
      </c>
      <c r="U75" s="5"/>
      <c r="V75" s="5"/>
      <c r="W75" s="5"/>
      <c r="X75" s="5"/>
      <c r="Y75" s="5"/>
      <c r="Z75" s="5"/>
      <c r="AA75" s="5"/>
      <c r="AB75" s="5"/>
      <c r="AC75" s="5"/>
      <c r="AD75" s="5"/>
      <c r="AE75" s="5"/>
      <c r="AF75" s="5"/>
      <c r="AG75" s="5"/>
      <c r="AH75" s="5"/>
      <c r="AI75" s="5"/>
      <c r="AJ75" s="5"/>
      <c r="AK75" s="5"/>
      <c r="AL75" s="5"/>
      <c r="AM75" s="5" t="n">
        <v>4.68</v>
      </c>
      <c r="AN75" s="5"/>
      <c r="AO75" s="5"/>
      <c r="AP75" s="5"/>
      <c r="AQ75" s="5"/>
      <c r="AR75" s="5" t="n">
        <v>5.12</v>
      </c>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t="n">
        <v>1</v>
      </c>
      <c r="BW75" s="5" t="n">
        <v>4</v>
      </c>
      <c r="BX75" s="5" t="n">
        <f aca="false">IF(AND(N(BV75)&gt;0,N(BW75)&gt;0),SQRT(2*BV75/BW75),"")</f>
        <v>0.707106781186548</v>
      </c>
      <c r="BY75" s="5"/>
      <c r="BZ75" s="5"/>
      <c r="CA75" s="5"/>
      <c r="CB75" s="5" t="n">
        <v>1358</v>
      </c>
      <c r="CC75" s="5" t="n">
        <v>25.233</v>
      </c>
      <c r="CD75" s="5" t="n">
        <v>13</v>
      </c>
      <c r="CE75" s="5"/>
      <c r="CF75" s="5"/>
      <c r="CG75" s="5"/>
      <c r="CH75" s="5" t="n">
        <v>4.6</v>
      </c>
      <c r="CI75" s="5"/>
      <c r="CJ75" s="5"/>
      <c r="CK75" s="5"/>
      <c r="CL75" s="5" t="s">
        <v>3524</v>
      </c>
      <c r="CM75" s="5" t="s">
        <v>2040</v>
      </c>
      <c r="CN75" s="5" t="s">
        <v>3554</v>
      </c>
      <c r="CO75" s="5" t="s">
        <v>2057</v>
      </c>
      <c r="CP75" s="5" t="s">
        <v>3564</v>
      </c>
      <c r="CQ75" s="23" t="s">
        <v>3565</v>
      </c>
      <c r="CR75" s="5" t="s">
        <v>807</v>
      </c>
      <c r="CS75" s="5" t="s">
        <v>3528</v>
      </c>
    </row>
    <row r="76" customFormat="false" ht="14.25" hidden="false" customHeight="true" outlineLevel="0" collapsed="false">
      <c r="A76" s="5" t="n">
        <v>164</v>
      </c>
      <c r="B76" s="5" t="n">
        <v>164</v>
      </c>
      <c r="C76" s="5" t="s">
        <v>791</v>
      </c>
      <c r="D76" s="5" t="n">
        <v>2000</v>
      </c>
      <c r="E76" s="5" t="s">
        <v>792</v>
      </c>
      <c r="F76" s="5" t="s">
        <v>1427</v>
      </c>
      <c r="G76" s="5" t="s">
        <v>2055</v>
      </c>
      <c r="H76" s="5" t="n">
        <v>25.233</v>
      </c>
      <c r="I76" s="5" t="n">
        <v>87.067</v>
      </c>
      <c r="J76" s="5" t="s">
        <v>83</v>
      </c>
      <c r="K76" s="5" t="s">
        <v>2039</v>
      </c>
      <c r="L76" s="5" t="s">
        <v>802</v>
      </c>
      <c r="M76" s="5" t="s">
        <v>2056</v>
      </c>
      <c r="N76" s="5"/>
      <c r="O76" s="5" t="n">
        <v>3.55</v>
      </c>
      <c r="P76" s="5"/>
      <c r="Q76" s="5"/>
      <c r="R76" s="5"/>
      <c r="S76" s="5"/>
      <c r="T76" s="5" t="n">
        <v>4.07</v>
      </c>
      <c r="U76" s="5"/>
      <c r="V76" s="5"/>
      <c r="W76" s="5"/>
      <c r="X76" s="5"/>
      <c r="Y76" s="5"/>
      <c r="Z76" s="5"/>
      <c r="AA76" s="5"/>
      <c r="AB76" s="5"/>
      <c r="AC76" s="5"/>
      <c r="AD76" s="5"/>
      <c r="AE76" s="5"/>
      <c r="AF76" s="5"/>
      <c r="AG76" s="5"/>
      <c r="AH76" s="5"/>
      <c r="AI76" s="5"/>
      <c r="AJ76" s="5"/>
      <c r="AK76" s="5"/>
      <c r="AL76" s="5"/>
      <c r="AM76" s="5" t="n">
        <v>4.95</v>
      </c>
      <c r="AN76" s="5"/>
      <c r="AO76" s="5"/>
      <c r="AP76" s="5"/>
      <c r="AQ76" s="5"/>
      <c r="AR76" s="5" t="n">
        <v>5.4</v>
      </c>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t="n">
        <v>1</v>
      </c>
      <c r="BW76" s="5" t="n">
        <v>4</v>
      </c>
      <c r="BX76" s="5" t="n">
        <f aca="false">IF(AND(N(BV76)&gt;0,N(BW76)&gt;0),SQRT(2*BV76/BW76),"")</f>
        <v>0.707106781186548</v>
      </c>
      <c r="BY76" s="5"/>
      <c r="BZ76" s="5"/>
      <c r="CA76" s="5"/>
      <c r="CB76" s="5" t="n">
        <v>1358</v>
      </c>
      <c r="CC76" s="5" t="n">
        <v>25.233</v>
      </c>
      <c r="CD76" s="5" t="n">
        <v>14</v>
      </c>
      <c r="CE76" s="5"/>
      <c r="CF76" s="5"/>
      <c r="CG76" s="5"/>
      <c r="CH76" s="5" t="n">
        <v>4.6</v>
      </c>
      <c r="CI76" s="5"/>
      <c r="CJ76" s="5"/>
      <c r="CK76" s="5"/>
      <c r="CL76" s="5" t="s">
        <v>3524</v>
      </c>
      <c r="CM76" s="5" t="s">
        <v>2040</v>
      </c>
      <c r="CN76" s="5" t="s">
        <v>3555</v>
      </c>
      <c r="CO76" s="5" t="s">
        <v>2057</v>
      </c>
      <c r="CP76" s="5" t="s">
        <v>3564</v>
      </c>
      <c r="CQ76" s="23" t="s">
        <v>3565</v>
      </c>
      <c r="CR76" s="5" t="s">
        <v>807</v>
      </c>
      <c r="CS76" s="5" t="s">
        <v>3528</v>
      </c>
    </row>
    <row r="77" customFormat="false" ht="14.25" hidden="false" customHeight="true" outlineLevel="0" collapsed="false">
      <c r="A77" s="5" t="n">
        <v>164</v>
      </c>
      <c r="B77" s="5" t="n">
        <v>164</v>
      </c>
      <c r="C77" s="5" t="s">
        <v>791</v>
      </c>
      <c r="D77" s="5" t="n">
        <v>2000</v>
      </c>
      <c r="E77" s="5" t="s">
        <v>792</v>
      </c>
      <c r="F77" s="5" t="s">
        <v>1431</v>
      </c>
      <c r="G77" s="5" t="s">
        <v>2059</v>
      </c>
      <c r="H77" s="5" t="n">
        <v>23</v>
      </c>
      <c r="I77" s="5" t="n">
        <v>89</v>
      </c>
      <c r="J77" s="5" t="s">
        <v>83</v>
      </c>
      <c r="K77" s="5" t="s">
        <v>3533</v>
      </c>
      <c r="L77" s="5" t="s">
        <v>821</v>
      </c>
      <c r="M77" s="5"/>
      <c r="N77" s="5"/>
      <c r="O77" s="5" t="n">
        <v>2.05</v>
      </c>
      <c r="P77" s="5"/>
      <c r="Q77" s="5"/>
      <c r="R77" s="5"/>
      <c r="S77" s="5"/>
      <c r="T77" s="5" t="n">
        <v>2.78</v>
      </c>
      <c r="U77" s="5"/>
      <c r="V77" s="5"/>
      <c r="W77" s="5"/>
      <c r="X77" s="5"/>
      <c r="Y77" s="5"/>
      <c r="Z77" s="5"/>
      <c r="AA77" s="5"/>
      <c r="AB77" s="5"/>
      <c r="AC77" s="5"/>
      <c r="AD77" s="5"/>
      <c r="AE77" s="5"/>
      <c r="AF77" s="5"/>
      <c r="AG77" s="5"/>
      <c r="AH77" s="5"/>
      <c r="AI77" s="5"/>
      <c r="AJ77" s="5"/>
      <c r="AK77" s="5"/>
      <c r="AL77" s="5"/>
      <c r="AM77" s="5" t="n">
        <v>3.24</v>
      </c>
      <c r="AN77" s="5"/>
      <c r="AO77" s="5"/>
      <c r="AP77" s="5"/>
      <c r="AQ77" s="5"/>
      <c r="AR77" s="5" t="n">
        <v>3.2</v>
      </c>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t="n">
        <v>1</v>
      </c>
      <c r="BW77" s="5" t="n">
        <v>4</v>
      </c>
      <c r="BX77" s="5" t="n">
        <f aca="false">IF(AND(N(BV77)&gt;0,N(BW77)&gt;0),SQRT(2*BV77/BW77),"")</f>
        <v>0.707106781186548</v>
      </c>
      <c r="BY77" s="5"/>
      <c r="BZ77" s="5"/>
      <c r="CA77" s="5"/>
      <c r="CB77" s="5"/>
      <c r="CC77" s="5" t="n">
        <v>23</v>
      </c>
      <c r="CD77" s="5" t="n">
        <v>1</v>
      </c>
      <c r="CE77" s="5"/>
      <c r="CF77" s="5"/>
      <c r="CG77" s="5"/>
      <c r="CH77" s="5" t="n">
        <v>9.2</v>
      </c>
      <c r="CI77" s="5"/>
      <c r="CJ77" s="5"/>
      <c r="CK77" s="5"/>
      <c r="CL77" s="5" t="s">
        <v>3524</v>
      </c>
      <c r="CM77" s="5" t="s">
        <v>2040</v>
      </c>
      <c r="CN77" s="5" t="s">
        <v>3534</v>
      </c>
      <c r="CO77" s="5" t="s">
        <v>2062</v>
      </c>
      <c r="CP77" s="5" t="s">
        <v>3568</v>
      </c>
      <c r="CQ77" s="23" t="s">
        <v>3569</v>
      </c>
      <c r="CR77" s="5" t="s">
        <v>807</v>
      </c>
      <c r="CS77" s="5" t="s">
        <v>3528</v>
      </c>
    </row>
    <row r="78" customFormat="false" ht="14.25" hidden="false" customHeight="true" outlineLevel="0" collapsed="false">
      <c r="A78" s="5" t="n">
        <v>164</v>
      </c>
      <c r="B78" s="5" t="n">
        <v>164</v>
      </c>
      <c r="C78" s="5" t="s">
        <v>791</v>
      </c>
      <c r="D78" s="5" t="n">
        <v>2000</v>
      </c>
      <c r="E78" s="5" t="s">
        <v>792</v>
      </c>
      <c r="F78" s="5" t="s">
        <v>1431</v>
      </c>
      <c r="G78" s="5" t="s">
        <v>2059</v>
      </c>
      <c r="H78" s="5" t="n">
        <v>23</v>
      </c>
      <c r="I78" s="5" t="n">
        <v>89</v>
      </c>
      <c r="J78" s="5" t="s">
        <v>83</v>
      </c>
      <c r="K78" s="5" t="s">
        <v>3535</v>
      </c>
      <c r="L78" s="5" t="s">
        <v>821</v>
      </c>
      <c r="M78" s="5"/>
      <c r="N78" s="5"/>
      <c r="O78" s="5" t="n">
        <v>3.69</v>
      </c>
      <c r="P78" s="5"/>
      <c r="Q78" s="5"/>
      <c r="R78" s="5"/>
      <c r="S78" s="5"/>
      <c r="T78" s="5" t="n">
        <v>3.72</v>
      </c>
      <c r="U78" s="5"/>
      <c r="V78" s="5"/>
      <c r="W78" s="5"/>
      <c r="X78" s="5"/>
      <c r="Y78" s="5"/>
      <c r="Z78" s="5"/>
      <c r="AA78" s="5"/>
      <c r="AB78" s="5"/>
      <c r="AC78" s="5"/>
      <c r="AD78" s="5"/>
      <c r="AE78" s="5"/>
      <c r="AF78" s="5"/>
      <c r="AG78" s="5"/>
      <c r="AH78" s="5"/>
      <c r="AI78" s="5"/>
      <c r="AJ78" s="5"/>
      <c r="AK78" s="5"/>
      <c r="AL78" s="5"/>
      <c r="AM78" s="5" t="n">
        <v>3.33</v>
      </c>
      <c r="AN78" s="5"/>
      <c r="AO78" s="5"/>
      <c r="AP78" s="5"/>
      <c r="AQ78" s="5"/>
      <c r="AR78" s="5" t="n">
        <v>3.17</v>
      </c>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t="n">
        <v>1</v>
      </c>
      <c r="BW78" s="5" t="n">
        <v>4</v>
      </c>
      <c r="BX78" s="5" t="n">
        <f aca="false">IF(AND(N(BV78)&gt;0,N(BW78)&gt;0),SQRT(2*BV78/BW78),"")</f>
        <v>0.707106781186548</v>
      </c>
      <c r="BY78" s="5"/>
      <c r="BZ78" s="5"/>
      <c r="CA78" s="5"/>
      <c r="CB78" s="5"/>
      <c r="CC78" s="5" t="n">
        <v>23</v>
      </c>
      <c r="CD78" s="5" t="n">
        <v>2</v>
      </c>
      <c r="CE78" s="5"/>
      <c r="CF78" s="5"/>
      <c r="CG78" s="5"/>
      <c r="CH78" s="5" t="n">
        <v>9.2</v>
      </c>
      <c r="CI78" s="5"/>
      <c r="CJ78" s="5"/>
      <c r="CK78" s="5"/>
      <c r="CL78" s="5" t="s">
        <v>3524</v>
      </c>
      <c r="CM78" s="5" t="s">
        <v>2040</v>
      </c>
      <c r="CN78" s="5" t="s">
        <v>3536</v>
      </c>
      <c r="CO78" s="5" t="s">
        <v>2062</v>
      </c>
      <c r="CP78" s="5" t="s">
        <v>3568</v>
      </c>
      <c r="CQ78" s="23" t="s">
        <v>3569</v>
      </c>
      <c r="CR78" s="5" t="s">
        <v>807</v>
      </c>
      <c r="CS78" s="5" t="s">
        <v>3528</v>
      </c>
    </row>
    <row r="79" customFormat="false" ht="14.25" hidden="false" customHeight="true" outlineLevel="0" collapsed="false">
      <c r="A79" s="5" t="n">
        <v>164</v>
      </c>
      <c r="B79" s="5" t="n">
        <v>164</v>
      </c>
      <c r="C79" s="5" t="s">
        <v>791</v>
      </c>
      <c r="D79" s="5" t="n">
        <v>2000</v>
      </c>
      <c r="E79" s="5" t="s">
        <v>792</v>
      </c>
      <c r="F79" s="5" t="s">
        <v>1431</v>
      </c>
      <c r="G79" s="5" t="s">
        <v>2059</v>
      </c>
      <c r="H79" s="5" t="n">
        <v>23</v>
      </c>
      <c r="I79" s="5" t="n">
        <v>89</v>
      </c>
      <c r="J79" s="5" t="s">
        <v>83</v>
      </c>
      <c r="K79" s="5" t="s">
        <v>3537</v>
      </c>
      <c r="L79" s="5" t="s">
        <v>821</v>
      </c>
      <c r="M79" s="5"/>
      <c r="N79" s="5"/>
      <c r="O79" s="5" t="n">
        <v>2.44</v>
      </c>
      <c r="P79" s="5"/>
      <c r="Q79" s="5"/>
      <c r="R79" s="5"/>
      <c r="S79" s="5"/>
      <c r="T79" s="5" t="n">
        <v>2.94</v>
      </c>
      <c r="U79" s="5"/>
      <c r="V79" s="5"/>
      <c r="W79" s="5"/>
      <c r="X79" s="5"/>
      <c r="Y79" s="5"/>
      <c r="Z79" s="5"/>
      <c r="AA79" s="5"/>
      <c r="AB79" s="5"/>
      <c r="AC79" s="5"/>
      <c r="AD79" s="5"/>
      <c r="AE79" s="5"/>
      <c r="AF79" s="5"/>
      <c r="AG79" s="5"/>
      <c r="AH79" s="5"/>
      <c r="AI79" s="5"/>
      <c r="AJ79" s="5"/>
      <c r="AK79" s="5"/>
      <c r="AL79" s="5"/>
      <c r="AM79" s="5" t="n">
        <v>4.45</v>
      </c>
      <c r="AN79" s="5"/>
      <c r="AO79" s="5"/>
      <c r="AP79" s="5"/>
      <c r="AQ79" s="5"/>
      <c r="AR79" s="5" t="n">
        <v>4.29</v>
      </c>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t="n">
        <v>1</v>
      </c>
      <c r="BW79" s="5" t="n">
        <v>4</v>
      </c>
      <c r="BX79" s="5" t="n">
        <f aca="false">IF(AND(N(BV79)&gt;0,N(BW79)&gt;0),SQRT(2*BV79/BW79),"")</f>
        <v>0.707106781186548</v>
      </c>
      <c r="BY79" s="5"/>
      <c r="BZ79" s="5"/>
      <c r="CA79" s="5"/>
      <c r="CB79" s="5"/>
      <c r="CC79" s="5" t="n">
        <v>23</v>
      </c>
      <c r="CD79" s="5" t="n">
        <v>3</v>
      </c>
      <c r="CE79" s="5"/>
      <c r="CF79" s="5"/>
      <c r="CG79" s="5"/>
      <c r="CH79" s="5" t="n">
        <v>9.2</v>
      </c>
      <c r="CI79" s="5"/>
      <c r="CJ79" s="5"/>
      <c r="CK79" s="5"/>
      <c r="CL79" s="5" t="s">
        <v>3524</v>
      </c>
      <c r="CM79" s="5" t="s">
        <v>2040</v>
      </c>
      <c r="CN79" s="5" t="s">
        <v>3538</v>
      </c>
      <c r="CO79" s="5" t="s">
        <v>2062</v>
      </c>
      <c r="CP79" s="5" t="s">
        <v>3568</v>
      </c>
      <c r="CQ79" s="23" t="s">
        <v>3569</v>
      </c>
      <c r="CR79" s="5" t="s">
        <v>807</v>
      </c>
      <c r="CS79" s="5" t="s">
        <v>3528</v>
      </c>
    </row>
    <row r="80" customFormat="false" ht="14.25" hidden="false" customHeight="true" outlineLevel="0" collapsed="false">
      <c r="A80" s="5" t="n">
        <v>164</v>
      </c>
      <c r="B80" s="5" t="n">
        <v>164</v>
      </c>
      <c r="C80" s="5" t="s">
        <v>791</v>
      </c>
      <c r="D80" s="5" t="n">
        <v>2000</v>
      </c>
      <c r="E80" s="5" t="s">
        <v>792</v>
      </c>
      <c r="F80" s="5" t="s">
        <v>1431</v>
      </c>
      <c r="G80" s="5" t="s">
        <v>2059</v>
      </c>
      <c r="H80" s="5" t="n">
        <v>23</v>
      </c>
      <c r="I80" s="5" t="n">
        <v>89</v>
      </c>
      <c r="J80" s="5" t="s">
        <v>83</v>
      </c>
      <c r="K80" s="5" t="s">
        <v>3539</v>
      </c>
      <c r="L80" s="5" t="s">
        <v>84</v>
      </c>
      <c r="M80" s="5"/>
      <c r="N80" s="5"/>
      <c r="O80" s="5" t="n">
        <v>2.24</v>
      </c>
      <c r="P80" s="5"/>
      <c r="Q80" s="5"/>
      <c r="R80" s="5"/>
      <c r="S80" s="5"/>
      <c r="T80" s="5" t="n">
        <v>2.7</v>
      </c>
      <c r="U80" s="5"/>
      <c r="V80" s="5"/>
      <c r="W80" s="5"/>
      <c r="X80" s="5"/>
      <c r="Y80" s="5"/>
      <c r="Z80" s="5"/>
      <c r="AA80" s="5"/>
      <c r="AB80" s="5"/>
      <c r="AC80" s="5"/>
      <c r="AD80" s="5"/>
      <c r="AE80" s="5"/>
      <c r="AF80" s="5"/>
      <c r="AG80" s="5"/>
      <c r="AH80" s="5"/>
      <c r="AI80" s="5"/>
      <c r="AJ80" s="5"/>
      <c r="AK80" s="5"/>
      <c r="AL80" s="5"/>
      <c r="AM80" s="5" t="n">
        <v>3.39</v>
      </c>
      <c r="AN80" s="5"/>
      <c r="AO80" s="5"/>
      <c r="AP80" s="5"/>
      <c r="AQ80" s="5"/>
      <c r="AR80" s="5" t="n">
        <v>3.17</v>
      </c>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t="n">
        <v>1</v>
      </c>
      <c r="BW80" s="5" t="n">
        <v>4</v>
      </c>
      <c r="BX80" s="5" t="n">
        <f aca="false">IF(AND(N(BV80)&gt;0,N(BW80)&gt;0),SQRT(2*BV80/BW80),"")</f>
        <v>0.707106781186548</v>
      </c>
      <c r="BY80" s="5"/>
      <c r="BZ80" s="5"/>
      <c r="CA80" s="5"/>
      <c r="CB80" s="5"/>
      <c r="CC80" s="5" t="n">
        <v>23</v>
      </c>
      <c r="CD80" s="5" t="n">
        <v>4</v>
      </c>
      <c r="CE80" s="5"/>
      <c r="CF80" s="5"/>
      <c r="CG80" s="5"/>
      <c r="CH80" s="5" t="n">
        <v>9.2</v>
      </c>
      <c r="CI80" s="5"/>
      <c r="CJ80" s="5"/>
      <c r="CK80" s="5"/>
      <c r="CL80" s="5" t="s">
        <v>3524</v>
      </c>
      <c r="CM80" s="5" t="s">
        <v>2040</v>
      </c>
      <c r="CN80" s="5" t="s">
        <v>3540</v>
      </c>
      <c r="CO80" s="5" t="s">
        <v>2062</v>
      </c>
      <c r="CP80" s="5" t="s">
        <v>3568</v>
      </c>
      <c r="CQ80" s="23" t="s">
        <v>3569</v>
      </c>
      <c r="CR80" s="5" t="s">
        <v>807</v>
      </c>
      <c r="CS80" s="5" t="s">
        <v>3528</v>
      </c>
    </row>
    <row r="81" customFormat="false" ht="14.25" hidden="false" customHeight="true" outlineLevel="0" collapsed="false">
      <c r="A81" s="5" t="n">
        <v>164</v>
      </c>
      <c r="B81" s="5" t="n">
        <v>164</v>
      </c>
      <c r="C81" s="5" t="s">
        <v>791</v>
      </c>
      <c r="D81" s="5" t="n">
        <v>2000</v>
      </c>
      <c r="E81" s="5" t="s">
        <v>792</v>
      </c>
      <c r="F81" s="5" t="s">
        <v>1431</v>
      </c>
      <c r="G81" s="5" t="s">
        <v>2059</v>
      </c>
      <c r="H81" s="5" t="n">
        <v>23</v>
      </c>
      <c r="I81" s="5" t="n">
        <v>89</v>
      </c>
      <c r="J81" s="5" t="s">
        <v>83</v>
      </c>
      <c r="K81" s="5" t="s">
        <v>3541</v>
      </c>
      <c r="L81" s="5" t="s">
        <v>84</v>
      </c>
      <c r="M81" s="5"/>
      <c r="N81" s="5"/>
      <c r="O81" s="5" t="n">
        <v>2.68</v>
      </c>
      <c r="P81" s="5"/>
      <c r="Q81" s="5"/>
      <c r="R81" s="5"/>
      <c r="S81" s="5"/>
      <c r="T81" s="5" t="n">
        <v>3.13</v>
      </c>
      <c r="U81" s="5"/>
      <c r="V81" s="5"/>
      <c r="W81" s="5"/>
      <c r="X81" s="5"/>
      <c r="Y81" s="5"/>
      <c r="Z81" s="5"/>
      <c r="AA81" s="5"/>
      <c r="AB81" s="5"/>
      <c r="AC81" s="5"/>
      <c r="AD81" s="5"/>
      <c r="AE81" s="5"/>
      <c r="AF81" s="5"/>
      <c r="AG81" s="5"/>
      <c r="AH81" s="5"/>
      <c r="AI81" s="5"/>
      <c r="AJ81" s="5"/>
      <c r="AK81" s="5"/>
      <c r="AL81" s="5"/>
      <c r="AM81" s="5" t="n">
        <v>3.33</v>
      </c>
      <c r="AN81" s="5"/>
      <c r="AO81" s="5"/>
      <c r="AP81" s="5"/>
      <c r="AQ81" s="5"/>
      <c r="AR81" s="5" t="n">
        <v>3.15</v>
      </c>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t="n">
        <v>1</v>
      </c>
      <c r="BW81" s="5" t="n">
        <v>4</v>
      </c>
      <c r="BX81" s="5" t="n">
        <f aca="false">IF(AND(N(BV81)&gt;0,N(BW81)&gt;0),SQRT(2*BV81/BW81),"")</f>
        <v>0.707106781186548</v>
      </c>
      <c r="BY81" s="5"/>
      <c r="BZ81" s="5"/>
      <c r="CA81" s="5"/>
      <c r="CB81" s="5"/>
      <c r="CC81" s="5" t="n">
        <v>23</v>
      </c>
      <c r="CD81" s="5" t="n">
        <v>5</v>
      </c>
      <c r="CE81" s="5"/>
      <c r="CF81" s="5"/>
      <c r="CG81" s="5"/>
      <c r="CH81" s="5" t="n">
        <v>9.2</v>
      </c>
      <c r="CI81" s="5"/>
      <c r="CJ81" s="5"/>
      <c r="CK81" s="5"/>
      <c r="CL81" s="5" t="s">
        <v>3524</v>
      </c>
      <c r="CM81" s="5" t="s">
        <v>2040</v>
      </c>
      <c r="CN81" s="5" t="s">
        <v>3542</v>
      </c>
      <c r="CO81" s="5" t="s">
        <v>2062</v>
      </c>
      <c r="CP81" s="5" t="s">
        <v>3568</v>
      </c>
      <c r="CQ81" s="23" t="s">
        <v>3569</v>
      </c>
      <c r="CR81" s="5" t="s">
        <v>807</v>
      </c>
      <c r="CS81" s="5" t="s">
        <v>3528</v>
      </c>
    </row>
    <row r="82" customFormat="false" ht="14.25" hidden="false" customHeight="true" outlineLevel="0" collapsed="false">
      <c r="A82" s="5" t="n">
        <v>164</v>
      </c>
      <c r="B82" s="5" t="n">
        <v>164</v>
      </c>
      <c r="C82" s="5" t="s">
        <v>791</v>
      </c>
      <c r="D82" s="5" t="n">
        <v>2000</v>
      </c>
      <c r="E82" s="5" t="s">
        <v>792</v>
      </c>
      <c r="F82" s="5" t="s">
        <v>1431</v>
      </c>
      <c r="G82" s="5" t="s">
        <v>2059</v>
      </c>
      <c r="H82" s="5" t="n">
        <v>23</v>
      </c>
      <c r="I82" s="5" t="n">
        <v>89</v>
      </c>
      <c r="J82" s="5" t="s">
        <v>83</v>
      </c>
      <c r="K82" s="5" t="s">
        <v>3543</v>
      </c>
      <c r="L82" s="5" t="s">
        <v>84</v>
      </c>
      <c r="M82" s="5"/>
      <c r="N82" s="5"/>
      <c r="O82" s="5" t="n">
        <v>2.94</v>
      </c>
      <c r="P82" s="5"/>
      <c r="Q82" s="5"/>
      <c r="R82" s="5"/>
      <c r="S82" s="5"/>
      <c r="T82" s="5" t="n">
        <v>3.27</v>
      </c>
      <c r="U82" s="5"/>
      <c r="V82" s="5"/>
      <c r="W82" s="5"/>
      <c r="X82" s="5"/>
      <c r="Y82" s="5"/>
      <c r="Z82" s="5"/>
      <c r="AA82" s="5"/>
      <c r="AB82" s="5"/>
      <c r="AC82" s="5"/>
      <c r="AD82" s="5"/>
      <c r="AE82" s="5"/>
      <c r="AF82" s="5"/>
      <c r="AG82" s="5"/>
      <c r="AH82" s="5"/>
      <c r="AI82" s="5"/>
      <c r="AJ82" s="5"/>
      <c r="AK82" s="5"/>
      <c r="AL82" s="5"/>
      <c r="AM82" s="5" t="n">
        <v>2.79</v>
      </c>
      <c r="AN82" s="5"/>
      <c r="AO82" s="5"/>
      <c r="AP82" s="5"/>
      <c r="AQ82" s="5"/>
      <c r="AR82" s="5" t="n">
        <v>3.01</v>
      </c>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t="n">
        <v>1</v>
      </c>
      <c r="BW82" s="5" t="n">
        <v>4</v>
      </c>
      <c r="BX82" s="5" t="n">
        <f aca="false">IF(AND(N(BV82)&gt;0,N(BW82)&gt;0),SQRT(2*BV82/BW82),"")</f>
        <v>0.707106781186548</v>
      </c>
      <c r="BY82" s="5"/>
      <c r="BZ82" s="5"/>
      <c r="CA82" s="5"/>
      <c r="CB82" s="5"/>
      <c r="CC82" s="5" t="n">
        <v>23</v>
      </c>
      <c r="CD82" s="5" t="n">
        <v>6</v>
      </c>
      <c r="CE82" s="5"/>
      <c r="CF82" s="5"/>
      <c r="CG82" s="5"/>
      <c r="CH82" s="5" t="n">
        <v>9.2</v>
      </c>
      <c r="CI82" s="5"/>
      <c r="CJ82" s="5"/>
      <c r="CK82" s="5"/>
      <c r="CL82" s="5" t="s">
        <v>3524</v>
      </c>
      <c r="CM82" s="5" t="s">
        <v>2040</v>
      </c>
      <c r="CN82" s="5" t="s">
        <v>3544</v>
      </c>
      <c r="CO82" s="5" t="s">
        <v>2062</v>
      </c>
      <c r="CP82" s="5" t="s">
        <v>3568</v>
      </c>
      <c r="CQ82" s="23" t="s">
        <v>3569</v>
      </c>
      <c r="CR82" s="5" t="s">
        <v>807</v>
      </c>
      <c r="CS82" s="5" t="s">
        <v>3528</v>
      </c>
    </row>
    <row r="83" customFormat="false" ht="14.25" hidden="false" customHeight="true" outlineLevel="0" collapsed="false">
      <c r="A83" s="5" t="n">
        <v>164</v>
      </c>
      <c r="B83" s="5" t="n">
        <v>164</v>
      </c>
      <c r="C83" s="5" t="s">
        <v>791</v>
      </c>
      <c r="D83" s="5" t="n">
        <v>2000</v>
      </c>
      <c r="E83" s="5" t="s">
        <v>792</v>
      </c>
      <c r="F83" s="5" t="s">
        <v>1431</v>
      </c>
      <c r="G83" s="5" t="s">
        <v>2059</v>
      </c>
      <c r="H83" s="5" t="n">
        <v>23</v>
      </c>
      <c r="I83" s="5" t="n">
        <v>89</v>
      </c>
      <c r="J83" s="5" t="s">
        <v>83</v>
      </c>
      <c r="K83" s="5" t="s">
        <v>3545</v>
      </c>
      <c r="L83" s="5" t="s">
        <v>84</v>
      </c>
      <c r="M83" s="5"/>
      <c r="N83" s="5"/>
      <c r="O83" s="5" t="n">
        <v>2.43</v>
      </c>
      <c r="P83" s="5"/>
      <c r="Q83" s="5"/>
      <c r="R83" s="5"/>
      <c r="S83" s="5"/>
      <c r="T83" s="5" t="n">
        <v>2.88</v>
      </c>
      <c r="U83" s="5"/>
      <c r="V83" s="5"/>
      <c r="W83" s="5"/>
      <c r="X83" s="5"/>
      <c r="Y83" s="5"/>
      <c r="Z83" s="5"/>
      <c r="AA83" s="5"/>
      <c r="AB83" s="5"/>
      <c r="AC83" s="5"/>
      <c r="AD83" s="5"/>
      <c r="AE83" s="5"/>
      <c r="AF83" s="5"/>
      <c r="AG83" s="5"/>
      <c r="AH83" s="5"/>
      <c r="AI83" s="5"/>
      <c r="AJ83" s="5"/>
      <c r="AK83" s="5"/>
      <c r="AL83" s="5"/>
      <c r="AM83" s="5" t="n">
        <v>3.77</v>
      </c>
      <c r="AN83" s="5"/>
      <c r="AO83" s="5"/>
      <c r="AP83" s="5"/>
      <c r="AQ83" s="5"/>
      <c r="AR83" s="5" t="n">
        <v>4.29</v>
      </c>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t="n">
        <v>1</v>
      </c>
      <c r="BW83" s="5" t="n">
        <v>4</v>
      </c>
      <c r="BX83" s="5" t="n">
        <f aca="false">IF(AND(N(BV83)&gt;0,N(BW83)&gt;0),SQRT(2*BV83/BW83),"")</f>
        <v>0.707106781186548</v>
      </c>
      <c r="BY83" s="5"/>
      <c r="BZ83" s="5"/>
      <c r="CA83" s="5"/>
      <c r="CB83" s="5"/>
      <c r="CC83" s="5" t="n">
        <v>23</v>
      </c>
      <c r="CD83" s="5" t="n">
        <v>7</v>
      </c>
      <c r="CE83" s="5"/>
      <c r="CF83" s="5"/>
      <c r="CG83" s="5"/>
      <c r="CH83" s="5" t="n">
        <v>9.2</v>
      </c>
      <c r="CI83" s="5"/>
      <c r="CJ83" s="5"/>
      <c r="CK83" s="5"/>
      <c r="CL83" s="5" t="s">
        <v>3524</v>
      </c>
      <c r="CM83" s="5" t="s">
        <v>2040</v>
      </c>
      <c r="CN83" s="5" t="s">
        <v>3546</v>
      </c>
      <c r="CO83" s="5" t="s">
        <v>2062</v>
      </c>
      <c r="CP83" s="5" t="s">
        <v>3568</v>
      </c>
      <c r="CQ83" s="23" t="s">
        <v>3569</v>
      </c>
      <c r="CR83" s="5" t="s">
        <v>807</v>
      </c>
      <c r="CS83" s="5" t="s">
        <v>3528</v>
      </c>
    </row>
    <row r="84" customFormat="false" ht="14.25" hidden="false" customHeight="true" outlineLevel="0" collapsed="false">
      <c r="A84" s="5" t="n">
        <v>164</v>
      </c>
      <c r="B84" s="5" t="n">
        <v>164</v>
      </c>
      <c r="C84" s="5" t="s">
        <v>791</v>
      </c>
      <c r="D84" s="5" t="n">
        <v>2000</v>
      </c>
      <c r="E84" s="5" t="s">
        <v>792</v>
      </c>
      <c r="F84" s="5" t="s">
        <v>1431</v>
      </c>
      <c r="G84" s="5" t="s">
        <v>2059</v>
      </c>
      <c r="H84" s="5" t="n">
        <v>23</v>
      </c>
      <c r="I84" s="5" t="n">
        <v>89</v>
      </c>
      <c r="J84" s="5" t="s">
        <v>83</v>
      </c>
      <c r="K84" s="5" t="s">
        <v>3547</v>
      </c>
      <c r="L84" s="5" t="s">
        <v>84</v>
      </c>
      <c r="M84" s="5"/>
      <c r="N84" s="5"/>
      <c r="O84" s="5" t="n">
        <v>2.61</v>
      </c>
      <c r="P84" s="5"/>
      <c r="Q84" s="5"/>
      <c r="R84" s="5"/>
      <c r="S84" s="5"/>
      <c r="T84" s="5" t="n">
        <v>3</v>
      </c>
      <c r="U84" s="5"/>
      <c r="V84" s="5"/>
      <c r="W84" s="5"/>
      <c r="X84" s="5"/>
      <c r="Y84" s="5"/>
      <c r="Z84" s="5"/>
      <c r="AA84" s="5"/>
      <c r="AB84" s="5"/>
      <c r="AC84" s="5"/>
      <c r="AD84" s="5"/>
      <c r="AE84" s="5"/>
      <c r="AF84" s="5"/>
      <c r="AG84" s="5"/>
      <c r="AH84" s="5"/>
      <c r="AI84" s="5"/>
      <c r="AJ84" s="5"/>
      <c r="AK84" s="5"/>
      <c r="AL84" s="5"/>
      <c r="AM84" s="5" t="n">
        <v>2.72</v>
      </c>
      <c r="AN84" s="5"/>
      <c r="AO84" s="5"/>
      <c r="AP84" s="5"/>
      <c r="AQ84" s="5"/>
      <c r="AR84" s="5" t="n">
        <v>2.83</v>
      </c>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t="n">
        <v>1</v>
      </c>
      <c r="BW84" s="5" t="n">
        <v>4</v>
      </c>
      <c r="BX84" s="5" t="n">
        <f aca="false">IF(AND(N(BV84)&gt;0,N(BW84)&gt;0),SQRT(2*BV84/BW84),"")</f>
        <v>0.707106781186548</v>
      </c>
      <c r="BY84" s="5"/>
      <c r="BZ84" s="5"/>
      <c r="CA84" s="5"/>
      <c r="CB84" s="5"/>
      <c r="CC84" s="5" t="n">
        <v>23</v>
      </c>
      <c r="CD84" s="5" t="n">
        <v>8</v>
      </c>
      <c r="CE84" s="5"/>
      <c r="CF84" s="5"/>
      <c r="CG84" s="5"/>
      <c r="CH84" s="5" t="n">
        <v>9.2</v>
      </c>
      <c r="CI84" s="5"/>
      <c r="CJ84" s="5"/>
      <c r="CK84" s="5"/>
      <c r="CL84" s="5" t="s">
        <v>3524</v>
      </c>
      <c r="CM84" s="5" t="s">
        <v>2040</v>
      </c>
      <c r="CN84" s="5" t="s">
        <v>3548</v>
      </c>
      <c r="CO84" s="5" t="s">
        <v>2062</v>
      </c>
      <c r="CP84" s="5" t="s">
        <v>3568</v>
      </c>
      <c r="CQ84" s="23" t="s">
        <v>3569</v>
      </c>
      <c r="CR84" s="5" t="s">
        <v>807</v>
      </c>
      <c r="CS84" s="5" t="s">
        <v>3528</v>
      </c>
    </row>
    <row r="85" customFormat="false" ht="14.25" hidden="false" customHeight="true" outlineLevel="0" collapsed="false">
      <c r="A85" s="5" t="n">
        <v>164</v>
      </c>
      <c r="B85" s="5" t="n">
        <v>164</v>
      </c>
      <c r="C85" s="5" t="s">
        <v>791</v>
      </c>
      <c r="D85" s="5" t="n">
        <v>2000</v>
      </c>
      <c r="E85" s="5" t="s">
        <v>792</v>
      </c>
      <c r="F85" s="5" t="s">
        <v>1431</v>
      </c>
      <c r="G85" s="5" t="s">
        <v>2059</v>
      </c>
      <c r="H85" s="5" t="n">
        <v>23</v>
      </c>
      <c r="I85" s="5" t="n">
        <v>89</v>
      </c>
      <c r="J85" s="5" t="s">
        <v>83</v>
      </c>
      <c r="K85" s="5" t="s">
        <v>3549</v>
      </c>
      <c r="L85" s="5" t="s">
        <v>84</v>
      </c>
      <c r="M85" s="5"/>
      <c r="N85" s="5"/>
      <c r="O85" s="5" t="n">
        <v>2.57</v>
      </c>
      <c r="P85" s="5"/>
      <c r="Q85" s="5"/>
      <c r="R85" s="5"/>
      <c r="S85" s="5"/>
      <c r="T85" s="5" t="n">
        <v>3.17</v>
      </c>
      <c r="U85" s="5"/>
      <c r="V85" s="5"/>
      <c r="W85" s="5"/>
      <c r="X85" s="5"/>
      <c r="Y85" s="5"/>
      <c r="Z85" s="5"/>
      <c r="AA85" s="5"/>
      <c r="AB85" s="5"/>
      <c r="AC85" s="5"/>
      <c r="AD85" s="5"/>
      <c r="AE85" s="5"/>
      <c r="AF85" s="5"/>
      <c r="AG85" s="5"/>
      <c r="AH85" s="5"/>
      <c r="AI85" s="5"/>
      <c r="AJ85" s="5"/>
      <c r="AK85" s="5"/>
      <c r="AL85" s="5"/>
      <c r="AM85" s="5" t="n">
        <v>2.96</v>
      </c>
      <c r="AN85" s="5"/>
      <c r="AO85" s="5"/>
      <c r="AP85" s="5"/>
      <c r="AQ85" s="5"/>
      <c r="AR85" s="5" t="n">
        <v>3.19</v>
      </c>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t="n">
        <v>1</v>
      </c>
      <c r="BW85" s="5" t="n">
        <v>4</v>
      </c>
      <c r="BX85" s="5" t="n">
        <f aca="false">IF(AND(N(BV85)&gt;0,N(BW85)&gt;0),SQRT(2*BV85/BW85),"")</f>
        <v>0.707106781186548</v>
      </c>
      <c r="BY85" s="5"/>
      <c r="BZ85" s="5"/>
      <c r="CA85" s="5"/>
      <c r="CB85" s="5"/>
      <c r="CC85" s="5" t="n">
        <v>23</v>
      </c>
      <c r="CD85" s="5" t="n">
        <v>9</v>
      </c>
      <c r="CE85" s="5"/>
      <c r="CF85" s="5"/>
      <c r="CG85" s="5"/>
      <c r="CH85" s="5" t="n">
        <v>9.2</v>
      </c>
      <c r="CI85" s="5"/>
      <c r="CJ85" s="5"/>
      <c r="CK85" s="5"/>
      <c r="CL85" s="5" t="s">
        <v>3524</v>
      </c>
      <c r="CM85" s="5" t="s">
        <v>2040</v>
      </c>
      <c r="CN85" s="5" t="s">
        <v>3550</v>
      </c>
      <c r="CO85" s="5" t="s">
        <v>2062</v>
      </c>
      <c r="CP85" s="5" t="s">
        <v>3568</v>
      </c>
      <c r="CQ85" s="23" t="s">
        <v>3569</v>
      </c>
      <c r="CR85" s="5" t="s">
        <v>807</v>
      </c>
      <c r="CS85" s="5" t="s">
        <v>3528</v>
      </c>
    </row>
    <row r="86" customFormat="false" ht="14.25" hidden="false" customHeight="true" outlineLevel="0" collapsed="false">
      <c r="A86" s="5" t="n">
        <v>164</v>
      </c>
      <c r="B86" s="5" t="n">
        <v>164</v>
      </c>
      <c r="C86" s="5" t="s">
        <v>791</v>
      </c>
      <c r="D86" s="5" t="n">
        <v>2000</v>
      </c>
      <c r="E86" s="5" t="s">
        <v>792</v>
      </c>
      <c r="F86" s="5" t="s">
        <v>1431</v>
      </c>
      <c r="G86" s="5" t="s">
        <v>2059</v>
      </c>
      <c r="H86" s="5" t="n">
        <v>23</v>
      </c>
      <c r="I86" s="5" t="n">
        <v>89</v>
      </c>
      <c r="J86" s="5" t="s">
        <v>83</v>
      </c>
      <c r="K86" s="5" t="s">
        <v>3551</v>
      </c>
      <c r="L86" s="5" t="s">
        <v>84</v>
      </c>
      <c r="M86" s="5"/>
      <c r="N86" s="5"/>
      <c r="O86" s="5" t="n">
        <v>2.64</v>
      </c>
      <c r="P86" s="5"/>
      <c r="Q86" s="5"/>
      <c r="R86" s="5"/>
      <c r="S86" s="5"/>
      <c r="T86" s="5" t="n">
        <v>3.23</v>
      </c>
      <c r="U86" s="5"/>
      <c r="V86" s="5"/>
      <c r="W86" s="5"/>
      <c r="X86" s="5"/>
      <c r="Y86" s="5"/>
      <c r="Z86" s="5"/>
      <c r="AA86" s="5"/>
      <c r="AB86" s="5"/>
      <c r="AC86" s="5"/>
      <c r="AD86" s="5"/>
      <c r="AE86" s="5"/>
      <c r="AF86" s="5"/>
      <c r="AG86" s="5"/>
      <c r="AH86" s="5"/>
      <c r="AI86" s="5"/>
      <c r="AJ86" s="5"/>
      <c r="AK86" s="5"/>
      <c r="AL86" s="5"/>
      <c r="AM86" s="5" t="n">
        <v>3.06</v>
      </c>
      <c r="AN86" s="5"/>
      <c r="AO86" s="5"/>
      <c r="AP86" s="5"/>
      <c r="AQ86" s="5"/>
      <c r="AR86" s="5" t="n">
        <v>3.04</v>
      </c>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t="n">
        <v>1</v>
      </c>
      <c r="BW86" s="5" t="n">
        <v>4</v>
      </c>
      <c r="BX86" s="5" t="n">
        <f aca="false">IF(AND(N(BV86)&gt;0,N(BW86)&gt;0),SQRT(2*BV86/BW86),"")</f>
        <v>0.707106781186548</v>
      </c>
      <c r="BY86" s="5"/>
      <c r="BZ86" s="5"/>
      <c r="CA86" s="5"/>
      <c r="CB86" s="5"/>
      <c r="CC86" s="5" t="n">
        <v>23</v>
      </c>
      <c r="CD86" s="5" t="n">
        <v>10</v>
      </c>
      <c r="CE86" s="5"/>
      <c r="CF86" s="5"/>
      <c r="CG86" s="5"/>
      <c r="CH86" s="5" t="n">
        <v>9.2</v>
      </c>
      <c r="CI86" s="5"/>
      <c r="CJ86" s="5"/>
      <c r="CK86" s="5"/>
      <c r="CL86" s="5" t="s">
        <v>3524</v>
      </c>
      <c r="CM86" s="5" t="s">
        <v>2040</v>
      </c>
      <c r="CN86" s="5" t="s">
        <v>3552</v>
      </c>
      <c r="CO86" s="5" t="s">
        <v>2062</v>
      </c>
      <c r="CP86" s="5" t="s">
        <v>3568</v>
      </c>
      <c r="CQ86" s="23" t="s">
        <v>3569</v>
      </c>
      <c r="CR86" s="5" t="s">
        <v>807</v>
      </c>
      <c r="CS86" s="5" t="s">
        <v>3528</v>
      </c>
    </row>
    <row r="87" customFormat="false" ht="14.25" hidden="false" customHeight="true" outlineLevel="0" collapsed="false">
      <c r="A87" s="5" t="n">
        <v>164</v>
      </c>
      <c r="B87" s="5" t="n">
        <v>164</v>
      </c>
      <c r="C87" s="5" t="s">
        <v>791</v>
      </c>
      <c r="D87" s="5" t="n">
        <v>2000</v>
      </c>
      <c r="E87" s="5" t="s">
        <v>792</v>
      </c>
      <c r="F87" s="5" t="s">
        <v>1431</v>
      </c>
      <c r="G87" s="5" t="s">
        <v>2059</v>
      </c>
      <c r="H87" s="5" t="n">
        <v>23</v>
      </c>
      <c r="I87" s="5" t="n">
        <v>89</v>
      </c>
      <c r="J87" s="5" t="s">
        <v>83</v>
      </c>
      <c r="K87" s="5" t="s">
        <v>3553</v>
      </c>
      <c r="L87" s="5" t="s">
        <v>802</v>
      </c>
      <c r="M87" s="5"/>
      <c r="N87" s="5"/>
      <c r="O87" s="5" t="n">
        <v>3.16</v>
      </c>
      <c r="P87" s="5"/>
      <c r="Q87" s="5"/>
      <c r="R87" s="5"/>
      <c r="S87" s="5"/>
      <c r="T87" s="5" t="n">
        <v>3.26</v>
      </c>
      <c r="U87" s="5"/>
      <c r="V87" s="5"/>
      <c r="W87" s="5"/>
      <c r="X87" s="5"/>
      <c r="Y87" s="5"/>
      <c r="Z87" s="5"/>
      <c r="AA87" s="5"/>
      <c r="AB87" s="5"/>
      <c r="AC87" s="5"/>
      <c r="AD87" s="5"/>
      <c r="AE87" s="5"/>
      <c r="AF87" s="5"/>
      <c r="AG87" s="5"/>
      <c r="AH87" s="5"/>
      <c r="AI87" s="5"/>
      <c r="AJ87" s="5"/>
      <c r="AK87" s="5"/>
      <c r="AL87" s="5"/>
      <c r="AM87" s="5" t="n">
        <v>3.14</v>
      </c>
      <c r="AN87" s="5"/>
      <c r="AO87" s="5"/>
      <c r="AP87" s="5"/>
      <c r="AQ87" s="5"/>
      <c r="AR87" s="5" t="n">
        <v>3.39</v>
      </c>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t="n">
        <v>1</v>
      </c>
      <c r="BW87" s="5" t="n">
        <v>4</v>
      </c>
      <c r="BX87" s="5" t="n">
        <f aca="false">IF(AND(N(BV87)&gt;0,N(BW87)&gt;0),SQRT(2*BV87/BW87),"")</f>
        <v>0.707106781186548</v>
      </c>
      <c r="BY87" s="5"/>
      <c r="BZ87" s="5"/>
      <c r="CA87" s="5"/>
      <c r="CB87" s="5"/>
      <c r="CC87" s="5" t="n">
        <v>23</v>
      </c>
      <c r="CD87" s="5" t="n">
        <v>11</v>
      </c>
      <c r="CE87" s="5"/>
      <c r="CF87" s="5"/>
      <c r="CG87" s="5"/>
      <c r="CH87" s="5" t="n">
        <v>9.2</v>
      </c>
      <c r="CI87" s="5"/>
      <c r="CJ87" s="5"/>
      <c r="CK87" s="5"/>
      <c r="CL87" s="5" t="s">
        <v>3524</v>
      </c>
      <c r="CM87" s="5" t="s">
        <v>2040</v>
      </c>
      <c r="CN87" s="5" t="s">
        <v>3554</v>
      </c>
      <c r="CO87" s="5" t="s">
        <v>2062</v>
      </c>
      <c r="CP87" s="5" t="s">
        <v>3568</v>
      </c>
      <c r="CQ87" s="23" t="s">
        <v>3569</v>
      </c>
      <c r="CR87" s="5" t="s">
        <v>807</v>
      </c>
      <c r="CS87" s="5" t="s">
        <v>3528</v>
      </c>
    </row>
    <row r="88" customFormat="false" ht="14.25" hidden="false" customHeight="true" outlineLevel="0" collapsed="false">
      <c r="A88" s="5" t="n">
        <v>164</v>
      </c>
      <c r="B88" s="5" t="n">
        <v>164</v>
      </c>
      <c r="C88" s="5" t="s">
        <v>791</v>
      </c>
      <c r="D88" s="5" t="n">
        <v>2000</v>
      </c>
      <c r="E88" s="5" t="s">
        <v>792</v>
      </c>
      <c r="F88" s="5" t="s">
        <v>1431</v>
      </c>
      <c r="G88" s="5" t="s">
        <v>2059</v>
      </c>
      <c r="H88" s="5" t="n">
        <v>23</v>
      </c>
      <c r="I88" s="5" t="n">
        <v>89</v>
      </c>
      <c r="J88" s="5" t="s">
        <v>83</v>
      </c>
      <c r="K88" s="5" t="s">
        <v>2039</v>
      </c>
      <c r="L88" s="5" t="s">
        <v>802</v>
      </c>
      <c r="M88" s="5"/>
      <c r="N88" s="5"/>
      <c r="O88" s="5" t="n">
        <v>2.88</v>
      </c>
      <c r="P88" s="5"/>
      <c r="Q88" s="5"/>
      <c r="R88" s="5"/>
      <c r="S88" s="5"/>
      <c r="T88" s="5" t="n">
        <v>3.08</v>
      </c>
      <c r="U88" s="5"/>
      <c r="V88" s="5"/>
      <c r="W88" s="5"/>
      <c r="X88" s="5"/>
      <c r="Y88" s="5"/>
      <c r="Z88" s="5"/>
      <c r="AA88" s="5"/>
      <c r="AB88" s="5"/>
      <c r="AC88" s="5"/>
      <c r="AD88" s="5"/>
      <c r="AE88" s="5"/>
      <c r="AF88" s="5"/>
      <c r="AG88" s="5"/>
      <c r="AH88" s="5"/>
      <c r="AI88" s="5"/>
      <c r="AJ88" s="5"/>
      <c r="AK88" s="5"/>
      <c r="AL88" s="5"/>
      <c r="AM88" s="5" t="n">
        <v>3.53</v>
      </c>
      <c r="AN88" s="5"/>
      <c r="AO88" s="5"/>
      <c r="AP88" s="5"/>
      <c r="AQ88" s="5"/>
      <c r="AR88" s="5" t="n">
        <v>4.34</v>
      </c>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t="n">
        <v>1</v>
      </c>
      <c r="BW88" s="5" t="n">
        <v>4</v>
      </c>
      <c r="BX88" s="5" t="n">
        <f aca="false">IF(AND(N(BV88)&gt;0,N(BW88)&gt;0),SQRT(2*BV88/BW88),"")</f>
        <v>0.707106781186548</v>
      </c>
      <c r="BY88" s="5"/>
      <c r="BZ88" s="5"/>
      <c r="CA88" s="5"/>
      <c r="CB88" s="5"/>
      <c r="CC88" s="5" t="n">
        <v>23</v>
      </c>
      <c r="CD88" s="5" t="n">
        <v>12</v>
      </c>
      <c r="CE88" s="5"/>
      <c r="CF88" s="5"/>
      <c r="CG88" s="5"/>
      <c r="CH88" s="5" t="n">
        <v>9.2</v>
      </c>
      <c r="CI88" s="5"/>
      <c r="CJ88" s="5"/>
      <c r="CK88" s="5"/>
      <c r="CL88" s="5" t="s">
        <v>3524</v>
      </c>
      <c r="CM88" s="5" t="s">
        <v>2040</v>
      </c>
      <c r="CN88" s="5" t="s">
        <v>3555</v>
      </c>
      <c r="CO88" s="5" t="s">
        <v>2062</v>
      </c>
      <c r="CP88" s="5" t="s">
        <v>3568</v>
      </c>
      <c r="CQ88" s="23" t="s">
        <v>3569</v>
      </c>
      <c r="CR88" s="5" t="s">
        <v>807</v>
      </c>
      <c r="CS88" s="5" t="s">
        <v>3528</v>
      </c>
    </row>
    <row r="89" customFormat="false" ht="14.25" hidden="false" customHeight="true" outlineLevel="0" collapsed="false">
      <c r="A89" s="5" t="n">
        <v>164</v>
      </c>
      <c r="B89" s="5" t="n">
        <v>164</v>
      </c>
      <c r="C89" s="5" t="s">
        <v>791</v>
      </c>
      <c r="D89" s="5" t="n">
        <v>2000</v>
      </c>
      <c r="E89" s="5" t="s">
        <v>792</v>
      </c>
      <c r="F89" s="5" t="s">
        <v>1431</v>
      </c>
      <c r="G89" s="5" t="s">
        <v>2059</v>
      </c>
      <c r="H89" s="5" t="n">
        <v>23</v>
      </c>
      <c r="I89" s="5" t="n">
        <v>89</v>
      </c>
      <c r="J89" s="5" t="s">
        <v>83</v>
      </c>
      <c r="K89" s="5" t="s">
        <v>2060</v>
      </c>
      <c r="L89" s="5" t="s">
        <v>802</v>
      </c>
      <c r="M89" s="5"/>
      <c r="N89" s="5"/>
      <c r="O89" s="5" t="n">
        <v>2.43</v>
      </c>
      <c r="P89" s="5"/>
      <c r="Q89" s="5"/>
      <c r="R89" s="5"/>
      <c r="S89" s="5"/>
      <c r="T89" s="5" t="n">
        <v>3.16</v>
      </c>
      <c r="U89" s="5"/>
      <c r="V89" s="5"/>
      <c r="W89" s="5"/>
      <c r="X89" s="5"/>
      <c r="Y89" s="5"/>
      <c r="Z89" s="5"/>
      <c r="AA89" s="5"/>
      <c r="AB89" s="5"/>
      <c r="AC89" s="5"/>
      <c r="AD89" s="5"/>
      <c r="AE89" s="5"/>
      <c r="AF89" s="5"/>
      <c r="AG89" s="5"/>
      <c r="AH89" s="5"/>
      <c r="AI89" s="5"/>
      <c r="AJ89" s="5"/>
      <c r="AK89" s="5"/>
      <c r="AL89" s="5"/>
      <c r="AM89" s="5" t="n">
        <v>3.57</v>
      </c>
      <c r="AN89" s="5"/>
      <c r="AO89" s="5"/>
      <c r="AP89" s="5"/>
      <c r="AQ89" s="5"/>
      <c r="AR89" s="5" t="n">
        <v>4.13</v>
      </c>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t="n">
        <v>1</v>
      </c>
      <c r="BW89" s="5" t="n">
        <v>4</v>
      </c>
      <c r="BX89" s="5" t="n">
        <f aca="false">IF(AND(N(BV89)&gt;0,N(BW89)&gt;0),SQRT(2*BV89/BW89),"")</f>
        <v>0.707106781186548</v>
      </c>
      <c r="BY89" s="5"/>
      <c r="BZ89" s="5"/>
      <c r="CA89" s="5"/>
      <c r="CB89" s="5"/>
      <c r="CC89" s="5" t="n">
        <v>23</v>
      </c>
      <c r="CD89" s="5" t="n">
        <v>13</v>
      </c>
      <c r="CE89" s="5"/>
      <c r="CF89" s="5"/>
      <c r="CG89" s="5"/>
      <c r="CH89" s="5" t="n">
        <v>9.2</v>
      </c>
      <c r="CI89" s="5"/>
      <c r="CJ89" s="5"/>
      <c r="CK89" s="5"/>
      <c r="CL89" s="5" t="s">
        <v>3524</v>
      </c>
      <c r="CM89" s="5" t="s">
        <v>2040</v>
      </c>
      <c r="CN89" s="5" t="s">
        <v>3570</v>
      </c>
      <c r="CO89" s="5" t="s">
        <v>2062</v>
      </c>
      <c r="CP89" s="5" t="s">
        <v>3568</v>
      </c>
      <c r="CQ89" s="23" t="s">
        <v>3569</v>
      </c>
      <c r="CR89" s="5" t="s">
        <v>807</v>
      </c>
      <c r="CS89" s="5" t="s">
        <v>3528</v>
      </c>
    </row>
    <row r="90" customFormat="false" ht="14.25" hidden="false" customHeight="true" outlineLevel="0" collapsed="false">
      <c r="A90" s="5" t="n">
        <v>164</v>
      </c>
      <c r="B90" s="5" t="n">
        <v>164</v>
      </c>
      <c r="C90" s="5" t="s">
        <v>791</v>
      </c>
      <c r="D90" s="5" t="n">
        <v>2000</v>
      </c>
      <c r="E90" s="5" t="s">
        <v>792</v>
      </c>
      <c r="F90" s="5" t="s">
        <v>1436</v>
      </c>
      <c r="G90" s="5" t="s">
        <v>2064</v>
      </c>
      <c r="H90" s="5" t="n">
        <v>23.167</v>
      </c>
      <c r="I90" s="5" t="n">
        <v>79.95</v>
      </c>
      <c r="J90" s="5" t="s">
        <v>83</v>
      </c>
      <c r="K90" s="5" t="s">
        <v>3531</v>
      </c>
      <c r="L90" s="5" t="s">
        <v>821</v>
      </c>
      <c r="M90" s="5" t="s">
        <v>2056</v>
      </c>
      <c r="N90" s="5"/>
      <c r="O90" s="5" t="n">
        <v>2.27</v>
      </c>
      <c r="P90" s="5"/>
      <c r="Q90" s="5"/>
      <c r="R90" s="5"/>
      <c r="S90" s="5"/>
      <c r="T90" s="5" t="n">
        <v>2.54</v>
      </c>
      <c r="U90" s="5"/>
      <c r="V90" s="5"/>
      <c r="W90" s="5"/>
      <c r="X90" s="5"/>
      <c r="Y90" s="5"/>
      <c r="Z90" s="5"/>
      <c r="AA90" s="5"/>
      <c r="AB90" s="5"/>
      <c r="AC90" s="5"/>
      <c r="AD90" s="5"/>
      <c r="AE90" s="5"/>
      <c r="AF90" s="5"/>
      <c r="AG90" s="5"/>
      <c r="AH90" s="5"/>
      <c r="AI90" s="5"/>
      <c r="AJ90" s="5"/>
      <c r="AK90" s="5"/>
      <c r="AL90" s="5"/>
      <c r="AM90" s="5" t="n">
        <v>3.99</v>
      </c>
      <c r="AN90" s="5"/>
      <c r="AO90" s="5"/>
      <c r="AP90" s="5"/>
      <c r="AQ90" s="5"/>
      <c r="AR90" s="5" t="n">
        <v>3.36</v>
      </c>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t="n">
        <v>1</v>
      </c>
      <c r="BW90" s="5" t="n">
        <v>4</v>
      </c>
      <c r="BX90" s="5" t="n">
        <f aca="false">IF(AND(N(BV90)&gt;0,N(BW90)&gt;0),SQRT(2*BV90/BW90),"")</f>
        <v>0.707106781186548</v>
      </c>
      <c r="BY90" s="5"/>
      <c r="BZ90" s="5"/>
      <c r="CA90" s="5"/>
      <c r="CB90" s="5" t="n">
        <v>850</v>
      </c>
      <c r="CC90" s="5" t="n">
        <v>23.167</v>
      </c>
      <c r="CD90" s="5" t="n">
        <v>1</v>
      </c>
      <c r="CE90" s="5"/>
      <c r="CF90" s="5"/>
      <c r="CG90" s="5"/>
      <c r="CH90" s="5" t="n">
        <v>6.9</v>
      </c>
      <c r="CI90" s="5"/>
      <c r="CJ90" s="5"/>
      <c r="CK90" s="5"/>
      <c r="CL90" s="5" t="s">
        <v>3524</v>
      </c>
      <c r="CM90" s="5" t="s">
        <v>2040</v>
      </c>
      <c r="CN90" s="5" t="s">
        <v>3532</v>
      </c>
      <c r="CO90" s="5" t="s">
        <v>2065</v>
      </c>
      <c r="CP90" s="5" t="s">
        <v>3571</v>
      </c>
      <c r="CQ90" s="23" t="s">
        <v>3572</v>
      </c>
      <c r="CR90" s="5" t="s">
        <v>807</v>
      </c>
      <c r="CS90" s="5" t="s">
        <v>3528</v>
      </c>
    </row>
    <row r="91" customFormat="false" ht="14.25" hidden="false" customHeight="true" outlineLevel="0" collapsed="false">
      <c r="A91" s="5" t="n">
        <v>164</v>
      </c>
      <c r="B91" s="5" t="n">
        <v>164</v>
      </c>
      <c r="C91" s="5" t="s">
        <v>791</v>
      </c>
      <c r="D91" s="5" t="n">
        <v>2000</v>
      </c>
      <c r="E91" s="5" t="s">
        <v>792</v>
      </c>
      <c r="F91" s="5" t="s">
        <v>1436</v>
      </c>
      <c r="G91" s="5" t="s">
        <v>2064</v>
      </c>
      <c r="H91" s="5" t="n">
        <v>23.167</v>
      </c>
      <c r="I91" s="5" t="n">
        <v>79.95</v>
      </c>
      <c r="J91" s="5" t="s">
        <v>83</v>
      </c>
      <c r="K91" s="5" t="s">
        <v>3533</v>
      </c>
      <c r="L91" s="5" t="s">
        <v>821</v>
      </c>
      <c r="M91" s="5" t="s">
        <v>2056</v>
      </c>
      <c r="N91" s="5"/>
      <c r="O91" s="5" t="n">
        <v>3.86</v>
      </c>
      <c r="P91" s="5"/>
      <c r="Q91" s="5"/>
      <c r="R91" s="5"/>
      <c r="S91" s="5"/>
      <c r="T91" s="5" t="n">
        <v>3.56</v>
      </c>
      <c r="U91" s="5"/>
      <c r="V91" s="5"/>
      <c r="W91" s="5"/>
      <c r="X91" s="5"/>
      <c r="Y91" s="5"/>
      <c r="Z91" s="5"/>
      <c r="AA91" s="5"/>
      <c r="AB91" s="5"/>
      <c r="AC91" s="5"/>
      <c r="AD91" s="5"/>
      <c r="AE91" s="5"/>
      <c r="AF91" s="5"/>
      <c r="AG91" s="5"/>
      <c r="AH91" s="5"/>
      <c r="AI91" s="5"/>
      <c r="AJ91" s="5"/>
      <c r="AK91" s="5"/>
      <c r="AL91" s="5"/>
      <c r="AM91" s="5" t="n">
        <v>3.95</v>
      </c>
      <c r="AN91" s="5"/>
      <c r="AO91" s="5"/>
      <c r="AP91" s="5"/>
      <c r="AQ91" s="5"/>
      <c r="AR91" s="5" t="n">
        <v>3.51</v>
      </c>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t="n">
        <v>1</v>
      </c>
      <c r="BW91" s="5" t="n">
        <v>4</v>
      </c>
      <c r="BX91" s="5" t="n">
        <f aca="false">IF(AND(N(BV91)&gt;0,N(BW91)&gt;0),SQRT(2*BV91/BW91),"")</f>
        <v>0.707106781186548</v>
      </c>
      <c r="BY91" s="5"/>
      <c r="BZ91" s="5"/>
      <c r="CA91" s="5"/>
      <c r="CB91" s="5" t="n">
        <v>850</v>
      </c>
      <c r="CC91" s="5" t="n">
        <v>23.167</v>
      </c>
      <c r="CD91" s="5" t="n">
        <v>2</v>
      </c>
      <c r="CE91" s="5"/>
      <c r="CF91" s="5"/>
      <c r="CG91" s="5"/>
      <c r="CH91" s="5" t="n">
        <v>6.9</v>
      </c>
      <c r="CI91" s="5"/>
      <c r="CJ91" s="5"/>
      <c r="CK91" s="5"/>
      <c r="CL91" s="5" t="s">
        <v>3524</v>
      </c>
      <c r="CM91" s="5" t="s">
        <v>2040</v>
      </c>
      <c r="CN91" s="5" t="s">
        <v>3534</v>
      </c>
      <c r="CO91" s="5" t="s">
        <v>2065</v>
      </c>
      <c r="CP91" s="5" t="s">
        <v>3571</v>
      </c>
      <c r="CQ91" s="23" t="s">
        <v>3572</v>
      </c>
      <c r="CR91" s="5" t="s">
        <v>807</v>
      </c>
      <c r="CS91" s="5" t="s">
        <v>3528</v>
      </c>
    </row>
    <row r="92" customFormat="false" ht="14.25" hidden="false" customHeight="true" outlineLevel="0" collapsed="false">
      <c r="A92" s="5" t="n">
        <v>164</v>
      </c>
      <c r="B92" s="5" t="n">
        <v>164</v>
      </c>
      <c r="C92" s="5" t="s">
        <v>791</v>
      </c>
      <c r="D92" s="5" t="n">
        <v>2000</v>
      </c>
      <c r="E92" s="5" t="s">
        <v>792</v>
      </c>
      <c r="F92" s="5" t="s">
        <v>1436</v>
      </c>
      <c r="G92" s="5" t="s">
        <v>2064</v>
      </c>
      <c r="H92" s="5" t="n">
        <v>23.167</v>
      </c>
      <c r="I92" s="5" t="n">
        <v>79.95</v>
      </c>
      <c r="J92" s="5" t="s">
        <v>83</v>
      </c>
      <c r="K92" s="5" t="s">
        <v>3535</v>
      </c>
      <c r="L92" s="5" t="s">
        <v>821</v>
      </c>
      <c r="M92" s="5" t="s">
        <v>2056</v>
      </c>
      <c r="N92" s="5"/>
      <c r="O92" s="5" t="n">
        <v>3.27</v>
      </c>
      <c r="P92" s="5"/>
      <c r="Q92" s="5"/>
      <c r="R92" s="5"/>
      <c r="S92" s="5"/>
      <c r="T92" s="5" t="n">
        <v>3.09</v>
      </c>
      <c r="U92" s="5"/>
      <c r="V92" s="5"/>
      <c r="W92" s="5"/>
      <c r="X92" s="5"/>
      <c r="Y92" s="5"/>
      <c r="Z92" s="5"/>
      <c r="AA92" s="5"/>
      <c r="AB92" s="5"/>
      <c r="AC92" s="5"/>
      <c r="AD92" s="5"/>
      <c r="AE92" s="5"/>
      <c r="AF92" s="5"/>
      <c r="AG92" s="5"/>
      <c r="AH92" s="5"/>
      <c r="AI92" s="5"/>
      <c r="AJ92" s="5"/>
      <c r="AK92" s="5"/>
      <c r="AL92" s="5"/>
      <c r="AM92" s="5" t="n">
        <v>5.3</v>
      </c>
      <c r="AN92" s="5"/>
      <c r="AO92" s="5"/>
      <c r="AP92" s="5"/>
      <c r="AQ92" s="5"/>
      <c r="AR92" s="5" t="n">
        <v>3.64</v>
      </c>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t="n">
        <v>1</v>
      </c>
      <c r="BW92" s="5" t="n">
        <v>4</v>
      </c>
      <c r="BX92" s="5" t="n">
        <f aca="false">IF(AND(N(BV92)&gt;0,N(BW92)&gt;0),SQRT(2*BV92/BW92),"")</f>
        <v>0.707106781186548</v>
      </c>
      <c r="BY92" s="5"/>
      <c r="BZ92" s="5"/>
      <c r="CA92" s="5"/>
      <c r="CB92" s="5" t="n">
        <v>850</v>
      </c>
      <c r="CC92" s="5" t="n">
        <v>23.167</v>
      </c>
      <c r="CD92" s="5" t="n">
        <v>3</v>
      </c>
      <c r="CE92" s="5"/>
      <c r="CF92" s="5"/>
      <c r="CG92" s="5"/>
      <c r="CH92" s="5" t="n">
        <v>6.9</v>
      </c>
      <c r="CI92" s="5"/>
      <c r="CJ92" s="5"/>
      <c r="CK92" s="5"/>
      <c r="CL92" s="5" t="s">
        <v>3524</v>
      </c>
      <c r="CM92" s="5" t="s">
        <v>2040</v>
      </c>
      <c r="CN92" s="5" t="s">
        <v>3536</v>
      </c>
      <c r="CO92" s="5" t="s">
        <v>2065</v>
      </c>
      <c r="CP92" s="5" t="s">
        <v>3571</v>
      </c>
      <c r="CQ92" s="23" t="s">
        <v>3572</v>
      </c>
      <c r="CR92" s="5" t="s">
        <v>807</v>
      </c>
      <c r="CS92" s="5" t="s">
        <v>3528</v>
      </c>
    </row>
    <row r="93" customFormat="false" ht="14.25" hidden="false" customHeight="true" outlineLevel="0" collapsed="false">
      <c r="A93" s="5" t="n">
        <v>164</v>
      </c>
      <c r="B93" s="5" t="n">
        <v>164</v>
      </c>
      <c r="C93" s="5" t="s">
        <v>791</v>
      </c>
      <c r="D93" s="5" t="n">
        <v>2000</v>
      </c>
      <c r="E93" s="5" t="s">
        <v>792</v>
      </c>
      <c r="F93" s="5" t="s">
        <v>1436</v>
      </c>
      <c r="G93" s="5" t="s">
        <v>2064</v>
      </c>
      <c r="H93" s="5" t="n">
        <v>23.167</v>
      </c>
      <c r="I93" s="5" t="n">
        <v>79.95</v>
      </c>
      <c r="J93" s="5" t="s">
        <v>83</v>
      </c>
      <c r="K93" s="5" t="s">
        <v>3537</v>
      </c>
      <c r="L93" s="5" t="s">
        <v>84</v>
      </c>
      <c r="M93" s="5" t="s">
        <v>2056</v>
      </c>
      <c r="N93" s="5"/>
      <c r="O93" s="5" t="n">
        <v>1.67</v>
      </c>
      <c r="P93" s="5"/>
      <c r="Q93" s="5"/>
      <c r="R93" s="5"/>
      <c r="S93" s="5"/>
      <c r="T93" s="5" t="n">
        <v>1.44</v>
      </c>
      <c r="U93" s="5"/>
      <c r="V93" s="5"/>
      <c r="W93" s="5"/>
      <c r="X93" s="5"/>
      <c r="Y93" s="5"/>
      <c r="Z93" s="5"/>
      <c r="AA93" s="5"/>
      <c r="AB93" s="5"/>
      <c r="AC93" s="5"/>
      <c r="AD93" s="5"/>
      <c r="AE93" s="5"/>
      <c r="AF93" s="5"/>
      <c r="AG93" s="5"/>
      <c r="AH93" s="5"/>
      <c r="AI93" s="5"/>
      <c r="AJ93" s="5"/>
      <c r="AK93" s="5"/>
      <c r="AL93" s="5"/>
      <c r="AM93" s="5" t="n">
        <v>4.88</v>
      </c>
      <c r="AN93" s="5"/>
      <c r="AO93" s="5"/>
      <c r="AP93" s="5"/>
      <c r="AQ93" s="5"/>
      <c r="AR93" s="5" t="n">
        <v>3.64</v>
      </c>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t="n">
        <v>1</v>
      </c>
      <c r="BW93" s="5" t="n">
        <v>4</v>
      </c>
      <c r="BX93" s="5" t="n">
        <f aca="false">IF(AND(N(BV93)&gt;0,N(BW93)&gt;0),SQRT(2*BV93/BW93),"")</f>
        <v>0.707106781186548</v>
      </c>
      <c r="BY93" s="5"/>
      <c r="BZ93" s="5"/>
      <c r="CA93" s="5"/>
      <c r="CB93" s="5" t="n">
        <v>850</v>
      </c>
      <c r="CC93" s="5" t="n">
        <v>23.167</v>
      </c>
      <c r="CD93" s="5" t="n">
        <v>4</v>
      </c>
      <c r="CE93" s="5"/>
      <c r="CF93" s="5"/>
      <c r="CG93" s="5"/>
      <c r="CH93" s="5" t="n">
        <v>6.9</v>
      </c>
      <c r="CI93" s="5"/>
      <c r="CJ93" s="5"/>
      <c r="CK93" s="5"/>
      <c r="CL93" s="5" t="s">
        <v>3524</v>
      </c>
      <c r="CM93" s="5" t="s">
        <v>2040</v>
      </c>
      <c r="CN93" s="5" t="s">
        <v>3538</v>
      </c>
      <c r="CO93" s="5" t="s">
        <v>2065</v>
      </c>
      <c r="CP93" s="5" t="s">
        <v>3571</v>
      </c>
      <c r="CQ93" s="23" t="s">
        <v>3573</v>
      </c>
      <c r="CR93" s="5" t="s">
        <v>807</v>
      </c>
      <c r="CS93" s="5" t="s">
        <v>3528</v>
      </c>
    </row>
    <row r="94" customFormat="false" ht="14.25" hidden="false" customHeight="true" outlineLevel="0" collapsed="false">
      <c r="A94" s="5" t="n">
        <v>164</v>
      </c>
      <c r="B94" s="5" t="n">
        <v>164</v>
      </c>
      <c r="C94" s="5" t="s">
        <v>791</v>
      </c>
      <c r="D94" s="5" t="n">
        <v>2000</v>
      </c>
      <c r="E94" s="5" t="s">
        <v>792</v>
      </c>
      <c r="F94" s="5" t="s">
        <v>1436</v>
      </c>
      <c r="G94" s="5" t="s">
        <v>2064</v>
      </c>
      <c r="H94" s="5" t="n">
        <v>23.167</v>
      </c>
      <c r="I94" s="5" t="n">
        <v>79.95</v>
      </c>
      <c r="J94" s="5" t="s">
        <v>83</v>
      </c>
      <c r="K94" s="5" t="s">
        <v>3539</v>
      </c>
      <c r="L94" s="5" t="s">
        <v>84</v>
      </c>
      <c r="M94" s="5" t="s">
        <v>2056</v>
      </c>
      <c r="N94" s="5"/>
      <c r="O94" s="5"/>
      <c r="P94" s="5"/>
      <c r="Q94" s="5"/>
      <c r="R94" s="5"/>
      <c r="S94" s="5"/>
      <c r="T94" s="5"/>
      <c r="U94" s="5"/>
      <c r="V94" s="5"/>
      <c r="W94" s="5"/>
      <c r="X94" s="5"/>
      <c r="Y94" s="5"/>
      <c r="Z94" s="5"/>
      <c r="AA94" s="5"/>
      <c r="AB94" s="5"/>
      <c r="AC94" s="5"/>
      <c r="AD94" s="5"/>
      <c r="AE94" s="5"/>
      <c r="AF94" s="5"/>
      <c r="AG94" s="5"/>
      <c r="AH94" s="5"/>
      <c r="AI94" s="5"/>
      <c r="AJ94" s="5"/>
      <c r="AK94" s="5"/>
      <c r="AL94" s="5"/>
      <c r="AM94" s="5" t="n">
        <v>3.42</v>
      </c>
      <c r="AN94" s="5"/>
      <c r="AO94" s="5"/>
      <c r="AP94" s="5"/>
      <c r="AQ94" s="5"/>
      <c r="AR94" s="5" t="n">
        <v>3.07</v>
      </c>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t="n">
        <v>1</v>
      </c>
      <c r="BW94" s="5" t="n">
        <v>4</v>
      </c>
      <c r="BX94" s="5" t="n">
        <f aca="false">IF(AND(N(BV94)&gt;0,N(BW94)&gt;0),SQRT(2*BV94/BW94),"")</f>
        <v>0.707106781186548</v>
      </c>
      <c r="BY94" s="5"/>
      <c r="BZ94" s="5"/>
      <c r="CA94" s="5"/>
      <c r="CB94" s="5" t="n">
        <v>850</v>
      </c>
      <c r="CC94" s="5" t="n">
        <v>23.167</v>
      </c>
      <c r="CD94" s="5" t="n">
        <v>5</v>
      </c>
      <c r="CE94" s="5"/>
      <c r="CF94" s="5"/>
      <c r="CG94" s="5"/>
      <c r="CH94" s="5" t="n">
        <v>6.9</v>
      </c>
      <c r="CI94" s="5"/>
      <c r="CJ94" s="5"/>
      <c r="CK94" s="5"/>
      <c r="CL94" s="5" t="s">
        <v>3524</v>
      </c>
      <c r="CM94" s="5" t="s">
        <v>2040</v>
      </c>
      <c r="CN94" s="5" t="s">
        <v>3540</v>
      </c>
      <c r="CO94" s="5" t="s">
        <v>2065</v>
      </c>
      <c r="CP94" s="5" t="s">
        <v>3571</v>
      </c>
      <c r="CQ94" s="23" t="s">
        <v>3574</v>
      </c>
      <c r="CR94" s="5" t="s">
        <v>807</v>
      </c>
      <c r="CS94" s="5" t="s">
        <v>3528</v>
      </c>
    </row>
    <row r="95" customFormat="false" ht="14.25" hidden="false" customHeight="true" outlineLevel="0" collapsed="false">
      <c r="A95" s="5" t="n">
        <v>164</v>
      </c>
      <c r="B95" s="5" t="n">
        <v>164</v>
      </c>
      <c r="C95" s="5" t="s">
        <v>791</v>
      </c>
      <c r="D95" s="5" t="n">
        <v>2000</v>
      </c>
      <c r="E95" s="5" t="s">
        <v>792</v>
      </c>
      <c r="F95" s="5" t="s">
        <v>1436</v>
      </c>
      <c r="G95" s="5" t="s">
        <v>2064</v>
      </c>
      <c r="H95" s="5" t="n">
        <v>23.167</v>
      </c>
      <c r="I95" s="5" t="n">
        <v>79.95</v>
      </c>
      <c r="J95" s="5" t="s">
        <v>83</v>
      </c>
      <c r="K95" s="5" t="s">
        <v>3541</v>
      </c>
      <c r="L95" s="5" t="s">
        <v>84</v>
      </c>
      <c r="M95" s="5" t="s">
        <v>2056</v>
      </c>
      <c r="N95" s="5"/>
      <c r="O95" s="5" t="n">
        <v>2.55</v>
      </c>
      <c r="P95" s="5"/>
      <c r="Q95" s="5"/>
      <c r="R95" s="5"/>
      <c r="S95" s="5"/>
      <c r="T95" s="5" t="n">
        <v>2.42</v>
      </c>
      <c r="U95" s="5"/>
      <c r="V95" s="5"/>
      <c r="W95" s="5"/>
      <c r="X95" s="5"/>
      <c r="Y95" s="5"/>
      <c r="Z95" s="5"/>
      <c r="AA95" s="5"/>
      <c r="AB95" s="5"/>
      <c r="AC95" s="5"/>
      <c r="AD95" s="5"/>
      <c r="AE95" s="5"/>
      <c r="AF95" s="5"/>
      <c r="AG95" s="5"/>
      <c r="AH95" s="5"/>
      <c r="AI95" s="5"/>
      <c r="AJ95" s="5"/>
      <c r="AK95" s="5"/>
      <c r="AL95" s="5"/>
      <c r="AM95" s="5" t="n">
        <v>4.92</v>
      </c>
      <c r="AN95" s="5"/>
      <c r="AO95" s="5"/>
      <c r="AP95" s="5"/>
      <c r="AQ95" s="5"/>
      <c r="AR95" s="5" t="n">
        <v>4.44</v>
      </c>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t="n">
        <v>1</v>
      </c>
      <c r="BW95" s="5" t="n">
        <v>4</v>
      </c>
      <c r="BX95" s="5" t="n">
        <f aca="false">IF(AND(N(BV95)&gt;0,N(BW95)&gt;0),SQRT(2*BV95/BW95),"")</f>
        <v>0.707106781186548</v>
      </c>
      <c r="BY95" s="5"/>
      <c r="BZ95" s="5"/>
      <c r="CA95" s="5"/>
      <c r="CB95" s="5" t="n">
        <v>850</v>
      </c>
      <c r="CC95" s="5" t="n">
        <v>23.167</v>
      </c>
      <c r="CD95" s="5" t="n">
        <v>6</v>
      </c>
      <c r="CE95" s="5"/>
      <c r="CF95" s="5"/>
      <c r="CG95" s="5"/>
      <c r="CH95" s="5" t="n">
        <v>6.9</v>
      </c>
      <c r="CI95" s="5"/>
      <c r="CJ95" s="5"/>
      <c r="CK95" s="5"/>
      <c r="CL95" s="5" t="s">
        <v>3524</v>
      </c>
      <c r="CM95" s="5" t="s">
        <v>2040</v>
      </c>
      <c r="CN95" s="5" t="s">
        <v>3542</v>
      </c>
      <c r="CO95" s="5" t="s">
        <v>2065</v>
      </c>
      <c r="CP95" s="5" t="s">
        <v>3571</v>
      </c>
      <c r="CQ95" s="23" t="s">
        <v>3572</v>
      </c>
      <c r="CR95" s="5" t="s">
        <v>807</v>
      </c>
      <c r="CS95" s="5" t="s">
        <v>3528</v>
      </c>
    </row>
    <row r="96" customFormat="false" ht="14.25" hidden="false" customHeight="true" outlineLevel="0" collapsed="false">
      <c r="A96" s="5" t="n">
        <v>164</v>
      </c>
      <c r="B96" s="5" t="n">
        <v>164</v>
      </c>
      <c r="C96" s="5" t="s">
        <v>791</v>
      </c>
      <c r="D96" s="5" t="n">
        <v>2000</v>
      </c>
      <c r="E96" s="5" t="s">
        <v>792</v>
      </c>
      <c r="F96" s="5" t="s">
        <v>1436</v>
      </c>
      <c r="G96" s="5" t="s">
        <v>2064</v>
      </c>
      <c r="H96" s="5" t="n">
        <v>23.167</v>
      </c>
      <c r="I96" s="5" t="n">
        <v>79.95</v>
      </c>
      <c r="J96" s="5" t="s">
        <v>83</v>
      </c>
      <c r="K96" s="5" t="s">
        <v>3543</v>
      </c>
      <c r="L96" s="5" t="s">
        <v>84</v>
      </c>
      <c r="M96" s="5" t="s">
        <v>2056</v>
      </c>
      <c r="N96" s="5"/>
      <c r="O96" s="5" t="n">
        <v>2.88</v>
      </c>
      <c r="P96" s="5"/>
      <c r="Q96" s="5"/>
      <c r="R96" s="5"/>
      <c r="S96" s="5"/>
      <c r="T96" s="5" t="n">
        <v>2.7</v>
      </c>
      <c r="U96" s="5"/>
      <c r="V96" s="5"/>
      <c r="W96" s="5"/>
      <c r="X96" s="5"/>
      <c r="Y96" s="5"/>
      <c r="Z96" s="5"/>
      <c r="AA96" s="5"/>
      <c r="AB96" s="5"/>
      <c r="AC96" s="5"/>
      <c r="AD96" s="5"/>
      <c r="AE96" s="5"/>
      <c r="AF96" s="5"/>
      <c r="AG96" s="5"/>
      <c r="AH96" s="5"/>
      <c r="AI96" s="5"/>
      <c r="AJ96" s="5"/>
      <c r="AK96" s="5"/>
      <c r="AL96" s="5"/>
      <c r="AM96" s="5" t="n">
        <v>6.36</v>
      </c>
      <c r="AN96" s="5"/>
      <c r="AO96" s="5"/>
      <c r="AP96" s="5"/>
      <c r="AQ96" s="5"/>
      <c r="AR96" s="5" t="n">
        <v>5.47</v>
      </c>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t="n">
        <v>1</v>
      </c>
      <c r="BW96" s="5" t="n">
        <v>4</v>
      </c>
      <c r="BX96" s="5" t="n">
        <f aca="false">IF(AND(N(BV96)&gt;0,N(BW96)&gt;0),SQRT(2*BV96/BW96),"")</f>
        <v>0.707106781186548</v>
      </c>
      <c r="BY96" s="5"/>
      <c r="BZ96" s="5"/>
      <c r="CA96" s="5"/>
      <c r="CB96" s="5" t="n">
        <v>850</v>
      </c>
      <c r="CC96" s="5" t="n">
        <v>23.167</v>
      </c>
      <c r="CD96" s="5" t="n">
        <v>7</v>
      </c>
      <c r="CE96" s="5"/>
      <c r="CF96" s="5"/>
      <c r="CG96" s="5"/>
      <c r="CH96" s="5" t="n">
        <v>6.9</v>
      </c>
      <c r="CI96" s="5"/>
      <c r="CJ96" s="5"/>
      <c r="CK96" s="5"/>
      <c r="CL96" s="5" t="s">
        <v>3524</v>
      </c>
      <c r="CM96" s="5" t="s">
        <v>2040</v>
      </c>
      <c r="CN96" s="5" t="s">
        <v>3544</v>
      </c>
      <c r="CO96" s="5" t="s">
        <v>2065</v>
      </c>
      <c r="CP96" s="5" t="s">
        <v>3571</v>
      </c>
      <c r="CQ96" s="23" t="s">
        <v>3572</v>
      </c>
      <c r="CR96" s="5" t="s">
        <v>807</v>
      </c>
      <c r="CS96" s="5" t="s">
        <v>3528</v>
      </c>
    </row>
    <row r="97" customFormat="false" ht="14.25" hidden="false" customHeight="true" outlineLevel="0" collapsed="false">
      <c r="A97" s="5" t="n">
        <v>164</v>
      </c>
      <c r="B97" s="5" t="n">
        <v>164</v>
      </c>
      <c r="C97" s="5" t="s">
        <v>791</v>
      </c>
      <c r="D97" s="5" t="n">
        <v>2000</v>
      </c>
      <c r="E97" s="5" t="s">
        <v>792</v>
      </c>
      <c r="F97" s="5" t="s">
        <v>1436</v>
      </c>
      <c r="G97" s="5" t="s">
        <v>2064</v>
      </c>
      <c r="H97" s="5" t="n">
        <v>23.167</v>
      </c>
      <c r="I97" s="5" t="n">
        <v>79.95</v>
      </c>
      <c r="J97" s="5" t="s">
        <v>83</v>
      </c>
      <c r="K97" s="5" t="s">
        <v>3545</v>
      </c>
      <c r="L97" s="5" t="s">
        <v>84</v>
      </c>
      <c r="M97" s="5" t="s">
        <v>2056</v>
      </c>
      <c r="N97" s="5"/>
      <c r="O97" s="5" t="n">
        <v>2.22</v>
      </c>
      <c r="P97" s="5"/>
      <c r="Q97" s="5"/>
      <c r="R97" s="5"/>
      <c r="S97" s="5"/>
      <c r="T97" s="5" t="n">
        <v>2.5</v>
      </c>
      <c r="U97" s="5"/>
      <c r="V97" s="5"/>
      <c r="W97" s="5"/>
      <c r="X97" s="5"/>
      <c r="Y97" s="5"/>
      <c r="Z97" s="5"/>
      <c r="AA97" s="5"/>
      <c r="AB97" s="5"/>
      <c r="AC97" s="5"/>
      <c r="AD97" s="5"/>
      <c r="AE97" s="5"/>
      <c r="AF97" s="5"/>
      <c r="AG97" s="5"/>
      <c r="AH97" s="5"/>
      <c r="AI97" s="5"/>
      <c r="AJ97" s="5"/>
      <c r="AK97" s="5"/>
      <c r="AL97" s="5"/>
      <c r="AM97" s="5" t="n">
        <v>5.02</v>
      </c>
      <c r="AN97" s="5"/>
      <c r="AO97" s="5"/>
      <c r="AP97" s="5"/>
      <c r="AQ97" s="5"/>
      <c r="AR97" s="5" t="n">
        <v>3.85</v>
      </c>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t="n">
        <v>1</v>
      </c>
      <c r="BW97" s="5" t="n">
        <v>4</v>
      </c>
      <c r="BX97" s="5" t="n">
        <f aca="false">IF(AND(N(BV97)&gt;0,N(BW97)&gt;0),SQRT(2*BV97/BW97),"")</f>
        <v>0.707106781186548</v>
      </c>
      <c r="BY97" s="5"/>
      <c r="BZ97" s="5"/>
      <c r="CA97" s="5"/>
      <c r="CB97" s="5" t="n">
        <v>850</v>
      </c>
      <c r="CC97" s="5" t="n">
        <v>23.167</v>
      </c>
      <c r="CD97" s="5" t="n">
        <v>8</v>
      </c>
      <c r="CE97" s="5"/>
      <c r="CF97" s="5"/>
      <c r="CG97" s="5"/>
      <c r="CH97" s="5" t="n">
        <v>6.9</v>
      </c>
      <c r="CI97" s="5"/>
      <c r="CJ97" s="5"/>
      <c r="CK97" s="5"/>
      <c r="CL97" s="5" t="s">
        <v>3524</v>
      </c>
      <c r="CM97" s="5" t="s">
        <v>2040</v>
      </c>
      <c r="CN97" s="5" t="s">
        <v>3546</v>
      </c>
      <c r="CO97" s="5" t="s">
        <v>2065</v>
      </c>
      <c r="CP97" s="5" t="s">
        <v>3571</v>
      </c>
      <c r="CQ97" s="23" t="s">
        <v>3572</v>
      </c>
      <c r="CR97" s="5" t="s">
        <v>807</v>
      </c>
      <c r="CS97" s="5" t="s">
        <v>3528</v>
      </c>
    </row>
    <row r="98" customFormat="false" ht="14.25" hidden="false" customHeight="true" outlineLevel="0" collapsed="false">
      <c r="A98" s="5" t="n">
        <v>164</v>
      </c>
      <c r="B98" s="5" t="n">
        <v>164</v>
      </c>
      <c r="C98" s="5" t="s">
        <v>791</v>
      </c>
      <c r="D98" s="5" t="n">
        <v>2000</v>
      </c>
      <c r="E98" s="5" t="s">
        <v>792</v>
      </c>
      <c r="F98" s="5" t="s">
        <v>1436</v>
      </c>
      <c r="G98" s="5" t="s">
        <v>2064</v>
      </c>
      <c r="H98" s="5" t="n">
        <v>23.167</v>
      </c>
      <c r="I98" s="5" t="n">
        <v>79.95</v>
      </c>
      <c r="J98" s="5" t="s">
        <v>83</v>
      </c>
      <c r="K98" s="5" t="s">
        <v>3547</v>
      </c>
      <c r="L98" s="5" t="s">
        <v>84</v>
      </c>
      <c r="M98" s="5" t="s">
        <v>2056</v>
      </c>
      <c r="N98" s="5"/>
      <c r="O98" s="5" t="n">
        <v>2.41</v>
      </c>
      <c r="P98" s="5"/>
      <c r="Q98" s="5"/>
      <c r="R98" s="5"/>
      <c r="S98" s="5"/>
      <c r="T98" s="5" t="n">
        <v>2.36</v>
      </c>
      <c r="U98" s="5"/>
      <c r="V98" s="5"/>
      <c r="W98" s="5"/>
      <c r="X98" s="5"/>
      <c r="Y98" s="5"/>
      <c r="Z98" s="5"/>
      <c r="AA98" s="5"/>
      <c r="AB98" s="5"/>
      <c r="AC98" s="5"/>
      <c r="AD98" s="5"/>
      <c r="AE98" s="5"/>
      <c r="AF98" s="5"/>
      <c r="AG98" s="5"/>
      <c r="AH98" s="5"/>
      <c r="AI98" s="5"/>
      <c r="AJ98" s="5"/>
      <c r="AK98" s="5"/>
      <c r="AL98" s="5"/>
      <c r="AM98" s="5" t="n">
        <v>4.82</v>
      </c>
      <c r="AN98" s="5"/>
      <c r="AO98" s="5"/>
      <c r="AP98" s="5"/>
      <c r="AQ98" s="5"/>
      <c r="AR98" s="5" t="n">
        <v>4.91</v>
      </c>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t="n">
        <v>1</v>
      </c>
      <c r="BW98" s="5" t="n">
        <v>4</v>
      </c>
      <c r="BX98" s="5" t="n">
        <f aca="false">IF(AND(N(BV98)&gt;0,N(BW98)&gt;0),SQRT(2*BV98/BW98),"")</f>
        <v>0.707106781186548</v>
      </c>
      <c r="BY98" s="5"/>
      <c r="BZ98" s="5"/>
      <c r="CA98" s="5"/>
      <c r="CB98" s="5" t="n">
        <v>850</v>
      </c>
      <c r="CC98" s="5" t="n">
        <v>23.167</v>
      </c>
      <c r="CD98" s="5" t="n">
        <v>9</v>
      </c>
      <c r="CE98" s="5"/>
      <c r="CF98" s="5"/>
      <c r="CG98" s="5"/>
      <c r="CH98" s="5" t="n">
        <v>6.9</v>
      </c>
      <c r="CI98" s="5"/>
      <c r="CJ98" s="5"/>
      <c r="CK98" s="5"/>
      <c r="CL98" s="5" t="s">
        <v>3524</v>
      </c>
      <c r="CM98" s="5" t="s">
        <v>2040</v>
      </c>
      <c r="CN98" s="5" t="s">
        <v>3548</v>
      </c>
      <c r="CO98" s="5" t="s">
        <v>2065</v>
      </c>
      <c r="CP98" s="5" t="s">
        <v>3571</v>
      </c>
      <c r="CQ98" s="23" t="s">
        <v>3572</v>
      </c>
      <c r="CR98" s="5" t="s">
        <v>807</v>
      </c>
      <c r="CS98" s="5" t="s">
        <v>3528</v>
      </c>
    </row>
    <row r="99" customFormat="false" ht="14.25" hidden="false" customHeight="true" outlineLevel="0" collapsed="false">
      <c r="A99" s="5" t="n">
        <v>164</v>
      </c>
      <c r="B99" s="5" t="n">
        <v>164</v>
      </c>
      <c r="C99" s="5" t="s">
        <v>791</v>
      </c>
      <c r="D99" s="5" t="n">
        <v>2000</v>
      </c>
      <c r="E99" s="5" t="s">
        <v>792</v>
      </c>
      <c r="F99" s="5" t="s">
        <v>1436</v>
      </c>
      <c r="G99" s="5" t="s">
        <v>2064</v>
      </c>
      <c r="H99" s="5" t="n">
        <v>23.167</v>
      </c>
      <c r="I99" s="5" t="n">
        <v>79.95</v>
      </c>
      <c r="J99" s="5" t="s">
        <v>83</v>
      </c>
      <c r="K99" s="5" t="s">
        <v>3549</v>
      </c>
      <c r="L99" s="5" t="s">
        <v>84</v>
      </c>
      <c r="M99" s="5" t="s">
        <v>2056</v>
      </c>
      <c r="N99" s="5"/>
      <c r="O99" s="5" t="n">
        <v>3.26</v>
      </c>
      <c r="P99" s="5"/>
      <c r="Q99" s="5"/>
      <c r="R99" s="5"/>
      <c r="S99" s="5"/>
      <c r="T99" s="5" t="n">
        <v>3.56</v>
      </c>
      <c r="U99" s="5"/>
      <c r="V99" s="5"/>
      <c r="W99" s="5"/>
      <c r="X99" s="5"/>
      <c r="Y99" s="5"/>
      <c r="Z99" s="5"/>
      <c r="AA99" s="5"/>
      <c r="AB99" s="5"/>
      <c r="AC99" s="5"/>
      <c r="AD99" s="5"/>
      <c r="AE99" s="5"/>
      <c r="AF99" s="5"/>
      <c r="AG99" s="5"/>
      <c r="AH99" s="5"/>
      <c r="AI99" s="5"/>
      <c r="AJ99" s="5"/>
      <c r="AK99" s="5"/>
      <c r="AL99" s="5"/>
      <c r="AM99" s="5" t="n">
        <v>5.24</v>
      </c>
      <c r="AN99" s="5"/>
      <c r="AO99" s="5"/>
      <c r="AP99" s="5"/>
      <c r="AQ99" s="5"/>
      <c r="AR99" s="5" t="n">
        <v>5.34</v>
      </c>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t="n">
        <v>1</v>
      </c>
      <c r="BW99" s="5" t="n">
        <v>4</v>
      </c>
      <c r="BX99" s="5" t="n">
        <f aca="false">IF(AND(N(BV99)&gt;0,N(BW99)&gt;0),SQRT(2*BV99/BW99),"")</f>
        <v>0.707106781186548</v>
      </c>
      <c r="BY99" s="5"/>
      <c r="BZ99" s="5"/>
      <c r="CA99" s="5"/>
      <c r="CB99" s="5" t="n">
        <v>850</v>
      </c>
      <c r="CC99" s="5" t="n">
        <v>23.167</v>
      </c>
      <c r="CD99" s="5" t="n">
        <v>10</v>
      </c>
      <c r="CE99" s="5"/>
      <c r="CF99" s="5"/>
      <c r="CG99" s="5"/>
      <c r="CH99" s="5" t="n">
        <v>6.9</v>
      </c>
      <c r="CI99" s="5"/>
      <c r="CJ99" s="5"/>
      <c r="CK99" s="5"/>
      <c r="CL99" s="5" t="s">
        <v>3524</v>
      </c>
      <c r="CM99" s="5" t="s">
        <v>2040</v>
      </c>
      <c r="CN99" s="5" t="s">
        <v>3550</v>
      </c>
      <c r="CO99" s="5" t="s">
        <v>2065</v>
      </c>
      <c r="CP99" s="5" t="s">
        <v>3571</v>
      </c>
      <c r="CQ99" s="23" t="s">
        <v>3572</v>
      </c>
      <c r="CR99" s="5" t="s">
        <v>807</v>
      </c>
      <c r="CS99" s="5" t="s">
        <v>3528</v>
      </c>
    </row>
    <row r="100" customFormat="false" ht="14.25" hidden="false" customHeight="true" outlineLevel="0" collapsed="false">
      <c r="A100" s="5" t="n">
        <v>164</v>
      </c>
      <c r="B100" s="5" t="n">
        <v>164</v>
      </c>
      <c r="C100" s="5" t="s">
        <v>791</v>
      </c>
      <c r="D100" s="5" t="n">
        <v>2000</v>
      </c>
      <c r="E100" s="5" t="s">
        <v>792</v>
      </c>
      <c r="F100" s="5" t="s">
        <v>1436</v>
      </c>
      <c r="G100" s="5" t="s">
        <v>2064</v>
      </c>
      <c r="H100" s="5" t="n">
        <v>23.167</v>
      </c>
      <c r="I100" s="5" t="n">
        <v>79.95</v>
      </c>
      <c r="J100" s="5" t="s">
        <v>83</v>
      </c>
      <c r="K100" s="5" t="s">
        <v>3551</v>
      </c>
      <c r="L100" s="5" t="s">
        <v>802</v>
      </c>
      <c r="M100" s="5" t="s">
        <v>2056</v>
      </c>
      <c r="N100" s="5"/>
      <c r="O100" s="5" t="n">
        <v>2.15</v>
      </c>
      <c r="P100" s="5"/>
      <c r="Q100" s="5"/>
      <c r="R100" s="5"/>
      <c r="S100" s="5"/>
      <c r="T100" s="5" t="n">
        <v>1.64</v>
      </c>
      <c r="U100" s="5"/>
      <c r="V100" s="5"/>
      <c r="W100" s="5"/>
      <c r="X100" s="5"/>
      <c r="Y100" s="5"/>
      <c r="Z100" s="5"/>
      <c r="AA100" s="5"/>
      <c r="AB100" s="5"/>
      <c r="AC100" s="5"/>
      <c r="AD100" s="5"/>
      <c r="AE100" s="5"/>
      <c r="AF100" s="5"/>
      <c r="AG100" s="5"/>
      <c r="AH100" s="5"/>
      <c r="AI100" s="5"/>
      <c r="AJ100" s="5"/>
      <c r="AK100" s="5"/>
      <c r="AL100" s="5"/>
      <c r="AM100" s="5" t="n">
        <v>8.49</v>
      </c>
      <c r="AN100" s="5"/>
      <c r="AO100" s="5"/>
      <c r="AP100" s="5"/>
      <c r="AQ100" s="5"/>
      <c r="AR100" s="5" t="n">
        <v>7.15</v>
      </c>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t="n">
        <v>1</v>
      </c>
      <c r="BW100" s="5" t="n">
        <v>4</v>
      </c>
      <c r="BX100" s="5" t="n">
        <f aca="false">IF(AND(N(BV100)&gt;0,N(BW100)&gt;0),SQRT(2*BV100/BW100),"")</f>
        <v>0.707106781186548</v>
      </c>
      <c r="BY100" s="5"/>
      <c r="BZ100" s="5"/>
      <c r="CA100" s="5"/>
      <c r="CB100" s="5" t="n">
        <v>850</v>
      </c>
      <c r="CC100" s="5" t="n">
        <v>23.167</v>
      </c>
      <c r="CD100" s="5" t="n">
        <v>11</v>
      </c>
      <c r="CE100" s="5"/>
      <c r="CF100" s="5"/>
      <c r="CG100" s="5"/>
      <c r="CH100" s="5" t="n">
        <v>6.9</v>
      </c>
      <c r="CI100" s="5"/>
      <c r="CJ100" s="5"/>
      <c r="CK100" s="5"/>
      <c r="CL100" s="5" t="s">
        <v>3524</v>
      </c>
      <c r="CM100" s="5" t="s">
        <v>2040</v>
      </c>
      <c r="CN100" s="5" t="s">
        <v>3552</v>
      </c>
      <c r="CO100" s="5" t="s">
        <v>2065</v>
      </c>
      <c r="CP100" s="5" t="s">
        <v>3571</v>
      </c>
      <c r="CQ100" s="23" t="s">
        <v>3572</v>
      </c>
      <c r="CR100" s="5" t="s">
        <v>807</v>
      </c>
      <c r="CS100" s="5" t="s">
        <v>3528</v>
      </c>
    </row>
    <row r="101" customFormat="false" ht="14.25" hidden="false" customHeight="true" outlineLevel="0" collapsed="false">
      <c r="A101" s="5" t="n">
        <v>164</v>
      </c>
      <c r="B101" s="5" t="n">
        <v>164</v>
      </c>
      <c r="C101" s="5" t="s">
        <v>791</v>
      </c>
      <c r="D101" s="5" t="n">
        <v>2000</v>
      </c>
      <c r="E101" s="5" t="s">
        <v>792</v>
      </c>
      <c r="F101" s="5" t="s">
        <v>1436</v>
      </c>
      <c r="G101" s="5" t="s">
        <v>2064</v>
      </c>
      <c r="H101" s="5" t="n">
        <v>23.167</v>
      </c>
      <c r="I101" s="5" t="n">
        <v>79.95</v>
      </c>
      <c r="J101" s="5" t="s">
        <v>83</v>
      </c>
      <c r="K101" s="5" t="s">
        <v>3553</v>
      </c>
      <c r="L101" s="5" t="s">
        <v>802</v>
      </c>
      <c r="M101" s="5" t="s">
        <v>2056</v>
      </c>
      <c r="N101" s="5"/>
      <c r="O101" s="5" t="n">
        <v>3.08</v>
      </c>
      <c r="P101" s="5"/>
      <c r="Q101" s="5"/>
      <c r="R101" s="5"/>
      <c r="S101" s="5"/>
      <c r="T101" s="5" t="n">
        <v>3.12</v>
      </c>
      <c r="U101" s="5"/>
      <c r="V101" s="5"/>
      <c r="W101" s="5"/>
      <c r="X101" s="5"/>
      <c r="Y101" s="5"/>
      <c r="Z101" s="5"/>
      <c r="AA101" s="5"/>
      <c r="AB101" s="5"/>
      <c r="AC101" s="5"/>
      <c r="AD101" s="5"/>
      <c r="AE101" s="5"/>
      <c r="AF101" s="5"/>
      <c r="AG101" s="5"/>
      <c r="AH101" s="5"/>
      <c r="AI101" s="5"/>
      <c r="AJ101" s="5"/>
      <c r="AK101" s="5"/>
      <c r="AL101" s="5"/>
      <c r="AM101" s="5" t="n">
        <v>4.86</v>
      </c>
      <c r="AN101" s="5"/>
      <c r="AO101" s="5"/>
      <c r="AP101" s="5"/>
      <c r="AQ101" s="5"/>
      <c r="AR101" s="5" t="n">
        <v>3.99</v>
      </c>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t="n">
        <v>1</v>
      </c>
      <c r="BW101" s="5" t="n">
        <v>4</v>
      </c>
      <c r="BX101" s="5" t="n">
        <f aca="false">IF(AND(N(BV101)&gt;0,N(BW101)&gt;0),SQRT(2*BV101/BW101),"")</f>
        <v>0.707106781186548</v>
      </c>
      <c r="BY101" s="5"/>
      <c r="BZ101" s="5"/>
      <c r="CA101" s="5"/>
      <c r="CB101" s="5" t="n">
        <v>850</v>
      </c>
      <c r="CC101" s="5" t="n">
        <v>23.167</v>
      </c>
      <c r="CD101" s="5" t="n">
        <v>12</v>
      </c>
      <c r="CE101" s="5"/>
      <c r="CF101" s="5"/>
      <c r="CG101" s="5"/>
      <c r="CH101" s="5" t="n">
        <v>6.9</v>
      </c>
      <c r="CI101" s="5"/>
      <c r="CJ101" s="5"/>
      <c r="CK101" s="5"/>
      <c r="CL101" s="5" t="s">
        <v>3524</v>
      </c>
      <c r="CM101" s="5" t="s">
        <v>2040</v>
      </c>
      <c r="CN101" s="5" t="s">
        <v>3554</v>
      </c>
      <c r="CO101" s="5" t="s">
        <v>2065</v>
      </c>
      <c r="CP101" s="5" t="s">
        <v>3571</v>
      </c>
      <c r="CQ101" s="23" t="s">
        <v>3572</v>
      </c>
      <c r="CR101" s="5" t="s">
        <v>807</v>
      </c>
      <c r="CS101" s="5" t="s">
        <v>3528</v>
      </c>
    </row>
    <row r="102" customFormat="false" ht="14.25" hidden="false" customHeight="true" outlineLevel="0" collapsed="false">
      <c r="A102" s="5" t="n">
        <v>164</v>
      </c>
      <c r="B102" s="5" t="n">
        <v>164</v>
      </c>
      <c r="C102" s="5" t="s">
        <v>791</v>
      </c>
      <c r="D102" s="5" t="n">
        <v>2000</v>
      </c>
      <c r="E102" s="5" t="s">
        <v>792</v>
      </c>
      <c r="F102" s="5" t="s">
        <v>1436</v>
      </c>
      <c r="G102" s="5" t="s">
        <v>2064</v>
      </c>
      <c r="H102" s="5" t="n">
        <v>23.167</v>
      </c>
      <c r="I102" s="5" t="n">
        <v>79.95</v>
      </c>
      <c r="J102" s="5" t="s">
        <v>83</v>
      </c>
      <c r="K102" s="5" t="s">
        <v>2039</v>
      </c>
      <c r="L102" s="5" t="s">
        <v>802</v>
      </c>
      <c r="M102" s="5" t="s">
        <v>2056</v>
      </c>
      <c r="N102" s="5"/>
      <c r="O102" s="5" t="n">
        <v>1.03</v>
      </c>
      <c r="P102" s="5"/>
      <c r="Q102" s="5"/>
      <c r="R102" s="5"/>
      <c r="S102" s="5"/>
      <c r="T102" s="5" t="n">
        <v>0.96</v>
      </c>
      <c r="U102" s="5"/>
      <c r="V102" s="5"/>
      <c r="W102" s="5"/>
      <c r="X102" s="5"/>
      <c r="Y102" s="5"/>
      <c r="Z102" s="5"/>
      <c r="AA102" s="5"/>
      <c r="AB102" s="5"/>
      <c r="AC102" s="5"/>
      <c r="AD102" s="5"/>
      <c r="AE102" s="5"/>
      <c r="AF102" s="5"/>
      <c r="AG102" s="5"/>
      <c r="AH102" s="5"/>
      <c r="AI102" s="5"/>
      <c r="AJ102" s="5"/>
      <c r="AK102" s="5"/>
      <c r="AL102" s="5"/>
      <c r="AM102" s="5" t="n">
        <v>5.2</v>
      </c>
      <c r="AN102" s="5"/>
      <c r="AO102" s="5"/>
      <c r="AP102" s="5"/>
      <c r="AQ102" s="5"/>
      <c r="AR102" s="5" t="n">
        <v>4.29</v>
      </c>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t="n">
        <v>1</v>
      </c>
      <c r="BW102" s="5" t="n">
        <v>4</v>
      </c>
      <c r="BX102" s="5" t="n">
        <f aca="false">IF(AND(N(BV102)&gt;0,N(BW102)&gt;0),SQRT(2*BV102/BW102),"")</f>
        <v>0.707106781186548</v>
      </c>
      <c r="BY102" s="5"/>
      <c r="BZ102" s="5"/>
      <c r="CA102" s="5"/>
      <c r="CB102" s="5" t="n">
        <v>850</v>
      </c>
      <c r="CC102" s="5" t="n">
        <v>23.167</v>
      </c>
      <c r="CD102" s="5" t="n">
        <v>13</v>
      </c>
      <c r="CE102" s="5"/>
      <c r="CF102" s="5"/>
      <c r="CG102" s="5"/>
      <c r="CH102" s="5" t="n">
        <v>6.9</v>
      </c>
      <c r="CI102" s="5"/>
      <c r="CJ102" s="5"/>
      <c r="CK102" s="5"/>
      <c r="CL102" s="5" t="s">
        <v>3524</v>
      </c>
      <c r="CM102" s="5" t="s">
        <v>2040</v>
      </c>
      <c r="CN102" s="5" t="s">
        <v>3555</v>
      </c>
      <c r="CO102" s="5" t="s">
        <v>2065</v>
      </c>
      <c r="CP102" s="5" t="s">
        <v>3571</v>
      </c>
      <c r="CQ102" s="23" t="s">
        <v>3572</v>
      </c>
      <c r="CR102" s="5" t="s">
        <v>807</v>
      </c>
      <c r="CS102" s="5" t="s">
        <v>3528</v>
      </c>
    </row>
    <row r="103" customFormat="false" ht="14.25" hidden="false" customHeight="true" outlineLevel="0" collapsed="false">
      <c r="A103" s="5" t="s">
        <v>931</v>
      </c>
      <c r="B103" s="5" t="s">
        <v>931</v>
      </c>
      <c r="C103" s="5" t="s">
        <v>932</v>
      </c>
      <c r="D103" s="5" t="n">
        <v>2023</v>
      </c>
      <c r="E103" s="5" t="s">
        <v>933</v>
      </c>
      <c r="F103" s="5" t="s">
        <v>936</v>
      </c>
      <c r="G103" s="5" t="s">
        <v>937</v>
      </c>
      <c r="H103" s="5" t="n">
        <v>35.27</v>
      </c>
      <c r="I103" s="5" t="n">
        <v>119.38</v>
      </c>
      <c r="J103" s="5" t="s">
        <v>870</v>
      </c>
      <c r="K103" s="5" t="s">
        <v>3575</v>
      </c>
      <c r="L103" s="5" t="s">
        <v>821</v>
      </c>
      <c r="M103" s="5"/>
      <c r="N103" s="5" t="n">
        <f aca="false">7073/1000</f>
        <v>7.073</v>
      </c>
      <c r="O103" s="5"/>
      <c r="P103" s="5"/>
      <c r="Q103" s="5"/>
      <c r="R103" s="5"/>
      <c r="S103" s="5"/>
      <c r="T103" s="5"/>
      <c r="U103" s="5"/>
      <c r="V103" s="5" t="n">
        <f aca="false">6898/1000</f>
        <v>6.898</v>
      </c>
      <c r="W103" s="5"/>
      <c r="X103" s="5"/>
      <c r="Y103" s="5"/>
      <c r="Z103" s="5"/>
      <c r="AA103" s="5"/>
      <c r="AB103" s="5"/>
      <c r="AC103" s="5"/>
      <c r="AD103" s="5"/>
      <c r="AE103" s="5"/>
      <c r="AF103" s="5"/>
      <c r="AG103" s="5"/>
      <c r="AH103" s="5"/>
      <c r="AI103" s="5"/>
      <c r="AJ103" s="5"/>
      <c r="AK103" s="5"/>
      <c r="AL103" s="5" t="n">
        <f aca="false">7866/1000</f>
        <v>7.866</v>
      </c>
      <c r="AM103" s="5"/>
      <c r="AN103" s="5"/>
      <c r="AO103" s="5"/>
      <c r="AP103" s="5"/>
      <c r="AQ103" s="5"/>
      <c r="AR103" s="5"/>
      <c r="AS103" s="5"/>
      <c r="AT103" s="5" t="n">
        <f aca="false">9020/1000</f>
        <v>9.02</v>
      </c>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t="n">
        <v>1</v>
      </c>
      <c r="BW103" s="5" t="n">
        <v>3</v>
      </c>
      <c r="BX103" s="5" t="n">
        <f aca="false">IF(AND(N(BV103)&gt;0,N(BW103)&gt;0),SQRT(2*BV103/BW103),"")</f>
        <v>0.816496580927726</v>
      </c>
      <c r="BY103" s="5"/>
      <c r="BZ103" s="5"/>
      <c r="CA103" s="5"/>
      <c r="CB103" s="5" t="n">
        <v>916</v>
      </c>
      <c r="CC103" s="5" t="n">
        <v>35.27</v>
      </c>
      <c r="CD103" s="5" t="n">
        <v>3</v>
      </c>
      <c r="CE103" s="5" t="n">
        <v>12.6</v>
      </c>
      <c r="CF103" s="5"/>
      <c r="CG103" s="5" t="n">
        <v>6.8</v>
      </c>
      <c r="CH103" s="5" t="n">
        <v>5.75</v>
      </c>
      <c r="CI103" s="5" t="n">
        <v>1.423</v>
      </c>
      <c r="CJ103" s="5"/>
      <c r="CK103" s="5"/>
      <c r="CL103" s="5" t="s">
        <v>3576</v>
      </c>
      <c r="CM103" s="5" t="s">
        <v>1492</v>
      </c>
      <c r="CN103" s="5" t="s">
        <v>3577</v>
      </c>
      <c r="CO103" s="5" t="s">
        <v>1494</v>
      </c>
      <c r="CP103" s="5" t="s">
        <v>3578</v>
      </c>
      <c r="CQ103" s="23" t="s">
        <v>3579</v>
      </c>
      <c r="CR103" s="5" t="s">
        <v>947</v>
      </c>
      <c r="CS103" s="5" t="s">
        <v>3580</v>
      </c>
    </row>
    <row r="104" customFormat="false" ht="14.25" hidden="false" customHeight="true" outlineLevel="0" collapsed="false">
      <c r="A104" s="5" t="s">
        <v>887</v>
      </c>
      <c r="B104" s="5" t="s">
        <v>887</v>
      </c>
      <c r="C104" s="5" t="s">
        <v>888</v>
      </c>
      <c r="D104" s="5" t="n">
        <v>2019</v>
      </c>
      <c r="E104" s="5" t="s">
        <v>833</v>
      </c>
      <c r="F104" s="5" t="s">
        <v>891</v>
      </c>
      <c r="G104" s="5" t="s">
        <v>892</v>
      </c>
      <c r="H104" s="5" t="n">
        <v>29.7</v>
      </c>
      <c r="I104" s="5" t="n">
        <v>76.96</v>
      </c>
      <c r="J104" s="5" t="s">
        <v>83</v>
      </c>
      <c r="K104" s="5" t="s">
        <v>3581</v>
      </c>
      <c r="L104" s="5" t="s">
        <v>821</v>
      </c>
      <c r="M104" s="5" t="s">
        <v>85</v>
      </c>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t="n">
        <v>14.04</v>
      </c>
      <c r="BK104" s="5" t="n">
        <v>13.46</v>
      </c>
      <c r="BL104" s="5"/>
      <c r="BM104" s="5"/>
      <c r="BN104" s="5"/>
      <c r="BO104" s="5"/>
      <c r="BP104" s="5"/>
      <c r="BQ104" s="5"/>
      <c r="BR104" s="5" t="n">
        <v>16.77</v>
      </c>
      <c r="BS104" s="5"/>
      <c r="BT104" s="5"/>
      <c r="BU104" s="5"/>
      <c r="BV104" s="5" t="n">
        <v>1</v>
      </c>
      <c r="BW104" s="5" t="n">
        <v>3</v>
      </c>
      <c r="BX104" s="5" t="n">
        <f aca="false">IF(AND(N(BV104)&gt;0,N(BW104)&gt;0),SQRT(2*BV104/BW104),"")</f>
        <v>0.816496580927726</v>
      </c>
      <c r="BY104" s="5"/>
      <c r="BZ104" s="5" t="n">
        <v>2</v>
      </c>
      <c r="CA104" s="5" t="n">
        <v>42.5</v>
      </c>
      <c r="CB104" s="5" t="n">
        <v>700</v>
      </c>
      <c r="CC104" s="5" t="n">
        <v>29.7</v>
      </c>
      <c r="CD104" s="5" t="n">
        <v>1</v>
      </c>
      <c r="CE104" s="5"/>
      <c r="CF104" s="5"/>
      <c r="CG104" s="5"/>
      <c r="CH104" s="5"/>
      <c r="CI104" s="5"/>
      <c r="CJ104" s="5"/>
      <c r="CK104" s="5"/>
      <c r="CL104" s="5" t="s">
        <v>3582</v>
      </c>
      <c r="CM104" s="5" t="s">
        <v>1639</v>
      </c>
      <c r="CN104" s="5" t="s">
        <v>3583</v>
      </c>
      <c r="CO104" s="5" t="s">
        <v>1641</v>
      </c>
      <c r="CP104" s="5" t="s">
        <v>3584</v>
      </c>
      <c r="CQ104" s="23" t="s">
        <v>3585</v>
      </c>
      <c r="CR104" s="5" t="s">
        <v>901</v>
      </c>
      <c r="CS104" s="5" t="s">
        <v>3586</v>
      </c>
    </row>
    <row r="105" customFormat="false" ht="14.25" hidden="false" customHeight="true" outlineLevel="0" collapsed="false">
      <c r="A105" s="5" t="s">
        <v>887</v>
      </c>
      <c r="B105" s="5" t="s">
        <v>887</v>
      </c>
      <c r="C105" s="5" t="s">
        <v>888</v>
      </c>
      <c r="D105" s="5" t="n">
        <v>2019</v>
      </c>
      <c r="E105" s="5" t="s">
        <v>833</v>
      </c>
      <c r="F105" s="5" t="s">
        <v>891</v>
      </c>
      <c r="G105" s="5" t="s">
        <v>892</v>
      </c>
      <c r="H105" s="5" t="n">
        <v>29.7</v>
      </c>
      <c r="I105" s="5" t="n">
        <v>76.96</v>
      </c>
      <c r="J105" s="5" t="s">
        <v>83</v>
      </c>
      <c r="K105" s="5" t="s">
        <v>3587</v>
      </c>
      <c r="L105" s="5" t="s">
        <v>821</v>
      </c>
      <c r="M105" s="5" t="s">
        <v>85</v>
      </c>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t="n">
        <v>14.68</v>
      </c>
      <c r="BK105" s="5" t="n">
        <v>11.14</v>
      </c>
      <c r="BL105" s="5"/>
      <c r="BM105" s="5"/>
      <c r="BN105" s="5"/>
      <c r="BO105" s="5"/>
      <c r="BP105" s="5"/>
      <c r="BQ105" s="5"/>
      <c r="BR105" s="5" t="n">
        <v>14.61</v>
      </c>
      <c r="BS105" s="5"/>
      <c r="BT105" s="5"/>
      <c r="BU105" s="5"/>
      <c r="BV105" s="5" t="n">
        <v>1</v>
      </c>
      <c r="BW105" s="5" t="n">
        <v>3</v>
      </c>
      <c r="BX105" s="5" t="n">
        <f aca="false">IF(AND(N(BV105)&gt;0,N(BW105)&gt;0),SQRT(2*BV105/BW105),"")</f>
        <v>0.816496580927726</v>
      </c>
      <c r="BY105" s="5"/>
      <c r="BZ105" s="5" t="n">
        <v>2</v>
      </c>
      <c r="CA105" s="5" t="n">
        <v>42.5</v>
      </c>
      <c r="CB105" s="5" t="n">
        <v>700</v>
      </c>
      <c r="CC105" s="5" t="n">
        <v>29.7</v>
      </c>
      <c r="CD105" s="5" t="n">
        <v>2</v>
      </c>
      <c r="CE105" s="5"/>
      <c r="CF105" s="5"/>
      <c r="CG105" s="5"/>
      <c r="CH105" s="5"/>
      <c r="CI105" s="5"/>
      <c r="CJ105" s="5"/>
      <c r="CK105" s="5"/>
      <c r="CL105" s="5" t="s">
        <v>3582</v>
      </c>
      <c r="CM105" s="5" t="s">
        <v>1639</v>
      </c>
      <c r="CN105" s="5" t="s">
        <v>3588</v>
      </c>
      <c r="CO105" s="5" t="s">
        <v>1641</v>
      </c>
      <c r="CP105" s="5" t="s">
        <v>3584</v>
      </c>
      <c r="CQ105" s="23" t="s">
        <v>3589</v>
      </c>
      <c r="CR105" s="5" t="s">
        <v>901</v>
      </c>
      <c r="CS105" s="5" t="s">
        <v>3586</v>
      </c>
    </row>
    <row r="106" customFormat="false" ht="14.25" hidden="false" customHeight="true" outlineLevel="0" collapsed="false">
      <c r="A106" s="5" t="s">
        <v>887</v>
      </c>
      <c r="B106" s="5" t="s">
        <v>887</v>
      </c>
      <c r="C106" s="5" t="s">
        <v>888</v>
      </c>
      <c r="D106" s="5" t="n">
        <v>2019</v>
      </c>
      <c r="E106" s="5" t="s">
        <v>833</v>
      </c>
      <c r="F106" s="5" t="s">
        <v>891</v>
      </c>
      <c r="G106" s="5" t="s">
        <v>892</v>
      </c>
      <c r="H106" s="5" t="n">
        <v>29.7</v>
      </c>
      <c r="I106" s="5" t="n">
        <v>76.96</v>
      </c>
      <c r="J106" s="5" t="s">
        <v>83</v>
      </c>
      <c r="K106" s="5" t="s">
        <v>3590</v>
      </c>
      <c r="L106" s="5" t="s">
        <v>821</v>
      </c>
      <c r="M106" s="5" t="s">
        <v>85</v>
      </c>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t="n">
        <v>14.85</v>
      </c>
      <c r="BK106" s="5" t="n">
        <v>13.53</v>
      </c>
      <c r="BL106" s="5"/>
      <c r="BM106" s="5"/>
      <c r="BN106" s="5"/>
      <c r="BO106" s="5"/>
      <c r="BP106" s="5"/>
      <c r="BQ106" s="5"/>
      <c r="BR106" s="5" t="n">
        <v>15.25</v>
      </c>
      <c r="BS106" s="5"/>
      <c r="BT106" s="5"/>
      <c r="BU106" s="5"/>
      <c r="BV106" s="5" t="n">
        <v>1</v>
      </c>
      <c r="BW106" s="5" t="n">
        <v>3</v>
      </c>
      <c r="BX106" s="5" t="n">
        <f aca="false">IF(AND(N(BV106)&gt;0,N(BW106)&gt;0),SQRT(2*BV106/BW106),"")</f>
        <v>0.816496580927726</v>
      </c>
      <c r="BY106" s="5"/>
      <c r="BZ106" s="5" t="n">
        <v>2</v>
      </c>
      <c r="CA106" s="5" t="n">
        <v>42.5</v>
      </c>
      <c r="CB106" s="5" t="n">
        <v>700</v>
      </c>
      <c r="CC106" s="5" t="n">
        <v>29.7</v>
      </c>
      <c r="CD106" s="5" t="n">
        <v>3</v>
      </c>
      <c r="CE106" s="5"/>
      <c r="CF106" s="5"/>
      <c r="CG106" s="5"/>
      <c r="CH106" s="5"/>
      <c r="CI106" s="5"/>
      <c r="CJ106" s="5"/>
      <c r="CK106" s="5"/>
      <c r="CL106" s="5" t="s">
        <v>3582</v>
      </c>
      <c r="CM106" s="5" t="s">
        <v>1639</v>
      </c>
      <c r="CN106" s="5" t="s">
        <v>3591</v>
      </c>
      <c r="CO106" s="5" t="s">
        <v>1641</v>
      </c>
      <c r="CP106" s="5" t="s">
        <v>3584</v>
      </c>
      <c r="CQ106" s="23" t="s">
        <v>3592</v>
      </c>
      <c r="CR106" s="5" t="s">
        <v>901</v>
      </c>
      <c r="CS106" s="5" t="s">
        <v>3586</v>
      </c>
    </row>
    <row r="107" customFormat="false" ht="14.25" hidden="false" customHeight="true" outlineLevel="0" collapsed="false">
      <c r="A107" s="5" t="s">
        <v>887</v>
      </c>
      <c r="B107" s="5" t="s">
        <v>887</v>
      </c>
      <c r="C107" s="5" t="s">
        <v>888</v>
      </c>
      <c r="D107" s="5" t="n">
        <v>2019</v>
      </c>
      <c r="E107" s="5" t="s">
        <v>833</v>
      </c>
      <c r="F107" s="5" t="s">
        <v>891</v>
      </c>
      <c r="G107" s="5" t="s">
        <v>892</v>
      </c>
      <c r="H107" s="5" t="n">
        <v>29.7</v>
      </c>
      <c r="I107" s="5" t="n">
        <v>76.96</v>
      </c>
      <c r="J107" s="5" t="s">
        <v>83</v>
      </c>
      <c r="K107" s="5" t="s">
        <v>3593</v>
      </c>
      <c r="L107" s="5" t="s">
        <v>84</v>
      </c>
      <c r="M107" s="5" t="s">
        <v>85</v>
      </c>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t="n">
        <v>11.51</v>
      </c>
      <c r="BK107" s="5" t="n">
        <v>11.58</v>
      </c>
      <c r="BL107" s="5"/>
      <c r="BM107" s="5"/>
      <c r="BN107" s="5"/>
      <c r="BO107" s="5"/>
      <c r="BP107" s="5"/>
      <c r="BQ107" s="5"/>
      <c r="BR107" s="5" t="n">
        <v>13.03</v>
      </c>
      <c r="BS107" s="5"/>
      <c r="BT107" s="5"/>
      <c r="BU107" s="5"/>
      <c r="BV107" s="5" t="n">
        <v>1</v>
      </c>
      <c r="BW107" s="5" t="n">
        <v>3</v>
      </c>
      <c r="BX107" s="5" t="n">
        <f aca="false">IF(AND(N(BV107)&gt;0,N(BW107)&gt;0),SQRT(2*BV107/BW107),"")</f>
        <v>0.816496580927726</v>
      </c>
      <c r="BY107" s="5"/>
      <c r="BZ107" s="5" t="n">
        <v>2</v>
      </c>
      <c r="CA107" s="5" t="n">
        <v>42.5</v>
      </c>
      <c r="CB107" s="5" t="n">
        <v>700</v>
      </c>
      <c r="CC107" s="5" t="n">
        <v>29.7</v>
      </c>
      <c r="CD107" s="5" t="n">
        <v>4</v>
      </c>
      <c r="CE107" s="5"/>
      <c r="CF107" s="5"/>
      <c r="CG107" s="5"/>
      <c r="CH107" s="5"/>
      <c r="CI107" s="5"/>
      <c r="CJ107" s="5"/>
      <c r="CK107" s="5"/>
      <c r="CL107" s="5" t="s">
        <v>3582</v>
      </c>
      <c r="CM107" s="5" t="s">
        <v>1639</v>
      </c>
      <c r="CN107" s="5" t="s">
        <v>3594</v>
      </c>
      <c r="CO107" s="5" t="s">
        <v>1641</v>
      </c>
      <c r="CP107" s="5" t="s">
        <v>3584</v>
      </c>
      <c r="CQ107" s="23" t="s">
        <v>3595</v>
      </c>
      <c r="CR107" s="5" t="s">
        <v>901</v>
      </c>
      <c r="CS107" s="5" t="s">
        <v>3586</v>
      </c>
    </row>
    <row r="108" customFormat="false" ht="14.25" hidden="false" customHeight="true" outlineLevel="0" collapsed="false">
      <c r="A108" s="5" t="s">
        <v>887</v>
      </c>
      <c r="B108" s="5" t="s">
        <v>887</v>
      </c>
      <c r="C108" s="5" t="s">
        <v>888</v>
      </c>
      <c r="D108" s="5" t="n">
        <v>2019</v>
      </c>
      <c r="E108" s="5" t="s">
        <v>833</v>
      </c>
      <c r="F108" s="5" t="s">
        <v>891</v>
      </c>
      <c r="G108" s="5" t="s">
        <v>892</v>
      </c>
      <c r="H108" s="5" t="n">
        <v>29.7</v>
      </c>
      <c r="I108" s="5" t="n">
        <v>76.96</v>
      </c>
      <c r="J108" s="5" t="s">
        <v>83</v>
      </c>
      <c r="K108" s="5" t="s">
        <v>3596</v>
      </c>
      <c r="L108" s="5" t="s">
        <v>84</v>
      </c>
      <c r="M108" s="5" t="s">
        <v>85</v>
      </c>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t="n">
        <v>13.09</v>
      </c>
      <c r="BK108" s="5" t="n">
        <v>11.88</v>
      </c>
      <c r="BL108" s="5"/>
      <c r="BM108" s="5"/>
      <c r="BN108" s="5"/>
      <c r="BO108" s="5"/>
      <c r="BP108" s="5"/>
      <c r="BQ108" s="5"/>
      <c r="BR108" s="5" t="n">
        <v>12.66</v>
      </c>
      <c r="BS108" s="5"/>
      <c r="BT108" s="5"/>
      <c r="BU108" s="5"/>
      <c r="BV108" s="5" t="n">
        <v>1</v>
      </c>
      <c r="BW108" s="5" t="n">
        <v>3</v>
      </c>
      <c r="BX108" s="5" t="n">
        <f aca="false">IF(AND(N(BV108)&gt;0,N(BW108)&gt;0),SQRT(2*BV108/BW108),"")</f>
        <v>0.816496580927726</v>
      </c>
      <c r="BY108" s="5"/>
      <c r="BZ108" s="5" t="n">
        <v>2</v>
      </c>
      <c r="CA108" s="5" t="n">
        <v>42.5</v>
      </c>
      <c r="CB108" s="5" t="n">
        <v>700</v>
      </c>
      <c r="CC108" s="5" t="n">
        <v>29.7</v>
      </c>
      <c r="CD108" s="5" t="n">
        <v>5</v>
      </c>
      <c r="CE108" s="5"/>
      <c r="CF108" s="5"/>
      <c r="CG108" s="5"/>
      <c r="CH108" s="5"/>
      <c r="CI108" s="5"/>
      <c r="CJ108" s="5"/>
      <c r="CK108" s="5"/>
      <c r="CL108" s="5" t="s">
        <v>3582</v>
      </c>
      <c r="CM108" s="5" t="s">
        <v>1639</v>
      </c>
      <c r="CN108" s="5" t="s">
        <v>3597</v>
      </c>
      <c r="CO108" s="5" t="s">
        <v>1641</v>
      </c>
      <c r="CP108" s="5" t="s">
        <v>3584</v>
      </c>
      <c r="CQ108" s="23" t="s">
        <v>3598</v>
      </c>
      <c r="CR108" s="5" t="s">
        <v>901</v>
      </c>
      <c r="CS108" s="5" t="s">
        <v>3586</v>
      </c>
    </row>
    <row r="109" customFormat="false" ht="14.25" hidden="false" customHeight="true" outlineLevel="0" collapsed="false">
      <c r="A109" s="5" t="s">
        <v>887</v>
      </c>
      <c r="B109" s="5" t="s">
        <v>887</v>
      </c>
      <c r="C109" s="5" t="s">
        <v>888</v>
      </c>
      <c r="D109" s="5" t="n">
        <v>2019</v>
      </c>
      <c r="E109" s="5" t="s">
        <v>833</v>
      </c>
      <c r="F109" s="5" t="s">
        <v>891</v>
      </c>
      <c r="G109" s="5" t="s">
        <v>892</v>
      </c>
      <c r="H109" s="5" t="n">
        <v>29.7</v>
      </c>
      <c r="I109" s="5" t="n">
        <v>76.96</v>
      </c>
      <c r="J109" s="5" t="s">
        <v>83</v>
      </c>
      <c r="K109" s="5" t="s">
        <v>3599</v>
      </c>
      <c r="L109" s="5" t="s">
        <v>84</v>
      </c>
      <c r="M109" s="5" t="s">
        <v>85</v>
      </c>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t="n">
        <v>12.39</v>
      </c>
      <c r="BK109" s="5" t="n">
        <v>12.52</v>
      </c>
      <c r="BL109" s="5"/>
      <c r="BM109" s="5"/>
      <c r="BN109" s="5"/>
      <c r="BO109" s="5"/>
      <c r="BP109" s="5"/>
      <c r="BQ109" s="5"/>
      <c r="BR109" s="5" t="n">
        <v>14.78</v>
      </c>
      <c r="BS109" s="5"/>
      <c r="BT109" s="5"/>
      <c r="BU109" s="5"/>
      <c r="BV109" s="5" t="n">
        <v>1</v>
      </c>
      <c r="BW109" s="5" t="n">
        <v>3</v>
      </c>
      <c r="BX109" s="5" t="n">
        <f aca="false">IF(AND(N(BV109)&gt;0,N(BW109)&gt;0),SQRT(2*BV109/BW109),"")</f>
        <v>0.816496580927726</v>
      </c>
      <c r="BY109" s="5"/>
      <c r="BZ109" s="5" t="n">
        <v>2</v>
      </c>
      <c r="CA109" s="5" t="n">
        <v>42.5</v>
      </c>
      <c r="CB109" s="5" t="n">
        <v>700</v>
      </c>
      <c r="CC109" s="5" t="n">
        <v>29.7</v>
      </c>
      <c r="CD109" s="5" t="n">
        <v>6</v>
      </c>
      <c r="CE109" s="5"/>
      <c r="CF109" s="5"/>
      <c r="CG109" s="5"/>
      <c r="CH109" s="5"/>
      <c r="CI109" s="5"/>
      <c r="CJ109" s="5"/>
      <c r="CK109" s="5"/>
      <c r="CL109" s="5" t="s">
        <v>3582</v>
      </c>
      <c r="CM109" s="5" t="s">
        <v>1639</v>
      </c>
      <c r="CN109" s="5" t="s">
        <v>3600</v>
      </c>
      <c r="CO109" s="5" t="s">
        <v>1641</v>
      </c>
      <c r="CP109" s="5" t="s">
        <v>3584</v>
      </c>
      <c r="CQ109" s="23" t="s">
        <v>3601</v>
      </c>
      <c r="CR109" s="5" t="s">
        <v>901</v>
      </c>
      <c r="CS109" s="5" t="s">
        <v>3586</v>
      </c>
    </row>
    <row r="110" customFormat="false" ht="14.25" hidden="false" customHeight="true" outlineLevel="0" collapsed="false">
      <c r="A110" s="5" t="s">
        <v>914</v>
      </c>
      <c r="B110" s="5" t="s">
        <v>914</v>
      </c>
      <c r="C110" s="5" t="s">
        <v>915</v>
      </c>
      <c r="D110" s="5" t="n">
        <v>2020</v>
      </c>
      <c r="E110" s="5" t="s">
        <v>916</v>
      </c>
      <c r="F110" s="5" t="s">
        <v>815</v>
      </c>
      <c r="G110" s="5" t="s">
        <v>919</v>
      </c>
      <c r="H110" s="5" t="n">
        <v>28.4</v>
      </c>
      <c r="I110" s="5" t="n">
        <v>77.1</v>
      </c>
      <c r="J110" s="5" t="s">
        <v>83</v>
      </c>
      <c r="K110" s="5" t="s">
        <v>3602</v>
      </c>
      <c r="L110" s="5" t="s">
        <v>802</v>
      </c>
      <c r="M110" s="5" t="s">
        <v>85</v>
      </c>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t="n">
        <v>4.57</v>
      </c>
      <c r="AN110" s="5"/>
      <c r="AO110" s="5"/>
      <c r="AP110" s="5"/>
      <c r="AQ110" s="5"/>
      <c r="AR110" s="5" t="n">
        <v>4.95</v>
      </c>
      <c r="AS110" s="5"/>
      <c r="AT110" s="5"/>
      <c r="AU110" s="5"/>
      <c r="AV110" s="5"/>
      <c r="AW110" s="5"/>
      <c r="AX110" s="5"/>
      <c r="AY110" s="5" t="n">
        <v>7.37</v>
      </c>
      <c r="AZ110" s="5"/>
      <c r="BA110" s="5"/>
      <c r="BB110" s="5"/>
      <c r="BC110" s="5"/>
      <c r="BD110" s="5" t="n">
        <v>9.33</v>
      </c>
      <c r="BE110" s="5"/>
      <c r="BF110" s="5"/>
      <c r="BG110" s="5"/>
      <c r="BH110" s="5"/>
      <c r="BI110" s="5"/>
      <c r="BJ110" s="5"/>
      <c r="BK110" s="5"/>
      <c r="BL110" s="5"/>
      <c r="BM110" s="5"/>
      <c r="BN110" s="5"/>
      <c r="BO110" s="5"/>
      <c r="BP110" s="5"/>
      <c r="BQ110" s="5"/>
      <c r="BR110" s="5"/>
      <c r="BS110" s="5"/>
      <c r="BT110" s="5"/>
      <c r="BU110" s="5"/>
      <c r="BV110" s="5" t="n">
        <v>9</v>
      </c>
      <c r="BW110" s="5" t="n">
        <v>3</v>
      </c>
      <c r="BX110" s="5" t="n">
        <f aca="false">IF(AND(N(BV110)&gt;0,N(BW110)&gt;0),SQRT(2*BV110/BW110),"")</f>
        <v>2.44948974278318</v>
      </c>
      <c r="BY110" s="5" t="n">
        <v>25.4</v>
      </c>
      <c r="BZ110" s="5" t="n">
        <v>18</v>
      </c>
      <c r="CA110" s="5" t="n">
        <v>35.2</v>
      </c>
      <c r="CB110" s="5" t="n">
        <v>750</v>
      </c>
      <c r="CC110" s="5" t="n">
        <v>28.4</v>
      </c>
      <c r="CD110" s="5" t="n">
        <v>12</v>
      </c>
      <c r="CE110" s="5"/>
      <c r="CF110" s="5"/>
      <c r="CG110" s="5" t="n">
        <v>8.45</v>
      </c>
      <c r="CH110" s="5" t="n">
        <v>5.1</v>
      </c>
      <c r="CI110" s="5" t="n">
        <v>1.5</v>
      </c>
      <c r="CJ110" s="5" t="n">
        <v>52.1</v>
      </c>
      <c r="CK110" s="5" t="n">
        <v>22.5</v>
      </c>
      <c r="CL110" s="5" t="s">
        <v>3603</v>
      </c>
      <c r="CM110" s="5" t="s">
        <v>1505</v>
      </c>
      <c r="CN110" s="5" t="s">
        <v>3604</v>
      </c>
      <c r="CO110" s="5" t="s">
        <v>1507</v>
      </c>
      <c r="CP110" s="5" t="s">
        <v>3272</v>
      </c>
      <c r="CQ110" s="23" t="s">
        <v>3605</v>
      </c>
      <c r="CR110" s="5" t="s">
        <v>928</v>
      </c>
      <c r="CS110" s="5" t="s">
        <v>3606</v>
      </c>
    </row>
    <row r="111" customFormat="false" ht="14.25" hidden="false" customHeight="true" outlineLevel="0" collapsed="false">
      <c r="A111" s="5" t="s">
        <v>914</v>
      </c>
      <c r="B111" s="5" t="s">
        <v>914</v>
      </c>
      <c r="C111" s="5" t="s">
        <v>915</v>
      </c>
      <c r="D111" s="5" t="n">
        <v>2020</v>
      </c>
      <c r="E111" s="5" t="s">
        <v>916</v>
      </c>
      <c r="F111" s="5" t="s">
        <v>815</v>
      </c>
      <c r="G111" s="5" t="s">
        <v>919</v>
      </c>
      <c r="H111" s="5" t="n">
        <v>28.4</v>
      </c>
      <c r="I111" s="5" t="n">
        <v>77.1</v>
      </c>
      <c r="J111" s="5" t="s">
        <v>83</v>
      </c>
      <c r="K111" s="5" t="s">
        <v>3602</v>
      </c>
      <c r="L111" s="5" t="s">
        <v>802</v>
      </c>
      <c r="M111" s="5" t="s">
        <v>85</v>
      </c>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t="n">
        <v>4.57</v>
      </c>
      <c r="AN111" s="5"/>
      <c r="AO111" s="5"/>
      <c r="AP111" s="5"/>
      <c r="AQ111" s="5"/>
      <c r="AR111" s="5" t="n">
        <v>5.05</v>
      </c>
      <c r="AS111" s="5"/>
      <c r="AT111" s="5"/>
      <c r="AU111" s="5"/>
      <c r="AV111" s="5"/>
      <c r="AW111" s="5"/>
      <c r="AX111" s="5"/>
      <c r="AY111" s="5" t="n">
        <v>7.37</v>
      </c>
      <c r="AZ111" s="5"/>
      <c r="BA111" s="5"/>
      <c r="BB111" s="5"/>
      <c r="BC111" s="5"/>
      <c r="BD111" s="5" t="n">
        <v>9.2</v>
      </c>
      <c r="BE111" s="5"/>
      <c r="BF111" s="5"/>
      <c r="BG111" s="5"/>
      <c r="BH111" s="5"/>
      <c r="BI111" s="5"/>
      <c r="BJ111" s="5"/>
      <c r="BK111" s="5"/>
      <c r="BL111" s="5"/>
      <c r="BM111" s="5"/>
      <c r="BN111" s="5"/>
      <c r="BO111" s="5"/>
      <c r="BP111" s="5"/>
      <c r="BQ111" s="5"/>
      <c r="BR111" s="5"/>
      <c r="BS111" s="5"/>
      <c r="BT111" s="5"/>
      <c r="BU111" s="5"/>
      <c r="BV111" s="5" t="n">
        <v>9</v>
      </c>
      <c r="BW111" s="5" t="n">
        <v>3</v>
      </c>
      <c r="BX111" s="5" t="n">
        <f aca="false">IF(AND(N(BV111)&gt;0,N(BW111)&gt;0),SQRT(2*BV111/BW111),"")</f>
        <v>2.44948974278318</v>
      </c>
      <c r="BY111" s="5" t="n">
        <v>25.4</v>
      </c>
      <c r="BZ111" s="5" t="n">
        <v>18</v>
      </c>
      <c r="CA111" s="5" t="n">
        <v>35.2</v>
      </c>
      <c r="CB111" s="5" t="n">
        <v>750</v>
      </c>
      <c r="CC111" s="5" t="n">
        <v>28.4</v>
      </c>
      <c r="CD111" s="5" t="n">
        <v>12</v>
      </c>
      <c r="CE111" s="5"/>
      <c r="CF111" s="5"/>
      <c r="CG111" s="5" t="n">
        <v>8.45</v>
      </c>
      <c r="CH111" s="5" t="n">
        <v>5.1</v>
      </c>
      <c r="CI111" s="5" t="n">
        <v>1.5</v>
      </c>
      <c r="CJ111" s="5" t="n">
        <v>52.1</v>
      </c>
      <c r="CK111" s="5" t="n">
        <v>22.5</v>
      </c>
      <c r="CL111" s="5" t="s">
        <v>3603</v>
      </c>
      <c r="CM111" s="5" t="s">
        <v>1511</v>
      </c>
      <c r="CN111" s="5" t="s">
        <v>3604</v>
      </c>
      <c r="CO111" s="5" t="s">
        <v>1507</v>
      </c>
      <c r="CP111" s="5" t="s">
        <v>3272</v>
      </c>
      <c r="CQ111" s="23" t="s">
        <v>3607</v>
      </c>
      <c r="CR111" s="5" t="s">
        <v>928</v>
      </c>
      <c r="CS111" s="5" t="s">
        <v>3606</v>
      </c>
    </row>
    <row r="112" customFormat="false" ht="14.25" hidden="false" customHeight="true" outlineLevel="0" collapsed="false">
      <c r="A112" s="5" t="s">
        <v>914</v>
      </c>
      <c r="B112" s="5" t="s">
        <v>914</v>
      </c>
      <c r="C112" s="5" t="s">
        <v>915</v>
      </c>
      <c r="D112" s="5" t="n">
        <v>2020</v>
      </c>
      <c r="E112" s="5" t="s">
        <v>916</v>
      </c>
      <c r="F112" s="5" t="s">
        <v>815</v>
      </c>
      <c r="G112" s="5" t="s">
        <v>919</v>
      </c>
      <c r="H112" s="5" t="n">
        <v>28.4</v>
      </c>
      <c r="I112" s="5" t="n">
        <v>77.1</v>
      </c>
      <c r="J112" s="5" t="s">
        <v>83</v>
      </c>
      <c r="K112" s="5" t="s">
        <v>3602</v>
      </c>
      <c r="L112" s="5" t="s">
        <v>802</v>
      </c>
      <c r="M112" s="5" t="s">
        <v>85</v>
      </c>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t="n">
        <v>4.78</v>
      </c>
      <c r="AN112" s="5"/>
      <c r="AO112" s="5"/>
      <c r="AP112" s="5"/>
      <c r="AQ112" s="5"/>
      <c r="AR112" s="5" t="n">
        <v>4.87</v>
      </c>
      <c r="AS112" s="5"/>
      <c r="AT112" s="5"/>
      <c r="AU112" s="5"/>
      <c r="AV112" s="5"/>
      <c r="AW112" s="5"/>
      <c r="AX112" s="5"/>
      <c r="AY112" s="5" t="n">
        <v>8.2</v>
      </c>
      <c r="AZ112" s="5"/>
      <c r="BA112" s="5"/>
      <c r="BB112" s="5"/>
      <c r="BC112" s="5"/>
      <c r="BD112" s="5" t="n">
        <v>8.5</v>
      </c>
      <c r="BE112" s="5"/>
      <c r="BF112" s="5"/>
      <c r="BG112" s="5"/>
      <c r="BH112" s="5"/>
      <c r="BI112" s="5"/>
      <c r="BJ112" s="5"/>
      <c r="BK112" s="5"/>
      <c r="BL112" s="5"/>
      <c r="BM112" s="5"/>
      <c r="BN112" s="5"/>
      <c r="BO112" s="5"/>
      <c r="BP112" s="5"/>
      <c r="BQ112" s="5"/>
      <c r="BR112" s="5"/>
      <c r="BS112" s="5"/>
      <c r="BT112" s="5"/>
      <c r="BU112" s="5"/>
      <c r="BV112" s="5" t="n">
        <v>9</v>
      </c>
      <c r="BW112" s="5" t="n">
        <v>3</v>
      </c>
      <c r="BX112" s="5" t="n">
        <f aca="false">IF(AND(N(BV112)&gt;0,N(BW112)&gt;0),SQRT(2*BV112/BW112),"")</f>
        <v>2.44948974278318</v>
      </c>
      <c r="BY112" s="5" t="n">
        <v>25.4</v>
      </c>
      <c r="BZ112" s="5" t="n">
        <v>18</v>
      </c>
      <c r="CA112" s="5" t="n">
        <v>35.2</v>
      </c>
      <c r="CB112" s="5" t="n">
        <v>750</v>
      </c>
      <c r="CC112" s="5" t="n">
        <v>28.4</v>
      </c>
      <c r="CD112" s="5" t="n">
        <v>12</v>
      </c>
      <c r="CE112" s="5"/>
      <c r="CF112" s="5"/>
      <c r="CG112" s="5" t="n">
        <v>8.45</v>
      </c>
      <c r="CH112" s="5" t="n">
        <v>5.1</v>
      </c>
      <c r="CI112" s="5" t="n">
        <v>1.5</v>
      </c>
      <c r="CJ112" s="5" t="n">
        <v>52.1</v>
      </c>
      <c r="CK112" s="5" t="n">
        <v>22.5</v>
      </c>
      <c r="CL112" s="5" t="s">
        <v>3603</v>
      </c>
      <c r="CM112" s="5" t="s">
        <v>1513</v>
      </c>
      <c r="CN112" s="5" t="s">
        <v>3604</v>
      </c>
      <c r="CO112" s="5" t="s">
        <v>1507</v>
      </c>
      <c r="CP112" s="5" t="s">
        <v>3272</v>
      </c>
      <c r="CQ112" s="23" t="s">
        <v>3608</v>
      </c>
      <c r="CR112" s="5" t="s">
        <v>928</v>
      </c>
      <c r="CS112" s="5" t="s">
        <v>3606</v>
      </c>
    </row>
    <row r="113" customFormat="false" ht="14.25" hidden="false" customHeight="true" outlineLevel="0" collapsed="false">
      <c r="A113" s="5" t="s">
        <v>914</v>
      </c>
      <c r="B113" s="5" t="s">
        <v>914</v>
      </c>
      <c r="C113" s="5" t="s">
        <v>915</v>
      </c>
      <c r="D113" s="5" t="n">
        <v>2020</v>
      </c>
      <c r="E113" s="5" t="s">
        <v>916</v>
      </c>
      <c r="F113" s="5" t="s">
        <v>815</v>
      </c>
      <c r="G113" s="5" t="s">
        <v>919</v>
      </c>
      <c r="H113" s="5" t="n">
        <v>28.4</v>
      </c>
      <c r="I113" s="5" t="n">
        <v>77.1</v>
      </c>
      <c r="J113" s="5" t="s">
        <v>83</v>
      </c>
      <c r="K113" s="5" t="s">
        <v>3602</v>
      </c>
      <c r="L113" s="5" t="s">
        <v>802</v>
      </c>
      <c r="M113" s="5" t="s">
        <v>85</v>
      </c>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t="n">
        <v>4.78</v>
      </c>
      <c r="AN113" s="5"/>
      <c r="AO113" s="5"/>
      <c r="AP113" s="5"/>
      <c r="AQ113" s="5"/>
      <c r="AR113" s="5" t="n">
        <v>5.25</v>
      </c>
      <c r="AS113" s="5"/>
      <c r="AT113" s="5"/>
      <c r="AU113" s="5"/>
      <c r="AV113" s="5"/>
      <c r="AW113" s="5"/>
      <c r="AX113" s="5"/>
      <c r="AY113" s="5" t="n">
        <v>8.2</v>
      </c>
      <c r="AZ113" s="5"/>
      <c r="BA113" s="5"/>
      <c r="BB113" s="5"/>
      <c r="BC113" s="5"/>
      <c r="BD113" s="5" t="n">
        <v>8.67</v>
      </c>
      <c r="BE113" s="5"/>
      <c r="BF113" s="5"/>
      <c r="BG113" s="5"/>
      <c r="BH113" s="5"/>
      <c r="BI113" s="5"/>
      <c r="BJ113" s="5"/>
      <c r="BK113" s="5"/>
      <c r="BL113" s="5"/>
      <c r="BM113" s="5"/>
      <c r="BN113" s="5"/>
      <c r="BO113" s="5"/>
      <c r="BP113" s="5"/>
      <c r="BQ113" s="5"/>
      <c r="BR113" s="5"/>
      <c r="BS113" s="5"/>
      <c r="BT113" s="5"/>
      <c r="BU113" s="5"/>
      <c r="BV113" s="5" t="n">
        <v>9</v>
      </c>
      <c r="BW113" s="5" t="n">
        <v>3</v>
      </c>
      <c r="BX113" s="5" t="n">
        <f aca="false">IF(AND(N(BV113)&gt;0,N(BW113)&gt;0),SQRT(2*BV113/BW113),"")</f>
        <v>2.44948974278318</v>
      </c>
      <c r="BY113" s="5" t="n">
        <v>25.4</v>
      </c>
      <c r="BZ113" s="5" t="n">
        <v>18</v>
      </c>
      <c r="CA113" s="5" t="n">
        <v>35.2</v>
      </c>
      <c r="CB113" s="5" t="n">
        <v>750</v>
      </c>
      <c r="CC113" s="5" t="n">
        <v>28.4</v>
      </c>
      <c r="CD113" s="5" t="n">
        <v>12</v>
      </c>
      <c r="CE113" s="5"/>
      <c r="CF113" s="5"/>
      <c r="CG113" s="5" t="n">
        <v>8.45</v>
      </c>
      <c r="CH113" s="5" t="n">
        <v>5.1</v>
      </c>
      <c r="CI113" s="5" t="n">
        <v>1.5</v>
      </c>
      <c r="CJ113" s="5" t="n">
        <v>52.1</v>
      </c>
      <c r="CK113" s="5" t="n">
        <v>22.5</v>
      </c>
      <c r="CL113" s="5" t="s">
        <v>3603</v>
      </c>
      <c r="CM113" s="5" t="s">
        <v>1515</v>
      </c>
      <c r="CN113" s="5" t="s">
        <v>3604</v>
      </c>
      <c r="CO113" s="5" t="s">
        <v>1507</v>
      </c>
      <c r="CP113" s="5" t="s">
        <v>3272</v>
      </c>
      <c r="CQ113" s="23" t="s">
        <v>3609</v>
      </c>
      <c r="CR113" s="5" t="s">
        <v>928</v>
      </c>
      <c r="CS113" s="5" t="s">
        <v>3606</v>
      </c>
    </row>
    <row r="114" customFormat="false" ht="14.25" hidden="false" customHeight="true" outlineLevel="0" collapsed="false">
      <c r="A114" s="5" t="s">
        <v>914</v>
      </c>
      <c r="B114" s="5" t="s">
        <v>914</v>
      </c>
      <c r="C114" s="5" t="s">
        <v>915</v>
      </c>
      <c r="D114" s="5" t="n">
        <v>2020</v>
      </c>
      <c r="E114" s="5" t="s">
        <v>916</v>
      </c>
      <c r="F114" s="5" t="s">
        <v>815</v>
      </c>
      <c r="G114" s="5" t="s">
        <v>919</v>
      </c>
      <c r="H114" s="5" t="n">
        <v>28.4</v>
      </c>
      <c r="I114" s="5" t="n">
        <v>77.1</v>
      </c>
      <c r="J114" s="5" t="s">
        <v>83</v>
      </c>
      <c r="K114" s="5" t="s">
        <v>3602</v>
      </c>
      <c r="L114" s="5" t="s">
        <v>802</v>
      </c>
      <c r="M114" s="5" t="s">
        <v>85</v>
      </c>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t="n">
        <v>3.87</v>
      </c>
      <c r="AN114" s="5"/>
      <c r="AO114" s="5"/>
      <c r="AP114" s="5"/>
      <c r="AQ114" s="5"/>
      <c r="AR114" s="5" t="n">
        <v>4.02</v>
      </c>
      <c r="AS114" s="5"/>
      <c r="AT114" s="5"/>
      <c r="AU114" s="5"/>
      <c r="AV114" s="5"/>
      <c r="AW114" s="5"/>
      <c r="AX114" s="5"/>
      <c r="AY114" s="5" t="n">
        <v>6.1</v>
      </c>
      <c r="AZ114" s="5"/>
      <c r="BA114" s="5"/>
      <c r="BB114" s="5"/>
      <c r="BC114" s="5"/>
      <c r="BD114" s="5" t="n">
        <v>6.77</v>
      </c>
      <c r="BE114" s="5"/>
      <c r="BF114" s="5"/>
      <c r="BG114" s="5"/>
      <c r="BH114" s="5"/>
      <c r="BI114" s="5"/>
      <c r="BJ114" s="5"/>
      <c r="BK114" s="5"/>
      <c r="BL114" s="5"/>
      <c r="BM114" s="5"/>
      <c r="BN114" s="5"/>
      <c r="BO114" s="5"/>
      <c r="BP114" s="5"/>
      <c r="BQ114" s="5"/>
      <c r="BR114" s="5"/>
      <c r="BS114" s="5"/>
      <c r="BT114" s="5"/>
      <c r="BU114" s="5"/>
      <c r="BV114" s="5" t="n">
        <v>9</v>
      </c>
      <c r="BW114" s="5" t="n">
        <v>3</v>
      </c>
      <c r="BX114" s="5" t="n">
        <f aca="false">IF(AND(N(BV114)&gt;0,N(BW114)&gt;0),SQRT(2*BV114/BW114),"")</f>
        <v>2.44948974278318</v>
      </c>
      <c r="BY114" s="5" t="n">
        <v>25.4</v>
      </c>
      <c r="BZ114" s="5" t="n">
        <v>18</v>
      </c>
      <c r="CA114" s="5" t="n">
        <v>35.2</v>
      </c>
      <c r="CB114" s="5" t="n">
        <v>750</v>
      </c>
      <c r="CC114" s="5" t="n">
        <v>28.4</v>
      </c>
      <c r="CD114" s="5" t="n">
        <v>12</v>
      </c>
      <c r="CE114" s="5"/>
      <c r="CF114" s="5"/>
      <c r="CG114" s="5" t="n">
        <v>8.45</v>
      </c>
      <c r="CH114" s="5" t="n">
        <v>5.1</v>
      </c>
      <c r="CI114" s="5" t="n">
        <v>1.5</v>
      </c>
      <c r="CJ114" s="5" t="n">
        <v>52.1</v>
      </c>
      <c r="CK114" s="5" t="n">
        <v>22.5</v>
      </c>
      <c r="CL114" s="5" t="s">
        <v>3603</v>
      </c>
      <c r="CM114" s="5" t="s">
        <v>1517</v>
      </c>
      <c r="CN114" s="5" t="s">
        <v>3604</v>
      </c>
      <c r="CO114" s="5" t="s">
        <v>1507</v>
      </c>
      <c r="CP114" s="5" t="s">
        <v>3272</v>
      </c>
      <c r="CQ114" s="23" t="s">
        <v>3610</v>
      </c>
      <c r="CR114" s="5" t="s">
        <v>928</v>
      </c>
      <c r="CS114" s="5" t="s">
        <v>3606</v>
      </c>
    </row>
    <row r="115" customFormat="false" ht="14.25" hidden="false" customHeight="true" outlineLevel="0" collapsed="false">
      <c r="A115" s="5" t="s">
        <v>914</v>
      </c>
      <c r="B115" s="5" t="s">
        <v>914</v>
      </c>
      <c r="C115" s="5" t="s">
        <v>915</v>
      </c>
      <c r="D115" s="5" t="n">
        <v>2020</v>
      </c>
      <c r="E115" s="5" t="s">
        <v>916</v>
      </c>
      <c r="F115" s="5" t="s">
        <v>815</v>
      </c>
      <c r="G115" s="5" t="s">
        <v>919</v>
      </c>
      <c r="H115" s="5" t="n">
        <v>28.4</v>
      </c>
      <c r="I115" s="5" t="n">
        <v>77.1</v>
      </c>
      <c r="J115" s="5" t="s">
        <v>83</v>
      </c>
      <c r="K115" s="5" t="s">
        <v>3602</v>
      </c>
      <c r="L115" s="5" t="s">
        <v>802</v>
      </c>
      <c r="M115" s="5" t="s">
        <v>85</v>
      </c>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t="n">
        <v>3.87</v>
      </c>
      <c r="AN115" s="5"/>
      <c r="AO115" s="5"/>
      <c r="AP115" s="5"/>
      <c r="AQ115" s="5"/>
      <c r="AR115" s="5" t="n">
        <v>4.12</v>
      </c>
      <c r="AS115" s="5"/>
      <c r="AT115" s="5"/>
      <c r="AU115" s="5"/>
      <c r="AV115" s="5"/>
      <c r="AW115" s="5"/>
      <c r="AX115" s="5"/>
      <c r="AY115" s="5" t="n">
        <v>6.1</v>
      </c>
      <c r="AZ115" s="5"/>
      <c r="BA115" s="5"/>
      <c r="BB115" s="5"/>
      <c r="BC115" s="5"/>
      <c r="BD115" s="5" t="n">
        <v>7</v>
      </c>
      <c r="BE115" s="5"/>
      <c r="BF115" s="5"/>
      <c r="BG115" s="5"/>
      <c r="BH115" s="5"/>
      <c r="BI115" s="5"/>
      <c r="BJ115" s="5"/>
      <c r="BK115" s="5"/>
      <c r="BL115" s="5"/>
      <c r="BM115" s="5"/>
      <c r="BN115" s="5"/>
      <c r="BO115" s="5"/>
      <c r="BP115" s="5"/>
      <c r="BQ115" s="5"/>
      <c r="BR115" s="5"/>
      <c r="BS115" s="5"/>
      <c r="BT115" s="5"/>
      <c r="BU115" s="5"/>
      <c r="BV115" s="5" t="n">
        <v>9</v>
      </c>
      <c r="BW115" s="5" t="n">
        <v>3</v>
      </c>
      <c r="BX115" s="5" t="n">
        <f aca="false">IF(AND(N(BV115)&gt;0,N(BW115)&gt;0),SQRT(2*BV115/BW115),"")</f>
        <v>2.44948974278318</v>
      </c>
      <c r="BY115" s="5" t="n">
        <v>25.4</v>
      </c>
      <c r="BZ115" s="5" t="n">
        <v>18</v>
      </c>
      <c r="CA115" s="5" t="n">
        <v>35.2</v>
      </c>
      <c r="CB115" s="5" t="n">
        <v>750</v>
      </c>
      <c r="CC115" s="5" t="n">
        <v>28.4</v>
      </c>
      <c r="CD115" s="5" t="n">
        <v>12</v>
      </c>
      <c r="CE115" s="5"/>
      <c r="CF115" s="5"/>
      <c r="CG115" s="5" t="n">
        <v>8.45</v>
      </c>
      <c r="CH115" s="5" t="n">
        <v>5.1</v>
      </c>
      <c r="CI115" s="5" t="n">
        <v>1.5</v>
      </c>
      <c r="CJ115" s="5" t="n">
        <v>52.1</v>
      </c>
      <c r="CK115" s="5" t="n">
        <v>22.5</v>
      </c>
      <c r="CL115" s="5" t="s">
        <v>3603</v>
      </c>
      <c r="CM115" s="5" t="s">
        <v>1519</v>
      </c>
      <c r="CN115" s="5" t="s">
        <v>3604</v>
      </c>
      <c r="CO115" s="5" t="s">
        <v>1507</v>
      </c>
      <c r="CP115" s="5" t="s">
        <v>3272</v>
      </c>
      <c r="CQ115" s="23" t="s">
        <v>3611</v>
      </c>
      <c r="CR115" s="5" t="s">
        <v>928</v>
      </c>
      <c r="CS115" s="5" t="s">
        <v>3606</v>
      </c>
    </row>
    <row r="116" customFormat="false" ht="14.25" hidden="false" customHeight="true" outlineLevel="0" collapsed="false">
      <c r="A116" s="5" t="s">
        <v>914</v>
      </c>
      <c r="B116" s="5" t="s">
        <v>914</v>
      </c>
      <c r="C116" s="5" t="s">
        <v>915</v>
      </c>
      <c r="D116" s="5" t="n">
        <v>2020</v>
      </c>
      <c r="E116" s="5" t="s">
        <v>916</v>
      </c>
      <c r="F116" s="5" t="s">
        <v>815</v>
      </c>
      <c r="G116" s="5" t="s">
        <v>919</v>
      </c>
      <c r="H116" s="5" t="n">
        <v>28.4</v>
      </c>
      <c r="I116" s="5" t="n">
        <v>77.1</v>
      </c>
      <c r="J116" s="5" t="s">
        <v>83</v>
      </c>
      <c r="K116" s="5" t="s">
        <v>3602</v>
      </c>
      <c r="L116" s="5" t="s">
        <v>802</v>
      </c>
      <c r="M116" s="5" t="s">
        <v>85</v>
      </c>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t="n">
        <v>4.08</v>
      </c>
      <c r="AN116" s="5"/>
      <c r="AO116" s="5"/>
      <c r="AP116" s="5"/>
      <c r="AQ116" s="5"/>
      <c r="AR116" s="5" t="n">
        <v>4.15</v>
      </c>
      <c r="AS116" s="5"/>
      <c r="AT116" s="5"/>
      <c r="AU116" s="5"/>
      <c r="AV116" s="5"/>
      <c r="AW116" s="5"/>
      <c r="AX116" s="5"/>
      <c r="AY116" s="5" t="n">
        <v>7.1</v>
      </c>
      <c r="AZ116" s="5"/>
      <c r="BA116" s="5"/>
      <c r="BB116" s="5"/>
      <c r="BC116" s="5"/>
      <c r="BD116" s="5" t="n">
        <v>7.5</v>
      </c>
      <c r="BE116" s="5"/>
      <c r="BF116" s="5"/>
      <c r="BG116" s="5"/>
      <c r="BH116" s="5"/>
      <c r="BI116" s="5"/>
      <c r="BJ116" s="5"/>
      <c r="BK116" s="5"/>
      <c r="BL116" s="5"/>
      <c r="BM116" s="5"/>
      <c r="BN116" s="5"/>
      <c r="BO116" s="5"/>
      <c r="BP116" s="5"/>
      <c r="BQ116" s="5"/>
      <c r="BR116" s="5"/>
      <c r="BS116" s="5"/>
      <c r="BT116" s="5"/>
      <c r="BU116" s="5"/>
      <c r="BV116" s="5" t="n">
        <v>9</v>
      </c>
      <c r="BW116" s="5" t="n">
        <v>3</v>
      </c>
      <c r="BX116" s="5" t="n">
        <f aca="false">IF(AND(N(BV116)&gt;0,N(BW116)&gt;0),SQRT(2*BV116/BW116),"")</f>
        <v>2.44948974278318</v>
      </c>
      <c r="BY116" s="5" t="n">
        <v>25.4</v>
      </c>
      <c r="BZ116" s="5" t="n">
        <v>18</v>
      </c>
      <c r="CA116" s="5" t="n">
        <v>35.2</v>
      </c>
      <c r="CB116" s="5" t="n">
        <v>750</v>
      </c>
      <c r="CC116" s="5" t="n">
        <v>28.4</v>
      </c>
      <c r="CD116" s="5" t="n">
        <v>12</v>
      </c>
      <c r="CE116" s="5"/>
      <c r="CF116" s="5"/>
      <c r="CG116" s="5" t="n">
        <v>8.45</v>
      </c>
      <c r="CH116" s="5" t="n">
        <v>5.1</v>
      </c>
      <c r="CI116" s="5" t="n">
        <v>1.5</v>
      </c>
      <c r="CJ116" s="5" t="n">
        <v>52.1</v>
      </c>
      <c r="CK116" s="5" t="n">
        <v>22.5</v>
      </c>
      <c r="CL116" s="5" t="s">
        <v>3603</v>
      </c>
      <c r="CM116" s="5" t="s">
        <v>1521</v>
      </c>
      <c r="CN116" s="5" t="s">
        <v>3604</v>
      </c>
      <c r="CO116" s="5" t="s">
        <v>1507</v>
      </c>
      <c r="CP116" s="5" t="s">
        <v>3272</v>
      </c>
      <c r="CQ116" s="23" t="s">
        <v>3612</v>
      </c>
      <c r="CR116" s="5" t="s">
        <v>928</v>
      </c>
      <c r="CS116" s="5" t="s">
        <v>3606</v>
      </c>
    </row>
    <row r="117" customFormat="false" ht="14.25" hidden="false" customHeight="true" outlineLevel="0" collapsed="false">
      <c r="A117" s="5" t="s">
        <v>914</v>
      </c>
      <c r="B117" s="5" t="s">
        <v>914</v>
      </c>
      <c r="C117" s="5" t="s">
        <v>915</v>
      </c>
      <c r="D117" s="5" t="n">
        <v>2020</v>
      </c>
      <c r="E117" s="5" t="s">
        <v>916</v>
      </c>
      <c r="F117" s="5" t="s">
        <v>815</v>
      </c>
      <c r="G117" s="5" t="s">
        <v>919</v>
      </c>
      <c r="H117" s="5" t="n">
        <v>28.4</v>
      </c>
      <c r="I117" s="5" t="n">
        <v>77.1</v>
      </c>
      <c r="J117" s="5" t="s">
        <v>83</v>
      </c>
      <c r="K117" s="5" t="s">
        <v>3602</v>
      </c>
      <c r="L117" s="5" t="s">
        <v>802</v>
      </c>
      <c r="M117" s="5" t="s">
        <v>85</v>
      </c>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t="n">
        <v>4.08</v>
      </c>
      <c r="AN117" s="5"/>
      <c r="AO117" s="5"/>
      <c r="AP117" s="5"/>
      <c r="AQ117" s="5"/>
      <c r="AR117" s="5" t="n">
        <v>4.23</v>
      </c>
      <c r="AS117" s="5"/>
      <c r="AT117" s="5"/>
      <c r="AU117" s="5"/>
      <c r="AV117" s="5"/>
      <c r="AW117" s="5"/>
      <c r="AX117" s="5"/>
      <c r="AY117" s="5" t="n">
        <v>7.1</v>
      </c>
      <c r="AZ117" s="5"/>
      <c r="BA117" s="5"/>
      <c r="BB117" s="5"/>
      <c r="BC117" s="5"/>
      <c r="BD117" s="5" t="n">
        <v>7.37</v>
      </c>
      <c r="BE117" s="5"/>
      <c r="BF117" s="5"/>
      <c r="BG117" s="5"/>
      <c r="BH117" s="5"/>
      <c r="BI117" s="5"/>
      <c r="BJ117" s="5"/>
      <c r="BK117" s="5"/>
      <c r="BL117" s="5"/>
      <c r="BM117" s="5"/>
      <c r="BN117" s="5"/>
      <c r="BO117" s="5"/>
      <c r="BP117" s="5"/>
      <c r="BQ117" s="5"/>
      <c r="BR117" s="5"/>
      <c r="BS117" s="5"/>
      <c r="BT117" s="5"/>
      <c r="BU117" s="5"/>
      <c r="BV117" s="5" t="n">
        <v>9</v>
      </c>
      <c r="BW117" s="5" t="n">
        <v>3</v>
      </c>
      <c r="BX117" s="5" t="n">
        <f aca="false">IF(AND(N(BV117)&gt;0,N(BW117)&gt;0),SQRT(2*BV117/BW117),"")</f>
        <v>2.44948974278318</v>
      </c>
      <c r="BY117" s="5" t="n">
        <v>25.4</v>
      </c>
      <c r="BZ117" s="5" t="n">
        <v>18</v>
      </c>
      <c r="CA117" s="5" t="n">
        <v>35.2</v>
      </c>
      <c r="CB117" s="5" t="n">
        <v>750</v>
      </c>
      <c r="CC117" s="5" t="n">
        <v>28.4</v>
      </c>
      <c r="CD117" s="5" t="n">
        <v>12</v>
      </c>
      <c r="CE117" s="5"/>
      <c r="CF117" s="5"/>
      <c r="CG117" s="5" t="n">
        <v>8.45</v>
      </c>
      <c r="CH117" s="5" t="n">
        <v>5.1</v>
      </c>
      <c r="CI117" s="5" t="n">
        <v>1.5</v>
      </c>
      <c r="CJ117" s="5" t="n">
        <v>52.1</v>
      </c>
      <c r="CK117" s="5" t="n">
        <v>22.5</v>
      </c>
      <c r="CL117" s="5" t="s">
        <v>3603</v>
      </c>
      <c r="CM117" s="5" t="s">
        <v>1523</v>
      </c>
      <c r="CN117" s="5" t="s">
        <v>3604</v>
      </c>
      <c r="CO117" s="5" t="s">
        <v>1507</v>
      </c>
      <c r="CP117" s="5" t="s">
        <v>3272</v>
      </c>
      <c r="CQ117" s="23" t="s">
        <v>3613</v>
      </c>
      <c r="CR117" s="5" t="s">
        <v>928</v>
      </c>
      <c r="CS117" s="5" t="s">
        <v>3606</v>
      </c>
    </row>
  </sheetData>
  <autoFilter ref="A1:CS1"/>
  <dataValidations count="3">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3614</v>
      </c>
      <c r="O1" s="25" t="s">
        <v>3615</v>
      </c>
      <c r="P1" s="25" t="s">
        <v>3616</v>
      </c>
      <c r="Q1" s="25" t="s">
        <v>3617</v>
      </c>
      <c r="R1" s="25" t="s">
        <v>3618</v>
      </c>
      <c r="S1" s="25" t="s">
        <v>3619</v>
      </c>
      <c r="T1" s="25" t="s">
        <v>3620</v>
      </c>
      <c r="U1" s="25" t="s">
        <v>3621</v>
      </c>
      <c r="V1" s="28" t="s">
        <v>3622</v>
      </c>
      <c r="W1" s="28" t="s">
        <v>3623</v>
      </c>
      <c r="X1" s="28" t="s">
        <v>3624</v>
      </c>
      <c r="Y1" s="28" t="s">
        <v>3625</v>
      </c>
      <c r="Z1" s="25" t="s">
        <v>3626</v>
      </c>
      <c r="AA1" s="26" t="s">
        <v>35</v>
      </c>
      <c r="AB1" s="26" t="s">
        <v>33</v>
      </c>
      <c r="AC1" s="26" t="s">
        <v>37</v>
      </c>
      <c r="AD1" s="21" t="s">
        <v>73</v>
      </c>
      <c r="AE1" s="21" t="s">
        <v>775</v>
      </c>
      <c r="AF1" s="21" t="s">
        <v>776</v>
      </c>
      <c r="AG1" s="21" t="s">
        <v>74</v>
      </c>
      <c r="AH1" s="21" t="s">
        <v>1465</v>
      </c>
      <c r="AI1" s="21" t="s">
        <v>1466</v>
      </c>
      <c r="AJ1" s="21" t="s">
        <v>777</v>
      </c>
      <c r="AK1" s="21" t="s">
        <v>778</v>
      </c>
      <c r="AL1" s="21" t="s">
        <v>75</v>
      </c>
      <c r="AM1" s="21" t="s">
        <v>773</v>
      </c>
      <c r="AN1" s="21" t="s">
        <v>774</v>
      </c>
      <c r="AO1" s="21" t="s">
        <v>771</v>
      </c>
      <c r="AP1" s="21" t="s">
        <v>772</v>
      </c>
      <c r="AQ1" s="22" t="s">
        <v>76</v>
      </c>
      <c r="AR1" s="22" t="s">
        <v>77</v>
      </c>
      <c r="AS1" s="22" t="s">
        <v>1467</v>
      </c>
      <c r="AT1" s="22" t="s">
        <v>1468</v>
      </c>
      <c r="AU1" s="22" t="s">
        <v>78</v>
      </c>
      <c r="AV1" s="22" t="s">
        <v>790</v>
      </c>
      <c r="AW1" s="22" t="s">
        <v>1469</v>
      </c>
      <c r="AX1" s="22" t="s">
        <v>1470</v>
      </c>
      <c r="AZ1" s="29" t="s">
        <v>1471</v>
      </c>
    </row>
    <row r="2" customFormat="false" ht="15" hidden="false" customHeight="true" outlineLevel="0" collapsed="false">
      <c r="AZ2" s="31" t="s">
        <v>1196</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3627</v>
      </c>
      <c r="Q1" s="25" t="s">
        <v>3628</v>
      </c>
      <c r="R1" s="25" t="s">
        <v>3629</v>
      </c>
      <c r="S1" s="25" t="s">
        <v>3630</v>
      </c>
      <c r="T1" s="25" t="s">
        <v>3631</v>
      </c>
      <c r="U1" s="25" t="s">
        <v>3632</v>
      </c>
      <c r="V1" s="25" t="s">
        <v>3633</v>
      </c>
      <c r="W1" s="25" t="s">
        <v>3634</v>
      </c>
      <c r="X1" s="28" t="s">
        <v>3635</v>
      </c>
      <c r="Y1" s="28" t="s">
        <v>3636</v>
      </c>
      <c r="Z1" s="28" t="s">
        <v>3637</v>
      </c>
      <c r="AA1" s="28" t="s">
        <v>3638</v>
      </c>
      <c r="AB1" s="25" t="s">
        <v>3639</v>
      </c>
      <c r="AC1" s="25" t="s">
        <v>3640</v>
      </c>
      <c r="AD1" s="25" t="s">
        <v>3641</v>
      </c>
      <c r="AE1" s="25" t="s">
        <v>3642</v>
      </c>
      <c r="AF1" s="25" t="s">
        <v>3643</v>
      </c>
      <c r="AG1" s="25" t="s">
        <v>3644</v>
      </c>
      <c r="AH1" s="25" t="s">
        <v>3645</v>
      </c>
      <c r="AI1" s="25" t="s">
        <v>3646</v>
      </c>
      <c r="AJ1" s="28" t="s">
        <v>3647</v>
      </c>
      <c r="AK1" s="28" t="s">
        <v>3648</v>
      </c>
      <c r="AL1" s="28" t="s">
        <v>3649</v>
      </c>
      <c r="AM1" s="28" t="s">
        <v>3650</v>
      </c>
      <c r="AN1" s="26" t="s">
        <v>35</v>
      </c>
      <c r="AO1" s="26" t="s">
        <v>33</v>
      </c>
      <c r="AP1" s="26" t="s">
        <v>37</v>
      </c>
      <c r="AQ1" s="21" t="s">
        <v>73</v>
      </c>
      <c r="AR1" s="21" t="s">
        <v>775</v>
      </c>
      <c r="AS1" s="21" t="s">
        <v>776</v>
      </c>
      <c r="AT1" s="21" t="s">
        <v>74</v>
      </c>
      <c r="AU1" s="21" t="s">
        <v>1465</v>
      </c>
      <c r="AV1" s="21" t="s">
        <v>1466</v>
      </c>
      <c r="AW1" s="21" t="s">
        <v>777</v>
      </c>
      <c r="AX1" s="21" t="s">
        <v>778</v>
      </c>
      <c r="AY1" s="21" t="s">
        <v>75</v>
      </c>
      <c r="AZ1" s="21" t="s">
        <v>773</v>
      </c>
      <c r="BA1" s="21" t="s">
        <v>774</v>
      </c>
      <c r="BB1" s="21" t="s">
        <v>771</v>
      </c>
      <c r="BC1" s="21" t="s">
        <v>772</v>
      </c>
      <c r="BD1" s="22" t="s">
        <v>76</v>
      </c>
      <c r="BE1" s="22" t="s">
        <v>77</v>
      </c>
      <c r="BF1" s="22" t="s">
        <v>1467</v>
      </c>
      <c r="BG1" s="22" t="s">
        <v>1468</v>
      </c>
      <c r="BH1" s="22" t="s">
        <v>78</v>
      </c>
      <c r="BI1" s="22" t="s">
        <v>790</v>
      </c>
      <c r="BJ1" s="22" t="s">
        <v>1469</v>
      </c>
      <c r="BK1" s="22" t="s">
        <v>1470</v>
      </c>
      <c r="BM1" s="29" t="s">
        <v>1471</v>
      </c>
    </row>
    <row r="2" customFormat="false" ht="15" hidden="false" customHeight="true" outlineLevel="0" collapsed="false">
      <c r="A2" s="5" t="s">
        <v>931</v>
      </c>
      <c r="B2" s="5" t="s">
        <v>931</v>
      </c>
      <c r="C2" s="5" t="s">
        <v>932</v>
      </c>
      <c r="D2" s="5" t="n">
        <v>2023</v>
      </c>
      <c r="E2" s="5" t="s">
        <v>933</v>
      </c>
      <c r="F2" s="5" t="s">
        <v>936</v>
      </c>
      <c r="G2" s="5" t="s">
        <v>937</v>
      </c>
      <c r="H2" s="5" t="n">
        <v>35.27</v>
      </c>
      <c r="I2" s="5" t="n">
        <v>119.38</v>
      </c>
      <c r="J2" s="5" t="s">
        <v>870</v>
      </c>
      <c r="K2" s="5" t="s">
        <v>3575</v>
      </c>
      <c r="L2" s="5" t="s">
        <v>821</v>
      </c>
      <c r="M2" s="5"/>
      <c r="N2" s="5"/>
      <c r="O2" s="5"/>
      <c r="P2" s="5" t="n">
        <f aca="false">5.87*100</f>
        <v>587</v>
      </c>
      <c r="Q2" s="5"/>
      <c r="R2" s="5"/>
      <c r="S2" s="5"/>
      <c r="T2" s="5"/>
      <c r="U2" s="5"/>
      <c r="V2" s="5"/>
      <c r="W2" s="5"/>
      <c r="X2" s="5" t="n">
        <f aca="false">5.78*100</f>
        <v>578</v>
      </c>
      <c r="Y2" s="5"/>
      <c r="Z2" s="5"/>
      <c r="AA2" s="5"/>
      <c r="AB2" s="5" t="n">
        <f aca="false">4.41*100</f>
        <v>441</v>
      </c>
      <c r="AC2" s="5"/>
      <c r="AD2" s="5"/>
      <c r="AE2" s="5"/>
      <c r="AF2" s="5"/>
      <c r="AG2" s="5"/>
      <c r="AH2" s="5"/>
      <c r="AI2" s="5"/>
      <c r="AJ2" s="5" t="n">
        <f aca="false">3.81*100</f>
        <v>381</v>
      </c>
      <c r="AK2" s="5"/>
      <c r="AL2" s="5"/>
      <c r="AM2" s="5"/>
      <c r="AN2" s="5" t="n">
        <v>1</v>
      </c>
      <c r="AO2" s="5" t="n">
        <v>3</v>
      </c>
      <c r="AP2" s="5" t="n">
        <f aca="false">IF(AND(N(AN2)&gt;0,N(AO2)&gt;0),SQRT(2*AN2/AO2),"")</f>
        <v>0.816496580927726</v>
      </c>
      <c r="AQ2" s="5"/>
      <c r="AR2" s="5"/>
      <c r="AS2" s="5"/>
      <c r="AT2" s="5" t="n">
        <v>916</v>
      </c>
      <c r="AU2" s="5" t="n">
        <v>35.27</v>
      </c>
      <c r="AV2" s="5" t="n">
        <v>3</v>
      </c>
      <c r="AW2" s="5" t="n">
        <v>12.6</v>
      </c>
      <c r="AX2" s="5"/>
      <c r="AY2" s="5" t="n">
        <v>6.8</v>
      </c>
      <c r="AZ2" s="5" t="n">
        <v>5.75</v>
      </c>
      <c r="BA2" s="5" t="n">
        <v>1.423</v>
      </c>
      <c r="BB2" s="5"/>
      <c r="BC2" s="5"/>
      <c r="BD2" s="5" t="s">
        <v>3651</v>
      </c>
      <c r="BE2" s="5" t="s">
        <v>1492</v>
      </c>
      <c r="BF2" s="5" t="s">
        <v>3577</v>
      </c>
      <c r="BG2" s="5" t="s">
        <v>1494</v>
      </c>
      <c r="BH2" s="5" t="s">
        <v>3652</v>
      </c>
      <c r="BI2" s="23" t="s">
        <v>3579</v>
      </c>
      <c r="BJ2" s="5" t="s">
        <v>947</v>
      </c>
      <c r="BK2" s="5" t="s">
        <v>3653</v>
      </c>
      <c r="BM2" s="31" t="s">
        <v>1198</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3654</v>
      </c>
      <c r="Q1" s="25" t="s">
        <v>3655</v>
      </c>
      <c r="R1" s="25" t="s">
        <v>3656</v>
      </c>
      <c r="S1" s="25" t="s">
        <v>3657</v>
      </c>
      <c r="T1" s="25" t="s">
        <v>3658</v>
      </c>
      <c r="U1" s="25" t="s">
        <v>3659</v>
      </c>
      <c r="V1" s="25" t="s">
        <v>3660</v>
      </c>
      <c r="W1" s="25" t="s">
        <v>3661</v>
      </c>
      <c r="X1" s="28" t="s">
        <v>3662</v>
      </c>
      <c r="Y1" s="28" t="s">
        <v>3663</v>
      </c>
      <c r="Z1" s="28" t="s">
        <v>3664</v>
      </c>
      <c r="AA1" s="28" t="s">
        <v>3665</v>
      </c>
      <c r="AB1" s="25" t="s">
        <v>3666</v>
      </c>
      <c r="AC1" s="25" t="s">
        <v>3667</v>
      </c>
      <c r="AD1" s="25" t="s">
        <v>3668</v>
      </c>
      <c r="AE1" s="25" t="s">
        <v>3669</v>
      </c>
      <c r="AF1" s="25" t="s">
        <v>3670</v>
      </c>
      <c r="AG1" s="25" t="s">
        <v>3671</v>
      </c>
      <c r="AH1" s="25" t="s">
        <v>3672</v>
      </c>
      <c r="AI1" s="25" t="s">
        <v>3673</v>
      </c>
      <c r="AJ1" s="28" t="s">
        <v>3674</v>
      </c>
      <c r="AK1" s="28" t="s">
        <v>3675</v>
      </c>
      <c r="AL1" s="28" t="s">
        <v>3676</v>
      </c>
      <c r="AM1" s="28" t="s">
        <v>3677</v>
      </c>
      <c r="AN1" s="26" t="s">
        <v>35</v>
      </c>
      <c r="AO1" s="26" t="s">
        <v>33</v>
      </c>
      <c r="AP1" s="26" t="s">
        <v>37</v>
      </c>
      <c r="AQ1" s="21" t="s">
        <v>73</v>
      </c>
      <c r="AR1" s="21" t="s">
        <v>775</v>
      </c>
      <c r="AS1" s="21" t="s">
        <v>776</v>
      </c>
      <c r="AT1" s="21" t="s">
        <v>74</v>
      </c>
      <c r="AU1" s="21" t="s">
        <v>1465</v>
      </c>
      <c r="AV1" s="21" t="s">
        <v>1466</v>
      </c>
      <c r="AW1" s="21" t="s">
        <v>777</v>
      </c>
      <c r="AX1" s="21" t="s">
        <v>778</v>
      </c>
      <c r="AY1" s="21" t="s">
        <v>75</v>
      </c>
      <c r="AZ1" s="21" t="s">
        <v>773</v>
      </c>
      <c r="BA1" s="21" t="s">
        <v>774</v>
      </c>
      <c r="BB1" s="21" t="s">
        <v>771</v>
      </c>
      <c r="BC1" s="21" t="s">
        <v>772</v>
      </c>
      <c r="BD1" s="22" t="s">
        <v>76</v>
      </c>
      <c r="BE1" s="22" t="s">
        <v>77</v>
      </c>
      <c r="BF1" s="22" t="s">
        <v>1467</v>
      </c>
      <c r="BG1" s="22" t="s">
        <v>1468</v>
      </c>
      <c r="BH1" s="22" t="s">
        <v>78</v>
      </c>
      <c r="BI1" s="22" t="s">
        <v>790</v>
      </c>
      <c r="BJ1" s="22" t="s">
        <v>1469</v>
      </c>
      <c r="BK1" s="22" t="s">
        <v>1470</v>
      </c>
      <c r="BM1" s="29" t="s">
        <v>1471</v>
      </c>
    </row>
    <row r="2" customFormat="false" ht="15" hidden="false" customHeight="true" outlineLevel="0" collapsed="false">
      <c r="A2" s="5" t="s">
        <v>931</v>
      </c>
      <c r="B2" s="5" t="s">
        <v>931</v>
      </c>
      <c r="C2" s="5" t="s">
        <v>932</v>
      </c>
      <c r="D2" s="5" t="n">
        <v>2023</v>
      </c>
      <c r="E2" s="5" t="s">
        <v>933</v>
      </c>
      <c r="F2" s="5" t="s">
        <v>936</v>
      </c>
      <c r="G2" s="5" t="s">
        <v>937</v>
      </c>
      <c r="H2" s="5" t="n">
        <v>35.27</v>
      </c>
      <c r="I2" s="5" t="n">
        <v>119.38</v>
      </c>
      <c r="J2" s="5" t="s">
        <v>870</v>
      </c>
      <c r="K2" s="5" t="s">
        <v>3575</v>
      </c>
      <c r="L2" s="5" t="s">
        <v>821</v>
      </c>
      <c r="M2" s="5"/>
      <c r="N2" s="5"/>
      <c r="O2" s="5"/>
      <c r="P2" s="5" t="n">
        <v>32.5</v>
      </c>
      <c r="Q2" s="5"/>
      <c r="R2" s="5"/>
      <c r="S2" s="5"/>
      <c r="T2" s="5"/>
      <c r="U2" s="5"/>
      <c r="V2" s="5"/>
      <c r="W2" s="5"/>
      <c r="X2" s="5" t="n">
        <v>32.3</v>
      </c>
      <c r="Y2" s="5"/>
      <c r="Z2" s="5"/>
      <c r="AA2" s="5"/>
      <c r="AB2" s="5" t="n">
        <v>88</v>
      </c>
      <c r="AC2" s="5"/>
      <c r="AD2" s="5"/>
      <c r="AE2" s="5"/>
      <c r="AF2" s="5"/>
      <c r="AG2" s="5"/>
      <c r="AH2" s="5"/>
      <c r="AI2" s="5"/>
      <c r="AJ2" s="5" t="n">
        <v>98</v>
      </c>
      <c r="AK2" s="5"/>
      <c r="AL2" s="5"/>
      <c r="AM2" s="5"/>
      <c r="AN2" s="5" t="n">
        <v>1</v>
      </c>
      <c r="AO2" s="5" t="n">
        <v>3</v>
      </c>
      <c r="AP2" s="5" t="n">
        <f aca="false">IF(AND(N(AN2)&gt;0,N(AO2)&gt;0),SQRT(2*AN2/AO2),"")</f>
        <v>0.816496580927726</v>
      </c>
      <c r="AQ2" s="5"/>
      <c r="AR2" s="5"/>
      <c r="AS2" s="5"/>
      <c r="AT2" s="5" t="n">
        <v>916</v>
      </c>
      <c r="AU2" s="5" t="n">
        <v>35.27</v>
      </c>
      <c r="AV2" s="5" t="n">
        <v>3</v>
      </c>
      <c r="AW2" s="5" t="n">
        <v>12.6</v>
      </c>
      <c r="AX2" s="5"/>
      <c r="AY2" s="5" t="n">
        <v>6.8</v>
      </c>
      <c r="AZ2" s="5" t="n">
        <v>5.75</v>
      </c>
      <c r="BA2" s="5" t="n">
        <v>1.423</v>
      </c>
      <c r="BB2" s="5"/>
      <c r="BC2" s="5"/>
      <c r="BD2" s="5" t="s">
        <v>3678</v>
      </c>
      <c r="BE2" s="5" t="s">
        <v>1492</v>
      </c>
      <c r="BF2" s="5" t="s">
        <v>3577</v>
      </c>
      <c r="BG2" s="5" t="s">
        <v>1494</v>
      </c>
      <c r="BH2" s="5" t="s">
        <v>3578</v>
      </c>
      <c r="BI2" s="23" t="s">
        <v>3579</v>
      </c>
      <c r="BJ2" s="5" t="s">
        <v>947</v>
      </c>
      <c r="BK2" s="5" t="s">
        <v>3679</v>
      </c>
      <c r="BM2" s="31" t="s">
        <v>1200</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3680</v>
      </c>
      <c r="Q1" s="25" t="s">
        <v>3681</v>
      </c>
      <c r="R1" s="25" t="s">
        <v>3682</v>
      </c>
      <c r="S1" s="25" t="s">
        <v>3683</v>
      </c>
      <c r="T1" s="25" t="s">
        <v>3684</v>
      </c>
      <c r="U1" s="25" t="s">
        <v>3685</v>
      </c>
      <c r="V1" s="25" t="s">
        <v>3686</v>
      </c>
      <c r="W1" s="25" t="s">
        <v>3687</v>
      </c>
      <c r="X1" s="28" t="s">
        <v>3688</v>
      </c>
      <c r="Y1" s="28" t="s">
        <v>3689</v>
      </c>
      <c r="Z1" s="28" t="s">
        <v>3690</v>
      </c>
      <c r="AA1" s="28" t="s">
        <v>3691</v>
      </c>
      <c r="AB1" s="25" t="s">
        <v>3692</v>
      </c>
      <c r="AC1" s="25" t="s">
        <v>3693</v>
      </c>
      <c r="AD1" s="25" t="s">
        <v>3694</v>
      </c>
      <c r="AE1" s="25" t="s">
        <v>3695</v>
      </c>
      <c r="AF1" s="25" t="s">
        <v>3696</v>
      </c>
      <c r="AG1" s="25" t="s">
        <v>3697</v>
      </c>
      <c r="AH1" s="25" t="s">
        <v>3698</v>
      </c>
      <c r="AI1" s="25" t="s">
        <v>3699</v>
      </c>
      <c r="AJ1" s="28" t="s">
        <v>3700</v>
      </c>
      <c r="AK1" s="28" t="s">
        <v>3701</v>
      </c>
      <c r="AL1" s="28" t="s">
        <v>3702</v>
      </c>
      <c r="AM1" s="28" t="s">
        <v>3703</v>
      </c>
      <c r="AN1" s="26" t="s">
        <v>35</v>
      </c>
      <c r="AO1" s="26" t="s">
        <v>33</v>
      </c>
      <c r="AP1" s="26" t="s">
        <v>37</v>
      </c>
      <c r="AQ1" s="21" t="s">
        <v>73</v>
      </c>
      <c r="AR1" s="21" t="s">
        <v>775</v>
      </c>
      <c r="AS1" s="21" t="s">
        <v>776</v>
      </c>
      <c r="AT1" s="21" t="s">
        <v>74</v>
      </c>
      <c r="AU1" s="21" t="s">
        <v>1465</v>
      </c>
      <c r="AV1" s="21" t="s">
        <v>1466</v>
      </c>
      <c r="AW1" s="21" t="s">
        <v>777</v>
      </c>
      <c r="AX1" s="21" t="s">
        <v>778</v>
      </c>
      <c r="AY1" s="21" t="s">
        <v>75</v>
      </c>
      <c r="AZ1" s="21" t="s">
        <v>773</v>
      </c>
      <c r="BA1" s="21" t="s">
        <v>774</v>
      </c>
      <c r="BB1" s="21" t="s">
        <v>771</v>
      </c>
      <c r="BC1" s="21" t="s">
        <v>772</v>
      </c>
      <c r="BD1" s="22" t="s">
        <v>76</v>
      </c>
      <c r="BE1" s="22" t="s">
        <v>77</v>
      </c>
      <c r="BF1" s="22" t="s">
        <v>1467</v>
      </c>
      <c r="BG1" s="22" t="s">
        <v>1468</v>
      </c>
      <c r="BH1" s="22" t="s">
        <v>78</v>
      </c>
      <c r="BI1" s="22" t="s">
        <v>790</v>
      </c>
      <c r="BJ1" s="22" t="s">
        <v>1469</v>
      </c>
      <c r="BK1" s="22" t="s">
        <v>1470</v>
      </c>
      <c r="BM1" s="29" t="s">
        <v>1471</v>
      </c>
    </row>
    <row r="2" customFormat="false" ht="15" hidden="false" customHeight="true" outlineLevel="0" collapsed="false">
      <c r="A2" s="5" t="s">
        <v>931</v>
      </c>
      <c r="B2" s="5" t="s">
        <v>931</v>
      </c>
      <c r="C2" s="5" t="s">
        <v>932</v>
      </c>
      <c r="D2" s="5" t="n">
        <v>2023</v>
      </c>
      <c r="E2" s="5" t="s">
        <v>933</v>
      </c>
      <c r="F2" s="5" t="s">
        <v>936</v>
      </c>
      <c r="G2" s="5" t="s">
        <v>937</v>
      </c>
      <c r="H2" s="5" t="n">
        <v>35.27</v>
      </c>
      <c r="I2" s="5" t="n">
        <v>119.38</v>
      </c>
      <c r="J2" s="5" t="s">
        <v>870</v>
      </c>
      <c r="K2" s="5" t="s">
        <v>3575</v>
      </c>
      <c r="L2" s="5" t="s">
        <v>821</v>
      </c>
      <c r="M2" s="5"/>
      <c r="N2" s="5"/>
      <c r="O2" s="5"/>
      <c r="P2" s="5" t="n">
        <v>43.6</v>
      </c>
      <c r="Q2" s="5"/>
      <c r="R2" s="5"/>
      <c r="S2" s="5"/>
      <c r="T2" s="5"/>
      <c r="U2" s="5"/>
      <c r="V2" s="5"/>
      <c r="W2" s="5"/>
      <c r="X2" s="5" t="n">
        <v>42.8</v>
      </c>
      <c r="Y2" s="5"/>
      <c r="Z2" s="5"/>
      <c r="AA2" s="5"/>
      <c r="AB2" s="5" t="n">
        <v>24.6</v>
      </c>
      <c r="AC2" s="5"/>
      <c r="AD2" s="5"/>
      <c r="AE2" s="5"/>
      <c r="AF2" s="5"/>
      <c r="AG2" s="5"/>
      <c r="AH2" s="5"/>
      <c r="AI2" s="5"/>
      <c r="AJ2" s="5" t="n">
        <v>27.3</v>
      </c>
      <c r="AK2" s="5"/>
      <c r="AL2" s="5"/>
      <c r="AM2" s="5"/>
      <c r="AN2" s="5" t="n">
        <v>1</v>
      </c>
      <c r="AO2" s="5" t="n">
        <v>3</v>
      </c>
      <c r="AP2" s="5" t="n">
        <f aca="false">IF(AND(N(AN2)&gt;0,N(AO2)&gt;0),SQRT(2*AN2/AO2),"")</f>
        <v>0.816496580927726</v>
      </c>
      <c r="AQ2" s="5"/>
      <c r="AR2" s="5"/>
      <c r="AS2" s="5"/>
      <c r="AT2" s="5" t="n">
        <v>916</v>
      </c>
      <c r="AU2" s="5" t="n">
        <v>35.27</v>
      </c>
      <c r="AV2" s="5" t="n">
        <v>3</v>
      </c>
      <c r="AW2" s="5" t="n">
        <v>12.6</v>
      </c>
      <c r="AX2" s="5"/>
      <c r="AY2" s="5" t="n">
        <v>6.8</v>
      </c>
      <c r="AZ2" s="5" t="n">
        <v>5.75</v>
      </c>
      <c r="BA2" s="5" t="n">
        <v>1.423</v>
      </c>
      <c r="BB2" s="5"/>
      <c r="BC2" s="5"/>
      <c r="BD2" s="5" t="s">
        <v>3704</v>
      </c>
      <c r="BE2" s="5" t="s">
        <v>1492</v>
      </c>
      <c r="BF2" s="5" t="s">
        <v>3577</v>
      </c>
      <c r="BG2" s="5" t="s">
        <v>1494</v>
      </c>
      <c r="BH2" s="5" t="s">
        <v>3578</v>
      </c>
      <c r="BI2" s="23" t="s">
        <v>3579</v>
      </c>
      <c r="BJ2" s="5" t="s">
        <v>947</v>
      </c>
      <c r="BK2" s="5" t="s">
        <v>3705</v>
      </c>
      <c r="BM2" s="31" t="s">
        <v>1202</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3706</v>
      </c>
      <c r="Q1" s="25" t="s">
        <v>3707</v>
      </c>
      <c r="R1" s="25" t="s">
        <v>3708</v>
      </c>
      <c r="S1" s="25" t="s">
        <v>3709</v>
      </c>
      <c r="T1" s="25" t="s">
        <v>3710</v>
      </c>
      <c r="U1" s="25" t="s">
        <v>3711</v>
      </c>
      <c r="V1" s="25" t="s">
        <v>3712</v>
      </c>
      <c r="W1" s="25" t="s">
        <v>3713</v>
      </c>
      <c r="X1" s="28" t="s">
        <v>3714</v>
      </c>
      <c r="Y1" s="28" t="s">
        <v>3715</v>
      </c>
      <c r="Z1" s="28" t="s">
        <v>3716</v>
      </c>
      <c r="AA1" s="28" t="s">
        <v>3717</v>
      </c>
      <c r="AB1" s="25" t="s">
        <v>3718</v>
      </c>
      <c r="AC1" s="25" t="s">
        <v>3719</v>
      </c>
      <c r="AD1" s="25" t="s">
        <v>3720</v>
      </c>
      <c r="AE1" s="25" t="s">
        <v>3721</v>
      </c>
      <c r="AF1" s="25" t="s">
        <v>3722</v>
      </c>
      <c r="AG1" s="25" t="s">
        <v>3723</v>
      </c>
      <c r="AH1" s="25" t="s">
        <v>3724</v>
      </c>
      <c r="AI1" s="25" t="s">
        <v>3725</v>
      </c>
      <c r="AJ1" s="28" t="s">
        <v>3726</v>
      </c>
      <c r="AK1" s="28" t="s">
        <v>3727</v>
      </c>
      <c r="AL1" s="28" t="s">
        <v>3728</v>
      </c>
      <c r="AM1" s="28" t="s">
        <v>3729</v>
      </c>
      <c r="AN1" s="26" t="s">
        <v>35</v>
      </c>
      <c r="AO1" s="26" t="s">
        <v>33</v>
      </c>
      <c r="AP1" s="26" t="s">
        <v>37</v>
      </c>
      <c r="AQ1" s="21" t="s">
        <v>73</v>
      </c>
      <c r="AR1" s="21" t="s">
        <v>775</v>
      </c>
      <c r="AS1" s="21" t="s">
        <v>776</v>
      </c>
      <c r="AT1" s="21" t="s">
        <v>74</v>
      </c>
      <c r="AU1" s="21" t="s">
        <v>1465</v>
      </c>
      <c r="AV1" s="21" t="s">
        <v>1466</v>
      </c>
      <c r="AW1" s="21" t="s">
        <v>777</v>
      </c>
      <c r="AX1" s="21" t="s">
        <v>778</v>
      </c>
      <c r="AY1" s="21" t="s">
        <v>75</v>
      </c>
      <c r="AZ1" s="21" t="s">
        <v>773</v>
      </c>
      <c r="BA1" s="21" t="s">
        <v>774</v>
      </c>
      <c r="BB1" s="21" t="s">
        <v>771</v>
      </c>
      <c r="BC1" s="21" t="s">
        <v>772</v>
      </c>
      <c r="BD1" s="22" t="s">
        <v>76</v>
      </c>
      <c r="BE1" s="22" t="s">
        <v>77</v>
      </c>
      <c r="BF1" s="22" t="s">
        <v>1467</v>
      </c>
      <c r="BG1" s="22" t="s">
        <v>1468</v>
      </c>
      <c r="BH1" s="22" t="s">
        <v>78</v>
      </c>
      <c r="BI1" s="22" t="s">
        <v>790</v>
      </c>
      <c r="BJ1" s="22" t="s">
        <v>1469</v>
      </c>
      <c r="BK1" s="22" t="s">
        <v>1470</v>
      </c>
      <c r="BM1" s="29" t="s">
        <v>1471</v>
      </c>
    </row>
    <row r="2" customFormat="false" ht="15" hidden="false" customHeight="true" outlineLevel="0" collapsed="false">
      <c r="BM2" s="31" t="s">
        <v>1203</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3730</v>
      </c>
      <c r="Q1" s="25" t="s">
        <v>3731</v>
      </c>
      <c r="R1" s="25" t="s">
        <v>3732</v>
      </c>
      <c r="S1" s="25" t="s">
        <v>3733</v>
      </c>
      <c r="T1" s="25" t="s">
        <v>3734</v>
      </c>
      <c r="U1" s="25" t="s">
        <v>3735</v>
      </c>
      <c r="V1" s="25" t="s">
        <v>3736</v>
      </c>
      <c r="W1" s="25" t="s">
        <v>3737</v>
      </c>
      <c r="X1" s="28" t="s">
        <v>3738</v>
      </c>
      <c r="Y1" s="28" t="s">
        <v>3739</v>
      </c>
      <c r="Z1" s="28" t="s">
        <v>3740</v>
      </c>
      <c r="AA1" s="28" t="s">
        <v>3741</v>
      </c>
      <c r="AB1" s="25" t="s">
        <v>3742</v>
      </c>
      <c r="AC1" s="25" t="s">
        <v>3743</v>
      </c>
      <c r="AD1" s="25" t="s">
        <v>3744</v>
      </c>
      <c r="AE1" s="25" t="s">
        <v>3745</v>
      </c>
      <c r="AF1" s="25" t="s">
        <v>3746</v>
      </c>
      <c r="AG1" s="25" t="s">
        <v>3747</v>
      </c>
      <c r="AH1" s="25" t="s">
        <v>3748</v>
      </c>
      <c r="AI1" s="25" t="s">
        <v>3749</v>
      </c>
      <c r="AJ1" s="28" t="s">
        <v>3750</v>
      </c>
      <c r="AK1" s="28" t="s">
        <v>3751</v>
      </c>
      <c r="AL1" s="28" t="s">
        <v>3752</v>
      </c>
      <c r="AM1" s="28" t="s">
        <v>3753</v>
      </c>
      <c r="AN1" s="26" t="s">
        <v>35</v>
      </c>
      <c r="AO1" s="26" t="s">
        <v>33</v>
      </c>
      <c r="AP1" s="26" t="s">
        <v>37</v>
      </c>
      <c r="AQ1" s="21" t="s">
        <v>73</v>
      </c>
      <c r="AR1" s="21" t="s">
        <v>775</v>
      </c>
      <c r="AS1" s="21" t="s">
        <v>776</v>
      </c>
      <c r="AT1" s="21" t="s">
        <v>74</v>
      </c>
      <c r="AU1" s="21" t="s">
        <v>1465</v>
      </c>
      <c r="AV1" s="21" t="s">
        <v>1466</v>
      </c>
      <c r="AW1" s="21" t="s">
        <v>777</v>
      </c>
      <c r="AX1" s="21" t="s">
        <v>778</v>
      </c>
      <c r="AY1" s="21" t="s">
        <v>75</v>
      </c>
      <c r="AZ1" s="21" t="s">
        <v>773</v>
      </c>
      <c r="BA1" s="21" t="s">
        <v>774</v>
      </c>
      <c r="BB1" s="21" t="s">
        <v>771</v>
      </c>
      <c r="BC1" s="21" t="s">
        <v>772</v>
      </c>
      <c r="BD1" s="22" t="s">
        <v>76</v>
      </c>
      <c r="BE1" s="22" t="s">
        <v>77</v>
      </c>
      <c r="BF1" s="22" t="s">
        <v>1467</v>
      </c>
      <c r="BG1" s="22" t="s">
        <v>1468</v>
      </c>
      <c r="BH1" s="22" t="s">
        <v>78</v>
      </c>
      <c r="BI1" s="22" t="s">
        <v>790</v>
      </c>
      <c r="BJ1" s="22" t="s">
        <v>1469</v>
      </c>
      <c r="BK1" s="22" t="s">
        <v>1470</v>
      </c>
      <c r="BM1" s="29" t="s">
        <v>1471</v>
      </c>
    </row>
    <row r="2" customFormat="false" ht="15" hidden="false" customHeight="true" outlineLevel="0" collapsed="false">
      <c r="BM2" s="31" t="s">
        <v>1205</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3754</v>
      </c>
      <c r="Q1" s="25" t="s">
        <v>3755</v>
      </c>
      <c r="R1" s="25" t="s">
        <v>3756</v>
      </c>
      <c r="S1" s="25" t="s">
        <v>3757</v>
      </c>
      <c r="T1" s="25" t="s">
        <v>3758</v>
      </c>
      <c r="U1" s="25" t="s">
        <v>3759</v>
      </c>
      <c r="V1" s="25" t="s">
        <v>3760</v>
      </c>
      <c r="W1" s="25" t="s">
        <v>3761</v>
      </c>
      <c r="X1" s="28" t="s">
        <v>3762</v>
      </c>
      <c r="Y1" s="28" t="s">
        <v>3763</v>
      </c>
      <c r="Z1" s="28" t="s">
        <v>3764</v>
      </c>
      <c r="AA1" s="28" t="s">
        <v>3765</v>
      </c>
      <c r="AB1" s="25" t="s">
        <v>3766</v>
      </c>
      <c r="AC1" s="25" t="s">
        <v>3767</v>
      </c>
      <c r="AD1" s="25" t="s">
        <v>3768</v>
      </c>
      <c r="AE1" s="25" t="s">
        <v>3769</v>
      </c>
      <c r="AF1" s="25" t="s">
        <v>3770</v>
      </c>
      <c r="AG1" s="25" t="s">
        <v>3771</v>
      </c>
      <c r="AH1" s="25" t="s">
        <v>3772</v>
      </c>
      <c r="AI1" s="25" t="s">
        <v>3773</v>
      </c>
      <c r="AJ1" s="28" t="s">
        <v>3774</v>
      </c>
      <c r="AK1" s="28" t="s">
        <v>3775</v>
      </c>
      <c r="AL1" s="28" t="s">
        <v>3776</v>
      </c>
      <c r="AM1" s="28" t="s">
        <v>3777</v>
      </c>
      <c r="AN1" s="26" t="s">
        <v>35</v>
      </c>
      <c r="AO1" s="26" t="s">
        <v>33</v>
      </c>
      <c r="AP1" s="26" t="s">
        <v>37</v>
      </c>
      <c r="AQ1" s="21" t="s">
        <v>73</v>
      </c>
      <c r="AR1" s="21" t="s">
        <v>775</v>
      </c>
      <c r="AS1" s="21" t="s">
        <v>776</v>
      </c>
      <c r="AT1" s="21" t="s">
        <v>74</v>
      </c>
      <c r="AU1" s="21" t="s">
        <v>1465</v>
      </c>
      <c r="AV1" s="21" t="s">
        <v>1466</v>
      </c>
      <c r="AW1" s="21" t="s">
        <v>777</v>
      </c>
      <c r="AX1" s="21" t="s">
        <v>778</v>
      </c>
      <c r="AY1" s="21" t="s">
        <v>75</v>
      </c>
      <c r="AZ1" s="21" t="s">
        <v>773</v>
      </c>
      <c r="BA1" s="21" t="s">
        <v>774</v>
      </c>
      <c r="BB1" s="21" t="s">
        <v>771</v>
      </c>
      <c r="BC1" s="21" t="s">
        <v>772</v>
      </c>
      <c r="BD1" s="22" t="s">
        <v>76</v>
      </c>
      <c r="BE1" s="22" t="s">
        <v>77</v>
      </c>
      <c r="BF1" s="22" t="s">
        <v>1467</v>
      </c>
      <c r="BG1" s="22" t="s">
        <v>1468</v>
      </c>
      <c r="BH1" s="22" t="s">
        <v>78</v>
      </c>
      <c r="BI1" s="22" t="s">
        <v>790</v>
      </c>
      <c r="BJ1" s="22" t="s">
        <v>1469</v>
      </c>
      <c r="BK1" s="22" t="s">
        <v>1470</v>
      </c>
      <c r="BM1" s="29" t="s">
        <v>1471</v>
      </c>
    </row>
    <row r="2" customFormat="false" ht="15" hidden="false" customHeight="true" outlineLevel="0" collapsed="false">
      <c r="BM2" s="31" t="s">
        <v>1207</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3778</v>
      </c>
      <c r="Q1" s="25" t="s">
        <v>3779</v>
      </c>
      <c r="R1" s="25" t="s">
        <v>3780</v>
      </c>
      <c r="S1" s="25" t="s">
        <v>3781</v>
      </c>
      <c r="T1" s="25" t="s">
        <v>3782</v>
      </c>
      <c r="U1" s="25" t="s">
        <v>3783</v>
      </c>
      <c r="V1" s="25" t="s">
        <v>3784</v>
      </c>
      <c r="W1" s="25" t="s">
        <v>3785</v>
      </c>
      <c r="X1" s="28" t="s">
        <v>3786</v>
      </c>
      <c r="Y1" s="28" t="s">
        <v>3787</v>
      </c>
      <c r="Z1" s="28" t="s">
        <v>3788</v>
      </c>
      <c r="AA1" s="28" t="s">
        <v>3789</v>
      </c>
      <c r="AB1" s="25" t="s">
        <v>3790</v>
      </c>
      <c r="AC1" s="25" t="s">
        <v>3791</v>
      </c>
      <c r="AD1" s="25" t="s">
        <v>3792</v>
      </c>
      <c r="AE1" s="25" t="s">
        <v>3793</v>
      </c>
      <c r="AF1" s="25" t="s">
        <v>3794</v>
      </c>
      <c r="AG1" s="25" t="s">
        <v>3795</v>
      </c>
      <c r="AH1" s="25" t="s">
        <v>3796</v>
      </c>
      <c r="AI1" s="25" t="s">
        <v>3797</v>
      </c>
      <c r="AJ1" s="28" t="s">
        <v>3798</v>
      </c>
      <c r="AK1" s="28" t="s">
        <v>3799</v>
      </c>
      <c r="AL1" s="28" t="s">
        <v>3800</v>
      </c>
      <c r="AM1" s="28" t="s">
        <v>3801</v>
      </c>
      <c r="AN1" s="26" t="s">
        <v>35</v>
      </c>
      <c r="AO1" s="26" t="s">
        <v>33</v>
      </c>
      <c r="AP1" s="26" t="s">
        <v>37</v>
      </c>
      <c r="AQ1" s="21" t="s">
        <v>73</v>
      </c>
      <c r="AR1" s="21" t="s">
        <v>775</v>
      </c>
      <c r="AS1" s="21" t="s">
        <v>776</v>
      </c>
      <c r="AT1" s="21" t="s">
        <v>74</v>
      </c>
      <c r="AU1" s="21" t="s">
        <v>1465</v>
      </c>
      <c r="AV1" s="21" t="s">
        <v>1466</v>
      </c>
      <c r="AW1" s="21" t="s">
        <v>777</v>
      </c>
      <c r="AX1" s="21" t="s">
        <v>778</v>
      </c>
      <c r="AY1" s="21" t="s">
        <v>75</v>
      </c>
      <c r="AZ1" s="21" t="s">
        <v>773</v>
      </c>
      <c r="BA1" s="21" t="s">
        <v>774</v>
      </c>
      <c r="BB1" s="21" t="s">
        <v>771</v>
      </c>
      <c r="BC1" s="21" t="s">
        <v>772</v>
      </c>
      <c r="BD1" s="22" t="s">
        <v>76</v>
      </c>
      <c r="BE1" s="22" t="s">
        <v>77</v>
      </c>
      <c r="BF1" s="22" t="s">
        <v>1467</v>
      </c>
      <c r="BG1" s="22" t="s">
        <v>1468</v>
      </c>
      <c r="BH1" s="22" t="s">
        <v>78</v>
      </c>
      <c r="BI1" s="22" t="s">
        <v>790</v>
      </c>
      <c r="BJ1" s="22" t="s">
        <v>1469</v>
      </c>
      <c r="BK1" s="22" t="s">
        <v>1470</v>
      </c>
      <c r="BM1" s="29" t="s">
        <v>1471</v>
      </c>
    </row>
    <row r="2" customFormat="false" ht="15" hidden="false" customHeight="true" outlineLevel="0" collapsed="false">
      <c r="BM2" s="31" t="s">
        <v>1209</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L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33" min="26" style="1" width="12"/>
    <col collapsed="false" customWidth="true" hidden="false" outlineLevel="0" max="47" min="47" style="1" width="26"/>
    <col collapsed="false" customWidth="true" hidden="false" outlineLevel="0" max="54" min="54" style="1" width="40"/>
    <col collapsed="false" customWidth="true" hidden="false" outlineLevel="0" max="55" min="55" style="1" width="26"/>
    <col collapsed="false" customWidth="true" hidden="false" outlineLevel="0" max="62" min="61"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3802</v>
      </c>
      <c r="O1" s="25" t="s">
        <v>3803</v>
      </c>
      <c r="P1" s="25" t="s">
        <v>3804</v>
      </c>
      <c r="Q1" s="25" t="s">
        <v>3805</v>
      </c>
      <c r="R1" s="25" t="s">
        <v>3806</v>
      </c>
      <c r="S1" s="25" t="s">
        <v>3807</v>
      </c>
      <c r="T1" s="25" t="s">
        <v>3808</v>
      </c>
      <c r="U1" s="25" t="s">
        <v>3809</v>
      </c>
      <c r="V1" s="28" t="s">
        <v>3810</v>
      </c>
      <c r="W1" s="28" t="s">
        <v>3811</v>
      </c>
      <c r="X1" s="28" t="s">
        <v>3812</v>
      </c>
      <c r="Y1" s="28" t="s">
        <v>3813</v>
      </c>
      <c r="Z1" s="25" t="s">
        <v>3814</v>
      </c>
      <c r="AA1" s="25" t="s">
        <v>3815</v>
      </c>
      <c r="AB1" s="25" t="s">
        <v>3816</v>
      </c>
      <c r="AC1" s="25" t="s">
        <v>3817</v>
      </c>
      <c r="AD1" s="25" t="s">
        <v>3818</v>
      </c>
      <c r="AE1" s="25" t="s">
        <v>3819</v>
      </c>
      <c r="AF1" s="25" t="s">
        <v>3820</v>
      </c>
      <c r="AG1" s="25" t="s">
        <v>3821</v>
      </c>
      <c r="AH1" s="28" t="s">
        <v>3822</v>
      </c>
      <c r="AI1" s="28" t="s">
        <v>3823</v>
      </c>
      <c r="AJ1" s="28" t="s">
        <v>3824</v>
      </c>
      <c r="AK1" s="28" t="s">
        <v>3825</v>
      </c>
      <c r="AL1" s="25" t="s">
        <v>3626</v>
      </c>
      <c r="AM1" s="26" t="s">
        <v>35</v>
      </c>
      <c r="AN1" s="26" t="s">
        <v>33</v>
      </c>
      <c r="AO1" s="26" t="s">
        <v>37</v>
      </c>
      <c r="AP1" s="21" t="s">
        <v>73</v>
      </c>
      <c r="AQ1" s="21" t="s">
        <v>775</v>
      </c>
      <c r="AR1" s="21" t="s">
        <v>776</v>
      </c>
      <c r="AS1" s="21" t="s">
        <v>74</v>
      </c>
      <c r="AT1" s="21" t="s">
        <v>1465</v>
      </c>
      <c r="AU1" s="21" t="s">
        <v>1466</v>
      </c>
      <c r="AV1" s="21" t="s">
        <v>777</v>
      </c>
      <c r="AW1" s="21" t="s">
        <v>778</v>
      </c>
      <c r="AX1" s="21" t="s">
        <v>75</v>
      </c>
      <c r="AY1" s="21" t="s">
        <v>773</v>
      </c>
      <c r="AZ1" s="21" t="s">
        <v>774</v>
      </c>
      <c r="BA1" s="21" t="s">
        <v>771</v>
      </c>
      <c r="BB1" s="21" t="s">
        <v>772</v>
      </c>
      <c r="BC1" s="22" t="s">
        <v>76</v>
      </c>
      <c r="BD1" s="22" t="s">
        <v>77</v>
      </c>
      <c r="BE1" s="22" t="s">
        <v>1467</v>
      </c>
      <c r="BF1" s="22" t="s">
        <v>1468</v>
      </c>
      <c r="BG1" s="22" t="s">
        <v>78</v>
      </c>
      <c r="BH1" s="22" t="s">
        <v>790</v>
      </c>
      <c r="BI1" s="22" t="s">
        <v>1469</v>
      </c>
      <c r="BJ1" s="22" t="s">
        <v>1470</v>
      </c>
      <c r="BL1" s="29" t="s">
        <v>1471</v>
      </c>
    </row>
    <row r="2" customFormat="false" ht="15" hidden="false" customHeight="true" outlineLevel="0" collapsed="false">
      <c r="BL2" s="31" t="s">
        <v>1211</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BJ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33" min="26" style="1" width="12"/>
    <col collapsed="false" customWidth="true" hidden="false" outlineLevel="0" max="46" min="46" style="1" width="26"/>
    <col collapsed="false" customWidth="true" hidden="false" outlineLevel="0" max="53" min="53" style="1" width="40"/>
    <col collapsed="false" customWidth="true" hidden="false" outlineLevel="0" max="54" min="54" style="1" width="26"/>
    <col collapsed="false" customWidth="true" hidden="false" outlineLevel="0" max="61" min="6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3826</v>
      </c>
      <c r="O1" s="25" t="s">
        <v>3827</v>
      </c>
      <c r="P1" s="25" t="s">
        <v>3828</v>
      </c>
      <c r="Q1" s="25" t="s">
        <v>3829</v>
      </c>
      <c r="R1" s="25" t="s">
        <v>3830</v>
      </c>
      <c r="S1" s="25" t="s">
        <v>3831</v>
      </c>
      <c r="T1" s="25" t="s">
        <v>3832</v>
      </c>
      <c r="U1" s="25" t="s">
        <v>3833</v>
      </c>
      <c r="V1" s="28" t="s">
        <v>3834</v>
      </c>
      <c r="W1" s="28" t="s">
        <v>3835</v>
      </c>
      <c r="X1" s="28" t="s">
        <v>3836</v>
      </c>
      <c r="Y1" s="28" t="s">
        <v>3837</v>
      </c>
      <c r="Z1" s="25" t="s">
        <v>3838</v>
      </c>
      <c r="AA1" s="25" t="s">
        <v>3839</v>
      </c>
      <c r="AB1" s="25" t="s">
        <v>3840</v>
      </c>
      <c r="AC1" s="25" t="s">
        <v>3841</v>
      </c>
      <c r="AD1" s="25" t="s">
        <v>3842</v>
      </c>
      <c r="AE1" s="25" t="s">
        <v>3843</v>
      </c>
      <c r="AF1" s="25" t="s">
        <v>3844</v>
      </c>
      <c r="AG1" s="25" t="s">
        <v>3845</v>
      </c>
      <c r="AH1" s="28" t="s">
        <v>3846</v>
      </c>
      <c r="AI1" s="28" t="s">
        <v>3847</v>
      </c>
      <c r="AJ1" s="28" t="s">
        <v>3848</v>
      </c>
      <c r="AK1" s="28" t="s">
        <v>3849</v>
      </c>
      <c r="AL1" s="26" t="s">
        <v>35</v>
      </c>
      <c r="AM1" s="26" t="s">
        <v>33</v>
      </c>
      <c r="AN1" s="26" t="s">
        <v>37</v>
      </c>
      <c r="AO1" s="21" t="s">
        <v>73</v>
      </c>
      <c r="AP1" s="21" t="s">
        <v>775</v>
      </c>
      <c r="AQ1" s="21" t="s">
        <v>776</v>
      </c>
      <c r="AR1" s="21" t="s">
        <v>74</v>
      </c>
      <c r="AS1" s="21" t="s">
        <v>1465</v>
      </c>
      <c r="AT1" s="21" t="s">
        <v>1466</v>
      </c>
      <c r="AU1" s="21" t="s">
        <v>777</v>
      </c>
      <c r="AV1" s="21" t="s">
        <v>778</v>
      </c>
      <c r="AW1" s="21" t="s">
        <v>75</v>
      </c>
      <c r="AX1" s="21" t="s">
        <v>773</v>
      </c>
      <c r="AY1" s="21" t="s">
        <v>774</v>
      </c>
      <c r="AZ1" s="21" t="s">
        <v>771</v>
      </c>
      <c r="BA1" s="21" t="s">
        <v>772</v>
      </c>
      <c r="BB1" s="22" t="s">
        <v>76</v>
      </c>
      <c r="BC1" s="22" t="s">
        <v>77</v>
      </c>
      <c r="BD1" s="22" t="s">
        <v>1467</v>
      </c>
      <c r="BE1" s="22" t="s">
        <v>1468</v>
      </c>
      <c r="BF1" s="22" t="s">
        <v>78</v>
      </c>
      <c r="BG1" s="22" t="s">
        <v>790</v>
      </c>
      <c r="BH1" s="22" t="s">
        <v>1469</v>
      </c>
      <c r="BI1" s="22" t="s">
        <v>1470</v>
      </c>
      <c r="BK1" s="29" t="s">
        <v>1471</v>
      </c>
    </row>
    <row r="2" customFormat="false" ht="15" hidden="false" customHeight="true" outlineLevel="0" collapsed="false">
      <c r="BK2" s="32" t="s">
        <v>1213</v>
      </c>
    </row>
    <row r="3" customFormat="false" ht="15" hidden="false" customHeight="true" outlineLevel="0" collapsed="false"/>
  </sheetData>
  <autoFilter ref="A1:BI1"/>
  <dataValidations count="3">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33" min="26" style="1" width="12"/>
    <col collapsed="false" customWidth="true" hidden="false" outlineLevel="0" max="46" min="46" style="1" width="26"/>
    <col collapsed="false" customWidth="true" hidden="false" outlineLevel="0" max="53" min="53" style="1" width="40"/>
    <col collapsed="false" customWidth="true" hidden="false" outlineLevel="0" max="54" min="54" style="1" width="26"/>
    <col collapsed="false" customWidth="true" hidden="false" outlineLevel="0" max="61" min="6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3850</v>
      </c>
      <c r="O1" s="25" t="s">
        <v>3851</v>
      </c>
      <c r="P1" s="25" t="s">
        <v>3852</v>
      </c>
      <c r="Q1" s="25" t="s">
        <v>3853</v>
      </c>
      <c r="R1" s="25" t="s">
        <v>3854</v>
      </c>
      <c r="S1" s="25" t="s">
        <v>3855</v>
      </c>
      <c r="T1" s="25" t="s">
        <v>3856</v>
      </c>
      <c r="U1" s="25" t="s">
        <v>3857</v>
      </c>
      <c r="V1" s="28" t="s">
        <v>3858</v>
      </c>
      <c r="W1" s="28" t="s">
        <v>3859</v>
      </c>
      <c r="X1" s="28" t="s">
        <v>3860</v>
      </c>
      <c r="Y1" s="28" t="s">
        <v>3861</v>
      </c>
      <c r="Z1" s="25" t="s">
        <v>3862</v>
      </c>
      <c r="AA1" s="25" t="s">
        <v>3863</v>
      </c>
      <c r="AB1" s="25" t="s">
        <v>3864</v>
      </c>
      <c r="AC1" s="25" t="s">
        <v>3865</v>
      </c>
      <c r="AD1" s="25" t="s">
        <v>3866</v>
      </c>
      <c r="AE1" s="25" t="s">
        <v>3867</v>
      </c>
      <c r="AF1" s="25" t="s">
        <v>3868</v>
      </c>
      <c r="AG1" s="25" t="s">
        <v>3869</v>
      </c>
      <c r="AH1" s="28" t="s">
        <v>3870</v>
      </c>
      <c r="AI1" s="28" t="s">
        <v>3871</v>
      </c>
      <c r="AJ1" s="28" t="s">
        <v>3872</v>
      </c>
      <c r="AK1" s="28" t="s">
        <v>3873</v>
      </c>
      <c r="AL1" s="26" t="s">
        <v>35</v>
      </c>
      <c r="AM1" s="26" t="s">
        <v>33</v>
      </c>
      <c r="AN1" s="26" t="s">
        <v>37</v>
      </c>
      <c r="AO1" s="21" t="s">
        <v>73</v>
      </c>
      <c r="AP1" s="21" t="s">
        <v>775</v>
      </c>
      <c r="AQ1" s="21" t="s">
        <v>776</v>
      </c>
      <c r="AR1" s="21" t="s">
        <v>74</v>
      </c>
      <c r="AS1" s="21" t="s">
        <v>1465</v>
      </c>
      <c r="AT1" s="21" t="s">
        <v>1466</v>
      </c>
      <c r="AU1" s="21" t="s">
        <v>777</v>
      </c>
      <c r="AV1" s="21" t="s">
        <v>778</v>
      </c>
      <c r="AW1" s="21" t="s">
        <v>75</v>
      </c>
      <c r="AX1" s="21" t="s">
        <v>773</v>
      </c>
      <c r="AY1" s="21" t="s">
        <v>774</v>
      </c>
      <c r="AZ1" s="21" t="s">
        <v>771</v>
      </c>
      <c r="BA1" s="21" t="s">
        <v>772</v>
      </c>
      <c r="BB1" s="22" t="s">
        <v>76</v>
      </c>
      <c r="BC1" s="22" t="s">
        <v>77</v>
      </c>
      <c r="BD1" s="22" t="s">
        <v>1467</v>
      </c>
      <c r="BE1" s="22" t="s">
        <v>1468</v>
      </c>
      <c r="BF1" s="22" t="s">
        <v>78</v>
      </c>
      <c r="BG1" s="22" t="s">
        <v>790</v>
      </c>
      <c r="BH1" s="22" t="s">
        <v>1469</v>
      </c>
      <c r="BI1" s="22" t="s">
        <v>1470</v>
      </c>
      <c r="BK1" s="29" t="s">
        <v>1471</v>
      </c>
    </row>
    <row r="2" customFormat="false" ht="15" hidden="false" customHeight="true" outlineLevel="0" collapsed="false">
      <c r="BK2" s="31" t="s">
        <v>1215</v>
      </c>
    </row>
    <row r="3" customFormat="false" ht="15" hidden="false" customHeight="true" outlineLevel="0" collapsed="false"/>
  </sheetData>
  <autoFilter ref="A1:BI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3874</v>
      </c>
      <c r="O1" s="25" t="s">
        <v>3875</v>
      </c>
      <c r="P1" s="25" t="s">
        <v>3876</v>
      </c>
      <c r="Q1" s="25" t="s">
        <v>3877</v>
      </c>
      <c r="R1" s="25" t="s">
        <v>3878</v>
      </c>
      <c r="S1" s="25" t="s">
        <v>3879</v>
      </c>
      <c r="T1" s="25" t="s">
        <v>3880</v>
      </c>
      <c r="U1" s="25" t="s">
        <v>3881</v>
      </c>
      <c r="V1" s="28" t="s">
        <v>3882</v>
      </c>
      <c r="W1" s="28" t="s">
        <v>3883</v>
      </c>
      <c r="X1" s="28" t="s">
        <v>3884</v>
      </c>
      <c r="Y1" s="28" t="s">
        <v>3885</v>
      </c>
      <c r="Z1" s="25" t="s">
        <v>3886</v>
      </c>
      <c r="AA1" s="25" t="s">
        <v>3887</v>
      </c>
      <c r="AB1" s="25" t="s">
        <v>3888</v>
      </c>
      <c r="AC1" s="25" t="s">
        <v>3889</v>
      </c>
      <c r="AD1" s="25" t="s">
        <v>3890</v>
      </c>
      <c r="AE1" s="25" t="s">
        <v>3891</v>
      </c>
      <c r="AF1" s="25" t="s">
        <v>3892</v>
      </c>
      <c r="AG1" s="25" t="s">
        <v>3893</v>
      </c>
      <c r="AH1" s="28" t="s">
        <v>3894</v>
      </c>
      <c r="AI1" s="28" t="s">
        <v>3895</v>
      </c>
      <c r="AJ1" s="28" t="s">
        <v>3896</v>
      </c>
      <c r="AK1" s="28" t="s">
        <v>3897</v>
      </c>
      <c r="AL1" s="25" t="s">
        <v>3898</v>
      </c>
      <c r="AM1" s="25" t="s">
        <v>3899</v>
      </c>
      <c r="AN1" s="25" t="s">
        <v>3900</v>
      </c>
      <c r="AO1" s="25" t="s">
        <v>3901</v>
      </c>
      <c r="AP1" s="25" t="s">
        <v>3902</v>
      </c>
      <c r="AQ1" s="25" t="s">
        <v>3903</v>
      </c>
      <c r="AR1" s="25" t="s">
        <v>3904</v>
      </c>
      <c r="AS1" s="25" t="s">
        <v>3905</v>
      </c>
      <c r="AT1" s="28" t="s">
        <v>3906</v>
      </c>
      <c r="AU1" s="28" t="s">
        <v>3907</v>
      </c>
      <c r="AV1" s="28" t="s">
        <v>3908</v>
      </c>
      <c r="AW1" s="28" t="s">
        <v>3909</v>
      </c>
      <c r="AX1" s="26" t="s">
        <v>35</v>
      </c>
      <c r="AY1" s="26" t="s">
        <v>33</v>
      </c>
      <c r="AZ1" s="26" t="s">
        <v>37</v>
      </c>
      <c r="BA1" s="21" t="s">
        <v>73</v>
      </c>
      <c r="BB1" s="21" t="s">
        <v>775</v>
      </c>
      <c r="BC1" s="21" t="s">
        <v>776</v>
      </c>
      <c r="BD1" s="21" t="s">
        <v>74</v>
      </c>
      <c r="BE1" s="21" t="s">
        <v>1465</v>
      </c>
      <c r="BF1" s="21" t="s">
        <v>1466</v>
      </c>
      <c r="BG1" s="21" t="s">
        <v>777</v>
      </c>
      <c r="BH1" s="21" t="s">
        <v>778</v>
      </c>
      <c r="BI1" s="21" t="s">
        <v>75</v>
      </c>
      <c r="BJ1" s="21" t="s">
        <v>773</v>
      </c>
      <c r="BK1" s="21" t="s">
        <v>774</v>
      </c>
      <c r="BL1" s="21" t="s">
        <v>771</v>
      </c>
      <c r="BM1" s="21" t="s">
        <v>772</v>
      </c>
      <c r="BN1" s="22" t="s">
        <v>76</v>
      </c>
      <c r="BO1" s="22" t="s">
        <v>77</v>
      </c>
      <c r="BP1" s="22" t="s">
        <v>1467</v>
      </c>
      <c r="BQ1" s="22" t="s">
        <v>1468</v>
      </c>
      <c r="BR1" s="22" t="s">
        <v>78</v>
      </c>
      <c r="BS1" s="22" t="s">
        <v>790</v>
      </c>
      <c r="BT1" s="22" t="s">
        <v>1469</v>
      </c>
      <c r="BU1" s="22" t="s">
        <v>1470</v>
      </c>
      <c r="BW1" s="29" t="s">
        <v>1471</v>
      </c>
    </row>
    <row r="2" customFormat="false" ht="15" hidden="false" customHeight="true" outlineLevel="0" collapsed="false">
      <c r="BW2" s="31" t="s">
        <v>1217</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row r="14"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X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7" min="67" style="1" width="26"/>
    <col collapsed="false" customWidth="true" hidden="false" outlineLevel="0" max="74" min="73"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3910</v>
      </c>
      <c r="O1" s="25" t="s">
        <v>3911</v>
      </c>
      <c r="P1" s="25" t="s">
        <v>3912</v>
      </c>
      <c r="Q1" s="25" t="s">
        <v>3913</v>
      </c>
      <c r="R1" s="25" t="s">
        <v>3914</v>
      </c>
      <c r="S1" s="25" t="s">
        <v>3915</v>
      </c>
      <c r="T1" s="25" t="s">
        <v>3916</v>
      </c>
      <c r="U1" s="25" t="s">
        <v>3917</v>
      </c>
      <c r="V1" s="28" t="s">
        <v>3918</v>
      </c>
      <c r="W1" s="28" t="s">
        <v>3919</v>
      </c>
      <c r="X1" s="28" t="s">
        <v>3920</v>
      </c>
      <c r="Y1" s="28" t="s">
        <v>3921</v>
      </c>
      <c r="Z1" s="25" t="s">
        <v>3922</v>
      </c>
      <c r="AA1" s="25" t="s">
        <v>3923</v>
      </c>
      <c r="AB1" s="25" t="s">
        <v>3924</v>
      </c>
      <c r="AC1" s="25" t="s">
        <v>3925</v>
      </c>
      <c r="AD1" s="25" t="s">
        <v>3926</v>
      </c>
      <c r="AE1" s="25" t="s">
        <v>3927</v>
      </c>
      <c r="AF1" s="25" t="s">
        <v>3928</v>
      </c>
      <c r="AG1" s="25" t="s">
        <v>3929</v>
      </c>
      <c r="AH1" s="28" t="s">
        <v>3930</v>
      </c>
      <c r="AI1" s="28" t="s">
        <v>3931</v>
      </c>
      <c r="AJ1" s="28" t="s">
        <v>3932</v>
      </c>
      <c r="AK1" s="28" t="s">
        <v>3933</v>
      </c>
      <c r="AL1" s="25" t="s">
        <v>3934</v>
      </c>
      <c r="AM1" s="25" t="s">
        <v>3935</v>
      </c>
      <c r="AN1" s="25" t="s">
        <v>3936</v>
      </c>
      <c r="AO1" s="25" t="s">
        <v>3937</v>
      </c>
      <c r="AP1" s="25" t="s">
        <v>3938</v>
      </c>
      <c r="AQ1" s="25" t="s">
        <v>3939</v>
      </c>
      <c r="AR1" s="25" t="s">
        <v>3940</v>
      </c>
      <c r="AS1" s="25" t="s">
        <v>3941</v>
      </c>
      <c r="AT1" s="28" t="s">
        <v>3942</v>
      </c>
      <c r="AU1" s="28" t="s">
        <v>3943</v>
      </c>
      <c r="AV1" s="28" t="s">
        <v>3944</v>
      </c>
      <c r="AW1" s="28" t="s">
        <v>3945</v>
      </c>
      <c r="AX1" s="25" t="s">
        <v>3946</v>
      </c>
      <c r="AY1" s="26" t="s">
        <v>35</v>
      </c>
      <c r="AZ1" s="26" t="s">
        <v>33</v>
      </c>
      <c r="BA1" s="26" t="s">
        <v>37</v>
      </c>
      <c r="BB1" s="21" t="s">
        <v>73</v>
      </c>
      <c r="BC1" s="21" t="s">
        <v>775</v>
      </c>
      <c r="BD1" s="21" t="s">
        <v>776</v>
      </c>
      <c r="BE1" s="21" t="s">
        <v>74</v>
      </c>
      <c r="BF1" s="21" t="s">
        <v>1465</v>
      </c>
      <c r="BG1" s="21" t="s">
        <v>1466</v>
      </c>
      <c r="BH1" s="21" t="s">
        <v>777</v>
      </c>
      <c r="BI1" s="21" t="s">
        <v>778</v>
      </c>
      <c r="BJ1" s="21" t="s">
        <v>75</v>
      </c>
      <c r="BK1" s="21" t="s">
        <v>773</v>
      </c>
      <c r="BL1" s="21" t="s">
        <v>774</v>
      </c>
      <c r="BM1" s="21" t="s">
        <v>771</v>
      </c>
      <c r="BN1" s="21" t="s">
        <v>772</v>
      </c>
      <c r="BO1" s="22" t="s">
        <v>76</v>
      </c>
      <c r="BP1" s="22" t="s">
        <v>77</v>
      </c>
      <c r="BQ1" s="22" t="s">
        <v>1467</v>
      </c>
      <c r="BR1" s="22" t="s">
        <v>1468</v>
      </c>
      <c r="BS1" s="22" t="s">
        <v>78</v>
      </c>
      <c r="BT1" s="22" t="s">
        <v>790</v>
      </c>
      <c r="BU1" s="22" t="s">
        <v>1469</v>
      </c>
      <c r="BV1" s="22" t="s">
        <v>1470</v>
      </c>
      <c r="BX1" s="29" t="s">
        <v>1471</v>
      </c>
    </row>
    <row r="2" customFormat="false" ht="15" hidden="false" customHeight="true" outlineLevel="0" collapsed="false">
      <c r="BX2" s="31" t="s">
        <v>1219</v>
      </c>
    </row>
  </sheetData>
  <autoFilter ref="A1:BV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3947</v>
      </c>
      <c r="O1" s="25" t="s">
        <v>3948</v>
      </c>
      <c r="P1" s="25" t="s">
        <v>3949</v>
      </c>
      <c r="Q1" s="25" t="s">
        <v>3950</v>
      </c>
      <c r="R1" s="25" t="s">
        <v>3951</v>
      </c>
      <c r="S1" s="25" t="s">
        <v>3952</v>
      </c>
      <c r="T1" s="25" t="s">
        <v>3953</v>
      </c>
      <c r="U1" s="25" t="s">
        <v>3954</v>
      </c>
      <c r="V1" s="28" t="s">
        <v>3955</v>
      </c>
      <c r="W1" s="28" t="s">
        <v>3956</v>
      </c>
      <c r="X1" s="28" t="s">
        <v>3957</v>
      </c>
      <c r="Y1" s="28" t="s">
        <v>3958</v>
      </c>
      <c r="Z1" s="25" t="s">
        <v>3959</v>
      </c>
      <c r="AA1" s="25" t="s">
        <v>3960</v>
      </c>
      <c r="AB1" s="25" t="s">
        <v>3961</v>
      </c>
      <c r="AC1" s="25" t="s">
        <v>3962</v>
      </c>
      <c r="AD1" s="25" t="s">
        <v>3963</v>
      </c>
      <c r="AE1" s="25" t="s">
        <v>3964</v>
      </c>
      <c r="AF1" s="25" t="s">
        <v>3965</v>
      </c>
      <c r="AG1" s="25" t="s">
        <v>3966</v>
      </c>
      <c r="AH1" s="28" t="s">
        <v>3967</v>
      </c>
      <c r="AI1" s="28" t="s">
        <v>3968</v>
      </c>
      <c r="AJ1" s="28" t="s">
        <v>3969</v>
      </c>
      <c r="AK1" s="28" t="s">
        <v>3970</v>
      </c>
      <c r="AL1" s="25" t="s">
        <v>3971</v>
      </c>
      <c r="AM1" s="25" t="s">
        <v>3972</v>
      </c>
      <c r="AN1" s="25" t="s">
        <v>3973</v>
      </c>
      <c r="AO1" s="25" t="s">
        <v>3974</v>
      </c>
      <c r="AP1" s="25" t="s">
        <v>3975</v>
      </c>
      <c r="AQ1" s="25" t="s">
        <v>3976</v>
      </c>
      <c r="AR1" s="25" t="s">
        <v>3977</v>
      </c>
      <c r="AS1" s="25" t="s">
        <v>3978</v>
      </c>
      <c r="AT1" s="28" t="s">
        <v>3979</v>
      </c>
      <c r="AU1" s="28" t="s">
        <v>3980</v>
      </c>
      <c r="AV1" s="28" t="s">
        <v>3981</v>
      </c>
      <c r="AW1" s="28" t="s">
        <v>3982</v>
      </c>
      <c r="AX1" s="26" t="s">
        <v>35</v>
      </c>
      <c r="AY1" s="26" t="s">
        <v>33</v>
      </c>
      <c r="AZ1" s="26" t="s">
        <v>37</v>
      </c>
      <c r="BA1" s="21" t="s">
        <v>73</v>
      </c>
      <c r="BB1" s="21" t="s">
        <v>775</v>
      </c>
      <c r="BC1" s="21" t="s">
        <v>776</v>
      </c>
      <c r="BD1" s="21" t="s">
        <v>74</v>
      </c>
      <c r="BE1" s="21" t="s">
        <v>1465</v>
      </c>
      <c r="BF1" s="21" t="s">
        <v>1466</v>
      </c>
      <c r="BG1" s="21" t="s">
        <v>777</v>
      </c>
      <c r="BH1" s="21" t="s">
        <v>778</v>
      </c>
      <c r="BI1" s="21" t="s">
        <v>75</v>
      </c>
      <c r="BJ1" s="21" t="s">
        <v>773</v>
      </c>
      <c r="BK1" s="21" t="s">
        <v>774</v>
      </c>
      <c r="BL1" s="21" t="s">
        <v>771</v>
      </c>
      <c r="BM1" s="21" t="s">
        <v>772</v>
      </c>
      <c r="BN1" s="22" t="s">
        <v>76</v>
      </c>
      <c r="BO1" s="22" t="s">
        <v>77</v>
      </c>
      <c r="BP1" s="22" t="s">
        <v>1467</v>
      </c>
      <c r="BQ1" s="22" t="s">
        <v>1468</v>
      </c>
      <c r="BR1" s="22" t="s">
        <v>78</v>
      </c>
      <c r="BS1" s="22" t="s">
        <v>790</v>
      </c>
      <c r="BT1" s="22" t="s">
        <v>1469</v>
      </c>
      <c r="BU1" s="22" t="s">
        <v>1470</v>
      </c>
      <c r="BW1" s="29" t="s">
        <v>1471</v>
      </c>
    </row>
    <row r="2" customFormat="false" ht="15" hidden="false" customHeight="true" outlineLevel="0" collapsed="false">
      <c r="BW2" s="31" t="s">
        <v>1221</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3983</v>
      </c>
      <c r="O1" s="25" t="s">
        <v>3984</v>
      </c>
      <c r="P1" s="25" t="s">
        <v>3985</v>
      </c>
      <c r="Q1" s="25" t="s">
        <v>3986</v>
      </c>
      <c r="R1" s="25" t="s">
        <v>3987</v>
      </c>
      <c r="S1" s="25" t="s">
        <v>3988</v>
      </c>
      <c r="T1" s="25" t="s">
        <v>3989</v>
      </c>
      <c r="U1" s="25" t="s">
        <v>3990</v>
      </c>
      <c r="V1" s="28" t="s">
        <v>3991</v>
      </c>
      <c r="W1" s="28" t="s">
        <v>3992</v>
      </c>
      <c r="X1" s="28" t="s">
        <v>3993</v>
      </c>
      <c r="Y1" s="28" t="s">
        <v>3994</v>
      </c>
      <c r="Z1" s="25" t="s">
        <v>3995</v>
      </c>
      <c r="AA1" s="25" t="s">
        <v>3996</v>
      </c>
      <c r="AB1" s="25" t="s">
        <v>3997</v>
      </c>
      <c r="AC1" s="25" t="s">
        <v>3998</v>
      </c>
      <c r="AD1" s="25" t="s">
        <v>3999</v>
      </c>
      <c r="AE1" s="25" t="s">
        <v>4000</v>
      </c>
      <c r="AF1" s="25" t="s">
        <v>4001</v>
      </c>
      <c r="AG1" s="25" t="s">
        <v>4002</v>
      </c>
      <c r="AH1" s="28" t="s">
        <v>4003</v>
      </c>
      <c r="AI1" s="28" t="s">
        <v>4004</v>
      </c>
      <c r="AJ1" s="28" t="s">
        <v>4005</v>
      </c>
      <c r="AK1" s="28" t="s">
        <v>4006</v>
      </c>
      <c r="AL1" s="25" t="s">
        <v>4007</v>
      </c>
      <c r="AM1" s="25" t="s">
        <v>4008</v>
      </c>
      <c r="AN1" s="25" t="s">
        <v>4009</v>
      </c>
      <c r="AO1" s="25" t="s">
        <v>4010</v>
      </c>
      <c r="AP1" s="25" t="s">
        <v>4011</v>
      </c>
      <c r="AQ1" s="25" t="s">
        <v>4012</v>
      </c>
      <c r="AR1" s="25" t="s">
        <v>4013</v>
      </c>
      <c r="AS1" s="25" t="s">
        <v>4014</v>
      </c>
      <c r="AT1" s="28" t="s">
        <v>4015</v>
      </c>
      <c r="AU1" s="28" t="s">
        <v>4016</v>
      </c>
      <c r="AV1" s="28" t="s">
        <v>4017</v>
      </c>
      <c r="AW1" s="28" t="s">
        <v>4018</v>
      </c>
      <c r="AX1" s="26" t="s">
        <v>35</v>
      </c>
      <c r="AY1" s="26" t="s">
        <v>33</v>
      </c>
      <c r="AZ1" s="26" t="s">
        <v>37</v>
      </c>
      <c r="BA1" s="21" t="s">
        <v>73</v>
      </c>
      <c r="BB1" s="21" t="s">
        <v>775</v>
      </c>
      <c r="BC1" s="21" t="s">
        <v>776</v>
      </c>
      <c r="BD1" s="21" t="s">
        <v>74</v>
      </c>
      <c r="BE1" s="21" t="s">
        <v>1465</v>
      </c>
      <c r="BF1" s="21" t="s">
        <v>1466</v>
      </c>
      <c r="BG1" s="21" t="s">
        <v>777</v>
      </c>
      <c r="BH1" s="21" t="s">
        <v>778</v>
      </c>
      <c r="BI1" s="21" t="s">
        <v>75</v>
      </c>
      <c r="BJ1" s="21" t="s">
        <v>773</v>
      </c>
      <c r="BK1" s="21" t="s">
        <v>774</v>
      </c>
      <c r="BL1" s="21" t="s">
        <v>771</v>
      </c>
      <c r="BM1" s="21" t="s">
        <v>772</v>
      </c>
      <c r="BN1" s="22" t="s">
        <v>76</v>
      </c>
      <c r="BO1" s="22" t="s">
        <v>77</v>
      </c>
      <c r="BP1" s="22" t="s">
        <v>1467</v>
      </c>
      <c r="BQ1" s="22" t="s">
        <v>1468</v>
      </c>
      <c r="BR1" s="22" t="s">
        <v>78</v>
      </c>
      <c r="BS1" s="22" t="s">
        <v>790</v>
      </c>
      <c r="BT1" s="22" t="s">
        <v>1469</v>
      </c>
      <c r="BU1" s="22" t="s">
        <v>1470</v>
      </c>
      <c r="BW1" s="29" t="s">
        <v>1471</v>
      </c>
    </row>
    <row r="2" customFormat="false" ht="15" hidden="false" customHeight="true" outlineLevel="0" collapsed="false">
      <c r="BW2" s="31" t="s">
        <v>1222</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sheetData>
  <autoFilter ref="A1:BU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4019</v>
      </c>
      <c r="O1" s="25" t="s">
        <v>4020</v>
      </c>
      <c r="P1" s="25" t="s">
        <v>4021</v>
      </c>
      <c r="Q1" s="25" t="s">
        <v>4022</v>
      </c>
      <c r="R1" s="25" t="s">
        <v>4023</v>
      </c>
      <c r="S1" s="25" t="s">
        <v>4024</v>
      </c>
      <c r="T1" s="25" t="s">
        <v>4025</v>
      </c>
      <c r="U1" s="25" t="s">
        <v>4026</v>
      </c>
      <c r="V1" s="28" t="s">
        <v>4027</v>
      </c>
      <c r="W1" s="28" t="s">
        <v>4028</v>
      </c>
      <c r="X1" s="28" t="s">
        <v>4029</v>
      </c>
      <c r="Y1" s="28" t="s">
        <v>4030</v>
      </c>
      <c r="Z1" s="25" t="s">
        <v>4031</v>
      </c>
      <c r="AA1" s="25" t="s">
        <v>4032</v>
      </c>
      <c r="AB1" s="25" t="s">
        <v>4033</v>
      </c>
      <c r="AC1" s="25" t="s">
        <v>4034</v>
      </c>
      <c r="AD1" s="25" t="s">
        <v>4035</v>
      </c>
      <c r="AE1" s="25" t="s">
        <v>4036</v>
      </c>
      <c r="AF1" s="25" t="s">
        <v>4037</v>
      </c>
      <c r="AG1" s="25" t="s">
        <v>4038</v>
      </c>
      <c r="AH1" s="28" t="s">
        <v>4039</v>
      </c>
      <c r="AI1" s="28" t="s">
        <v>4040</v>
      </c>
      <c r="AJ1" s="28" t="s">
        <v>4041</v>
      </c>
      <c r="AK1" s="28" t="s">
        <v>4042</v>
      </c>
      <c r="AL1" s="25" t="s">
        <v>4043</v>
      </c>
      <c r="AM1" s="25" t="s">
        <v>4044</v>
      </c>
      <c r="AN1" s="25" t="s">
        <v>4045</v>
      </c>
      <c r="AO1" s="25" t="s">
        <v>4046</v>
      </c>
      <c r="AP1" s="25" t="s">
        <v>4047</v>
      </c>
      <c r="AQ1" s="25" t="s">
        <v>4048</v>
      </c>
      <c r="AR1" s="25" t="s">
        <v>4049</v>
      </c>
      <c r="AS1" s="25" t="s">
        <v>4050</v>
      </c>
      <c r="AT1" s="28" t="s">
        <v>4051</v>
      </c>
      <c r="AU1" s="28" t="s">
        <v>4052</v>
      </c>
      <c r="AV1" s="28" t="s">
        <v>4053</v>
      </c>
      <c r="AW1" s="28" t="s">
        <v>4054</v>
      </c>
      <c r="AX1" s="26" t="s">
        <v>35</v>
      </c>
      <c r="AY1" s="26" t="s">
        <v>33</v>
      </c>
      <c r="AZ1" s="26" t="s">
        <v>37</v>
      </c>
      <c r="BA1" s="21" t="s">
        <v>73</v>
      </c>
      <c r="BB1" s="21" t="s">
        <v>775</v>
      </c>
      <c r="BC1" s="21" t="s">
        <v>776</v>
      </c>
      <c r="BD1" s="21" t="s">
        <v>74</v>
      </c>
      <c r="BE1" s="21" t="s">
        <v>1465</v>
      </c>
      <c r="BF1" s="21" t="s">
        <v>1466</v>
      </c>
      <c r="BG1" s="21" t="s">
        <v>777</v>
      </c>
      <c r="BH1" s="21" t="s">
        <v>778</v>
      </c>
      <c r="BI1" s="21" t="s">
        <v>75</v>
      </c>
      <c r="BJ1" s="21" t="s">
        <v>773</v>
      </c>
      <c r="BK1" s="21" t="s">
        <v>774</v>
      </c>
      <c r="BL1" s="21" t="s">
        <v>771</v>
      </c>
      <c r="BM1" s="21" t="s">
        <v>772</v>
      </c>
      <c r="BN1" s="22" t="s">
        <v>76</v>
      </c>
      <c r="BO1" s="22" t="s">
        <v>77</v>
      </c>
      <c r="BP1" s="22" t="s">
        <v>1467</v>
      </c>
      <c r="BQ1" s="22" t="s">
        <v>1468</v>
      </c>
      <c r="BR1" s="22" t="s">
        <v>78</v>
      </c>
      <c r="BS1" s="22" t="s">
        <v>790</v>
      </c>
      <c r="BT1" s="22" t="s">
        <v>1469</v>
      </c>
      <c r="BU1" s="22" t="s">
        <v>1470</v>
      </c>
      <c r="BW1" s="29" t="s">
        <v>1471</v>
      </c>
    </row>
    <row r="2" customFormat="false" ht="15" hidden="false" customHeight="true" outlineLevel="0" collapsed="false">
      <c r="BW2" s="31" t="s">
        <v>1224</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sheetData>
  <autoFilter ref="A1:BU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v>
      </c>
      <c r="O1" s="27" t="s">
        <v>69</v>
      </c>
      <c r="P1" s="25" t="s">
        <v>4055</v>
      </c>
      <c r="Q1" s="25" t="s">
        <v>4056</v>
      </c>
      <c r="R1" s="25" t="s">
        <v>4057</v>
      </c>
      <c r="S1" s="25" t="s">
        <v>4058</v>
      </c>
      <c r="T1" s="25" t="s">
        <v>4059</v>
      </c>
      <c r="U1" s="25" t="s">
        <v>4060</v>
      </c>
      <c r="V1" s="25" t="s">
        <v>4061</v>
      </c>
      <c r="W1" s="25" t="s">
        <v>4062</v>
      </c>
      <c r="X1" s="28" t="s">
        <v>4063</v>
      </c>
      <c r="Y1" s="28" t="s">
        <v>4064</v>
      </c>
      <c r="Z1" s="28" t="s">
        <v>4065</v>
      </c>
      <c r="AA1" s="28" t="s">
        <v>4066</v>
      </c>
      <c r="AB1" s="26" t="s">
        <v>35</v>
      </c>
      <c r="AC1" s="26" t="s">
        <v>33</v>
      </c>
      <c r="AD1" s="26" t="s">
        <v>37</v>
      </c>
      <c r="AE1" s="21" t="s">
        <v>73</v>
      </c>
      <c r="AF1" s="21" t="s">
        <v>775</v>
      </c>
      <c r="AG1" s="21" t="s">
        <v>776</v>
      </c>
      <c r="AH1" s="21" t="s">
        <v>74</v>
      </c>
      <c r="AI1" s="21" t="s">
        <v>1465</v>
      </c>
      <c r="AJ1" s="21" t="s">
        <v>1466</v>
      </c>
      <c r="AK1" s="21" t="s">
        <v>777</v>
      </c>
      <c r="AL1" s="21" t="s">
        <v>778</v>
      </c>
      <c r="AM1" s="21" t="s">
        <v>75</v>
      </c>
      <c r="AN1" s="21" t="s">
        <v>773</v>
      </c>
      <c r="AO1" s="21" t="s">
        <v>774</v>
      </c>
      <c r="AP1" s="21" t="s">
        <v>771</v>
      </c>
      <c r="AQ1" s="21" t="s">
        <v>772</v>
      </c>
      <c r="AR1" s="22" t="s">
        <v>76</v>
      </c>
      <c r="AS1" s="22" t="s">
        <v>77</v>
      </c>
      <c r="AT1" s="22" t="s">
        <v>1467</v>
      </c>
      <c r="AU1" s="22" t="s">
        <v>1468</v>
      </c>
      <c r="AV1" s="22" t="s">
        <v>78</v>
      </c>
      <c r="AW1" s="22" t="s">
        <v>790</v>
      </c>
      <c r="AX1" s="22" t="s">
        <v>1469</v>
      </c>
      <c r="AY1" s="22" t="s">
        <v>1470</v>
      </c>
      <c r="BA1" s="29" t="s">
        <v>1471</v>
      </c>
    </row>
    <row r="2" customFormat="false" ht="15" hidden="false" customHeight="true" outlineLevel="0" collapsed="false">
      <c r="BA2" s="32" t="s">
        <v>1226</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4067</v>
      </c>
      <c r="O1" s="25" t="s">
        <v>4068</v>
      </c>
      <c r="P1" s="25" t="s">
        <v>4069</v>
      </c>
      <c r="Q1" s="25" t="s">
        <v>4070</v>
      </c>
      <c r="R1" s="25" t="s">
        <v>4071</v>
      </c>
      <c r="S1" s="25" t="s">
        <v>4072</v>
      </c>
      <c r="T1" s="25" t="s">
        <v>4073</v>
      </c>
      <c r="U1" s="25" t="s">
        <v>4074</v>
      </c>
      <c r="V1" s="28" t="s">
        <v>4075</v>
      </c>
      <c r="W1" s="28" t="s">
        <v>4076</v>
      </c>
      <c r="X1" s="28" t="s">
        <v>4077</v>
      </c>
      <c r="Y1" s="28" t="s">
        <v>4078</v>
      </c>
      <c r="Z1" s="25" t="s">
        <v>4079</v>
      </c>
      <c r="AA1" s="25" t="s">
        <v>4080</v>
      </c>
      <c r="AB1" s="25" t="s">
        <v>4081</v>
      </c>
      <c r="AC1" s="25" t="s">
        <v>4082</v>
      </c>
      <c r="AD1" s="25" t="s">
        <v>4083</v>
      </c>
      <c r="AE1" s="25" t="s">
        <v>4084</v>
      </c>
      <c r="AF1" s="25" t="s">
        <v>4085</v>
      </c>
      <c r="AG1" s="25" t="s">
        <v>4086</v>
      </c>
      <c r="AH1" s="28" t="s">
        <v>4087</v>
      </c>
      <c r="AI1" s="28" t="s">
        <v>4088</v>
      </c>
      <c r="AJ1" s="28" t="s">
        <v>4089</v>
      </c>
      <c r="AK1" s="28" t="s">
        <v>4090</v>
      </c>
      <c r="AL1" s="25" t="s">
        <v>4091</v>
      </c>
      <c r="AM1" s="25" t="s">
        <v>4092</v>
      </c>
      <c r="AN1" s="25" t="s">
        <v>4093</v>
      </c>
      <c r="AO1" s="25" t="s">
        <v>4094</v>
      </c>
      <c r="AP1" s="25" t="s">
        <v>4095</v>
      </c>
      <c r="AQ1" s="25" t="s">
        <v>4096</v>
      </c>
      <c r="AR1" s="25" t="s">
        <v>4097</v>
      </c>
      <c r="AS1" s="25" t="s">
        <v>4098</v>
      </c>
      <c r="AT1" s="28" t="s">
        <v>4099</v>
      </c>
      <c r="AU1" s="28" t="s">
        <v>4100</v>
      </c>
      <c r="AV1" s="28" t="s">
        <v>4101</v>
      </c>
      <c r="AW1" s="28" t="s">
        <v>4102</v>
      </c>
      <c r="AX1" s="26" t="s">
        <v>35</v>
      </c>
      <c r="AY1" s="26" t="s">
        <v>33</v>
      </c>
      <c r="AZ1" s="26" t="s">
        <v>37</v>
      </c>
      <c r="BA1" s="21" t="s">
        <v>73</v>
      </c>
      <c r="BB1" s="21" t="s">
        <v>775</v>
      </c>
      <c r="BC1" s="21" t="s">
        <v>776</v>
      </c>
      <c r="BD1" s="21" t="s">
        <v>74</v>
      </c>
      <c r="BE1" s="21" t="s">
        <v>1465</v>
      </c>
      <c r="BF1" s="21" t="s">
        <v>1466</v>
      </c>
      <c r="BG1" s="21" t="s">
        <v>777</v>
      </c>
      <c r="BH1" s="21" t="s">
        <v>778</v>
      </c>
      <c r="BI1" s="21" t="s">
        <v>75</v>
      </c>
      <c r="BJ1" s="21" t="s">
        <v>773</v>
      </c>
      <c r="BK1" s="21" t="s">
        <v>774</v>
      </c>
      <c r="BL1" s="21" t="s">
        <v>771</v>
      </c>
      <c r="BM1" s="21" t="s">
        <v>772</v>
      </c>
      <c r="BN1" s="22" t="s">
        <v>76</v>
      </c>
      <c r="BO1" s="22" t="s">
        <v>77</v>
      </c>
      <c r="BP1" s="22" t="s">
        <v>1467</v>
      </c>
      <c r="BQ1" s="22" t="s">
        <v>1468</v>
      </c>
      <c r="BR1" s="22" t="s">
        <v>78</v>
      </c>
      <c r="BS1" s="22" t="s">
        <v>790</v>
      </c>
      <c r="BT1" s="22" t="s">
        <v>1469</v>
      </c>
      <c r="BU1" s="22" t="s">
        <v>1470</v>
      </c>
      <c r="BW1" s="29" t="s">
        <v>1471</v>
      </c>
    </row>
    <row r="2" customFormat="false" ht="15" hidden="false" customHeight="true" outlineLevel="0" collapsed="false">
      <c r="BW2" s="31" t="s">
        <v>1228</v>
      </c>
    </row>
    <row r="3"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4103</v>
      </c>
      <c r="O1" s="25" t="s">
        <v>4104</v>
      </c>
      <c r="P1" s="25" t="s">
        <v>4105</v>
      </c>
      <c r="Q1" s="25" t="s">
        <v>4106</v>
      </c>
      <c r="R1" s="25" t="s">
        <v>4107</v>
      </c>
      <c r="S1" s="25" t="s">
        <v>4108</v>
      </c>
      <c r="T1" s="25" t="s">
        <v>4109</v>
      </c>
      <c r="U1" s="25" t="s">
        <v>4110</v>
      </c>
      <c r="V1" s="28" t="s">
        <v>4111</v>
      </c>
      <c r="W1" s="28" t="s">
        <v>4112</v>
      </c>
      <c r="X1" s="28" t="s">
        <v>4113</v>
      </c>
      <c r="Y1" s="28" t="s">
        <v>4114</v>
      </c>
      <c r="Z1" s="25" t="s">
        <v>4115</v>
      </c>
      <c r="AA1" s="25" t="s">
        <v>4116</v>
      </c>
      <c r="AB1" s="25" t="s">
        <v>4117</v>
      </c>
      <c r="AC1" s="25" t="s">
        <v>4118</v>
      </c>
      <c r="AD1" s="25" t="s">
        <v>4119</v>
      </c>
      <c r="AE1" s="25" t="s">
        <v>4120</v>
      </c>
      <c r="AF1" s="25" t="s">
        <v>4121</v>
      </c>
      <c r="AG1" s="25" t="s">
        <v>4122</v>
      </c>
      <c r="AH1" s="28" t="s">
        <v>4123</v>
      </c>
      <c r="AI1" s="28" t="s">
        <v>4124</v>
      </c>
      <c r="AJ1" s="28" t="s">
        <v>4125</v>
      </c>
      <c r="AK1" s="28" t="s">
        <v>4126</v>
      </c>
      <c r="AL1" s="25" t="s">
        <v>4127</v>
      </c>
      <c r="AM1" s="25" t="s">
        <v>4128</v>
      </c>
      <c r="AN1" s="25" t="s">
        <v>4129</v>
      </c>
      <c r="AO1" s="25" t="s">
        <v>4130</v>
      </c>
      <c r="AP1" s="25" t="s">
        <v>4131</v>
      </c>
      <c r="AQ1" s="25" t="s">
        <v>4132</v>
      </c>
      <c r="AR1" s="25" t="s">
        <v>4133</v>
      </c>
      <c r="AS1" s="25" t="s">
        <v>4134</v>
      </c>
      <c r="AT1" s="28" t="s">
        <v>4135</v>
      </c>
      <c r="AU1" s="28" t="s">
        <v>4136</v>
      </c>
      <c r="AV1" s="28" t="s">
        <v>4137</v>
      </c>
      <c r="AW1" s="28" t="s">
        <v>4138</v>
      </c>
      <c r="AX1" s="26" t="s">
        <v>35</v>
      </c>
      <c r="AY1" s="26" t="s">
        <v>33</v>
      </c>
      <c r="AZ1" s="26" t="s">
        <v>37</v>
      </c>
      <c r="BA1" s="21" t="s">
        <v>73</v>
      </c>
      <c r="BB1" s="21" t="s">
        <v>775</v>
      </c>
      <c r="BC1" s="21" t="s">
        <v>776</v>
      </c>
      <c r="BD1" s="21" t="s">
        <v>74</v>
      </c>
      <c r="BE1" s="21" t="s">
        <v>1465</v>
      </c>
      <c r="BF1" s="21" t="s">
        <v>1466</v>
      </c>
      <c r="BG1" s="21" t="s">
        <v>777</v>
      </c>
      <c r="BH1" s="21" t="s">
        <v>778</v>
      </c>
      <c r="BI1" s="21" t="s">
        <v>75</v>
      </c>
      <c r="BJ1" s="21" t="s">
        <v>773</v>
      </c>
      <c r="BK1" s="21" t="s">
        <v>774</v>
      </c>
      <c r="BL1" s="21" t="s">
        <v>771</v>
      </c>
      <c r="BM1" s="21" t="s">
        <v>772</v>
      </c>
      <c r="BN1" s="22" t="s">
        <v>76</v>
      </c>
      <c r="BO1" s="22" t="s">
        <v>77</v>
      </c>
      <c r="BP1" s="22" t="s">
        <v>1467</v>
      </c>
      <c r="BQ1" s="22" t="s">
        <v>1468</v>
      </c>
      <c r="BR1" s="22" t="s">
        <v>78</v>
      </c>
      <c r="BS1" s="22" t="s">
        <v>790</v>
      </c>
      <c r="BT1" s="22" t="s">
        <v>1469</v>
      </c>
      <c r="BU1" s="22" t="s">
        <v>1470</v>
      </c>
      <c r="BW1" s="29" t="s">
        <v>1471</v>
      </c>
    </row>
    <row r="2" customFormat="false" ht="15" hidden="false" customHeight="true" outlineLevel="0" collapsed="false">
      <c r="BW2" s="31" t="s">
        <v>1230</v>
      </c>
    </row>
    <row r="3" customFormat="false" ht="15" hidden="false" customHeight="true" outlineLevel="0" collapsed="false"/>
    <row r="4"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4139</v>
      </c>
      <c r="O1" s="25" t="s">
        <v>4140</v>
      </c>
      <c r="P1" s="25" t="s">
        <v>4141</v>
      </c>
      <c r="Q1" s="25" t="s">
        <v>4142</v>
      </c>
      <c r="R1" s="25" t="s">
        <v>4143</v>
      </c>
      <c r="S1" s="25" t="s">
        <v>4144</v>
      </c>
      <c r="T1" s="25" t="s">
        <v>4145</v>
      </c>
      <c r="U1" s="25" t="s">
        <v>4146</v>
      </c>
      <c r="V1" s="28" t="s">
        <v>4147</v>
      </c>
      <c r="W1" s="28" t="s">
        <v>4148</v>
      </c>
      <c r="X1" s="28" t="s">
        <v>4149</v>
      </c>
      <c r="Y1" s="28" t="s">
        <v>4150</v>
      </c>
      <c r="Z1" s="25" t="s">
        <v>4151</v>
      </c>
      <c r="AA1" s="25" t="s">
        <v>4152</v>
      </c>
      <c r="AB1" s="25" t="s">
        <v>4153</v>
      </c>
      <c r="AC1" s="25" t="s">
        <v>4154</v>
      </c>
      <c r="AD1" s="25" t="s">
        <v>4155</v>
      </c>
      <c r="AE1" s="25" t="s">
        <v>4156</v>
      </c>
      <c r="AF1" s="25" t="s">
        <v>4157</v>
      </c>
      <c r="AG1" s="25" t="s">
        <v>4158</v>
      </c>
      <c r="AH1" s="28" t="s">
        <v>4159</v>
      </c>
      <c r="AI1" s="28" t="s">
        <v>4160</v>
      </c>
      <c r="AJ1" s="28" t="s">
        <v>4161</v>
      </c>
      <c r="AK1" s="28" t="s">
        <v>4162</v>
      </c>
      <c r="AL1" s="25" t="s">
        <v>4163</v>
      </c>
      <c r="AM1" s="25" t="s">
        <v>4164</v>
      </c>
      <c r="AN1" s="25" t="s">
        <v>4165</v>
      </c>
      <c r="AO1" s="25" t="s">
        <v>4166</v>
      </c>
      <c r="AP1" s="25" t="s">
        <v>4167</v>
      </c>
      <c r="AQ1" s="25" t="s">
        <v>4168</v>
      </c>
      <c r="AR1" s="25" t="s">
        <v>4169</v>
      </c>
      <c r="AS1" s="25" t="s">
        <v>4170</v>
      </c>
      <c r="AT1" s="28" t="s">
        <v>4171</v>
      </c>
      <c r="AU1" s="28" t="s">
        <v>4172</v>
      </c>
      <c r="AV1" s="28" t="s">
        <v>4173</v>
      </c>
      <c r="AW1" s="28" t="s">
        <v>4174</v>
      </c>
      <c r="AX1" s="26" t="s">
        <v>35</v>
      </c>
      <c r="AY1" s="26" t="s">
        <v>33</v>
      </c>
      <c r="AZ1" s="26" t="s">
        <v>37</v>
      </c>
      <c r="BA1" s="21" t="s">
        <v>73</v>
      </c>
      <c r="BB1" s="21" t="s">
        <v>775</v>
      </c>
      <c r="BC1" s="21" t="s">
        <v>776</v>
      </c>
      <c r="BD1" s="21" t="s">
        <v>74</v>
      </c>
      <c r="BE1" s="21" t="s">
        <v>1465</v>
      </c>
      <c r="BF1" s="21" t="s">
        <v>1466</v>
      </c>
      <c r="BG1" s="21" t="s">
        <v>777</v>
      </c>
      <c r="BH1" s="21" t="s">
        <v>778</v>
      </c>
      <c r="BI1" s="21" t="s">
        <v>75</v>
      </c>
      <c r="BJ1" s="21" t="s">
        <v>773</v>
      </c>
      <c r="BK1" s="21" t="s">
        <v>774</v>
      </c>
      <c r="BL1" s="21" t="s">
        <v>771</v>
      </c>
      <c r="BM1" s="21" t="s">
        <v>772</v>
      </c>
      <c r="BN1" s="22" t="s">
        <v>76</v>
      </c>
      <c r="BO1" s="22" t="s">
        <v>77</v>
      </c>
      <c r="BP1" s="22" t="s">
        <v>1467</v>
      </c>
      <c r="BQ1" s="22" t="s">
        <v>1468</v>
      </c>
      <c r="BR1" s="22" t="s">
        <v>78</v>
      </c>
      <c r="BS1" s="22" t="s">
        <v>790</v>
      </c>
      <c r="BT1" s="22" t="s">
        <v>1469</v>
      </c>
      <c r="BU1" s="22" t="s">
        <v>1470</v>
      </c>
      <c r="BW1" s="29" t="s">
        <v>1471</v>
      </c>
    </row>
    <row r="2" customFormat="false" ht="15" hidden="false" customHeight="true" outlineLevel="0" collapsed="false">
      <c r="BW2" s="31" t="s">
        <v>1232</v>
      </c>
    </row>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4175</v>
      </c>
      <c r="O1" s="25" t="s">
        <v>4176</v>
      </c>
      <c r="P1" s="25" t="s">
        <v>4177</v>
      </c>
      <c r="Q1" s="25" t="s">
        <v>4178</v>
      </c>
      <c r="R1" s="25" t="s">
        <v>4179</v>
      </c>
      <c r="S1" s="25" t="s">
        <v>4180</v>
      </c>
      <c r="T1" s="25" t="s">
        <v>4181</v>
      </c>
      <c r="U1" s="25" t="s">
        <v>4182</v>
      </c>
      <c r="V1" s="28" t="s">
        <v>4183</v>
      </c>
      <c r="W1" s="28" t="s">
        <v>4184</v>
      </c>
      <c r="X1" s="28" t="s">
        <v>4185</v>
      </c>
      <c r="Y1" s="28" t="s">
        <v>4186</v>
      </c>
      <c r="Z1" s="25" t="s">
        <v>4187</v>
      </c>
      <c r="AA1" s="25" t="s">
        <v>4188</v>
      </c>
      <c r="AB1" s="25" t="s">
        <v>4189</v>
      </c>
      <c r="AC1" s="25" t="s">
        <v>4190</v>
      </c>
      <c r="AD1" s="25" t="s">
        <v>4191</v>
      </c>
      <c r="AE1" s="25" t="s">
        <v>4192</v>
      </c>
      <c r="AF1" s="25" t="s">
        <v>4193</v>
      </c>
      <c r="AG1" s="25" t="s">
        <v>4194</v>
      </c>
      <c r="AH1" s="28" t="s">
        <v>4195</v>
      </c>
      <c r="AI1" s="28" t="s">
        <v>4196</v>
      </c>
      <c r="AJ1" s="28" t="s">
        <v>4197</v>
      </c>
      <c r="AK1" s="28" t="s">
        <v>4198</v>
      </c>
      <c r="AL1" s="25" t="s">
        <v>4199</v>
      </c>
      <c r="AM1" s="25" t="s">
        <v>4200</v>
      </c>
      <c r="AN1" s="25" t="s">
        <v>4201</v>
      </c>
      <c r="AO1" s="25" t="s">
        <v>4202</v>
      </c>
      <c r="AP1" s="25" t="s">
        <v>4203</v>
      </c>
      <c r="AQ1" s="25" t="s">
        <v>4204</v>
      </c>
      <c r="AR1" s="25" t="s">
        <v>4205</v>
      </c>
      <c r="AS1" s="25" t="s">
        <v>4206</v>
      </c>
      <c r="AT1" s="28" t="s">
        <v>4207</v>
      </c>
      <c r="AU1" s="28" t="s">
        <v>4208</v>
      </c>
      <c r="AV1" s="28" t="s">
        <v>4209</v>
      </c>
      <c r="AW1" s="28" t="s">
        <v>4210</v>
      </c>
      <c r="AX1" s="26" t="s">
        <v>35</v>
      </c>
      <c r="AY1" s="26" t="s">
        <v>33</v>
      </c>
      <c r="AZ1" s="26" t="s">
        <v>37</v>
      </c>
      <c r="BA1" s="21" t="s">
        <v>73</v>
      </c>
      <c r="BB1" s="21" t="s">
        <v>775</v>
      </c>
      <c r="BC1" s="21" t="s">
        <v>776</v>
      </c>
      <c r="BD1" s="21" t="s">
        <v>74</v>
      </c>
      <c r="BE1" s="21" t="s">
        <v>1465</v>
      </c>
      <c r="BF1" s="21" t="s">
        <v>1466</v>
      </c>
      <c r="BG1" s="21" t="s">
        <v>777</v>
      </c>
      <c r="BH1" s="21" t="s">
        <v>778</v>
      </c>
      <c r="BI1" s="21" t="s">
        <v>75</v>
      </c>
      <c r="BJ1" s="21" t="s">
        <v>773</v>
      </c>
      <c r="BK1" s="21" t="s">
        <v>774</v>
      </c>
      <c r="BL1" s="21" t="s">
        <v>771</v>
      </c>
      <c r="BM1" s="21" t="s">
        <v>772</v>
      </c>
      <c r="BN1" s="22" t="s">
        <v>76</v>
      </c>
      <c r="BO1" s="22" t="s">
        <v>77</v>
      </c>
      <c r="BP1" s="22" t="s">
        <v>1467</v>
      </c>
      <c r="BQ1" s="22" t="s">
        <v>1468</v>
      </c>
      <c r="BR1" s="22" t="s">
        <v>78</v>
      </c>
      <c r="BS1" s="22" t="s">
        <v>790</v>
      </c>
      <c r="BT1" s="22" t="s">
        <v>1469</v>
      </c>
      <c r="BU1" s="22" t="s">
        <v>1470</v>
      </c>
      <c r="BW1" s="29" t="s">
        <v>1471</v>
      </c>
    </row>
    <row r="2" customFormat="false" ht="15" hidden="false" customHeight="true" outlineLevel="0" collapsed="false">
      <c r="BW2" s="31" t="s">
        <v>1234</v>
      </c>
    </row>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4211</v>
      </c>
      <c r="O1" s="25" t="s">
        <v>4212</v>
      </c>
      <c r="P1" s="25" t="s">
        <v>4213</v>
      </c>
      <c r="Q1" s="25" t="s">
        <v>4214</v>
      </c>
      <c r="R1" s="25" t="s">
        <v>4215</v>
      </c>
      <c r="S1" s="25" t="s">
        <v>4216</v>
      </c>
      <c r="T1" s="25" t="s">
        <v>4217</v>
      </c>
      <c r="U1" s="25" t="s">
        <v>4218</v>
      </c>
      <c r="V1" s="28" t="s">
        <v>4219</v>
      </c>
      <c r="W1" s="28" t="s">
        <v>4220</v>
      </c>
      <c r="X1" s="28" t="s">
        <v>4221</v>
      </c>
      <c r="Y1" s="28" t="s">
        <v>4222</v>
      </c>
      <c r="Z1" s="25" t="s">
        <v>4223</v>
      </c>
      <c r="AA1" s="25" t="s">
        <v>4224</v>
      </c>
      <c r="AB1" s="25" t="s">
        <v>4225</v>
      </c>
      <c r="AC1" s="25" t="s">
        <v>4226</v>
      </c>
      <c r="AD1" s="25" t="s">
        <v>4227</v>
      </c>
      <c r="AE1" s="25" t="s">
        <v>4228</v>
      </c>
      <c r="AF1" s="25" t="s">
        <v>4229</v>
      </c>
      <c r="AG1" s="25" t="s">
        <v>4230</v>
      </c>
      <c r="AH1" s="28" t="s">
        <v>4231</v>
      </c>
      <c r="AI1" s="28" t="s">
        <v>4232</v>
      </c>
      <c r="AJ1" s="28" t="s">
        <v>4233</v>
      </c>
      <c r="AK1" s="28" t="s">
        <v>4234</v>
      </c>
      <c r="AL1" s="25" t="s">
        <v>4235</v>
      </c>
      <c r="AM1" s="25" t="s">
        <v>4236</v>
      </c>
      <c r="AN1" s="25" t="s">
        <v>4237</v>
      </c>
      <c r="AO1" s="25" t="s">
        <v>4238</v>
      </c>
      <c r="AP1" s="25" t="s">
        <v>4239</v>
      </c>
      <c r="AQ1" s="25" t="s">
        <v>4240</v>
      </c>
      <c r="AR1" s="25" t="s">
        <v>4241</v>
      </c>
      <c r="AS1" s="25" t="s">
        <v>4242</v>
      </c>
      <c r="AT1" s="28" t="s">
        <v>4243</v>
      </c>
      <c r="AU1" s="28" t="s">
        <v>4244</v>
      </c>
      <c r="AV1" s="28" t="s">
        <v>4245</v>
      </c>
      <c r="AW1" s="28" t="s">
        <v>4246</v>
      </c>
      <c r="AX1" s="26" t="s">
        <v>35</v>
      </c>
      <c r="AY1" s="26" t="s">
        <v>33</v>
      </c>
      <c r="AZ1" s="26" t="s">
        <v>37</v>
      </c>
      <c r="BA1" s="21" t="s">
        <v>73</v>
      </c>
      <c r="BB1" s="21" t="s">
        <v>775</v>
      </c>
      <c r="BC1" s="21" t="s">
        <v>776</v>
      </c>
      <c r="BD1" s="21" t="s">
        <v>74</v>
      </c>
      <c r="BE1" s="21" t="s">
        <v>1465</v>
      </c>
      <c r="BF1" s="21" t="s">
        <v>1466</v>
      </c>
      <c r="BG1" s="21" t="s">
        <v>777</v>
      </c>
      <c r="BH1" s="21" t="s">
        <v>778</v>
      </c>
      <c r="BI1" s="21" t="s">
        <v>75</v>
      </c>
      <c r="BJ1" s="21" t="s">
        <v>773</v>
      </c>
      <c r="BK1" s="21" t="s">
        <v>774</v>
      </c>
      <c r="BL1" s="21" t="s">
        <v>771</v>
      </c>
      <c r="BM1" s="21" t="s">
        <v>772</v>
      </c>
      <c r="BN1" s="22" t="s">
        <v>76</v>
      </c>
      <c r="BO1" s="22" t="s">
        <v>77</v>
      </c>
      <c r="BP1" s="22" t="s">
        <v>1467</v>
      </c>
      <c r="BQ1" s="22" t="s">
        <v>1468</v>
      </c>
      <c r="BR1" s="22" t="s">
        <v>78</v>
      </c>
      <c r="BS1" s="22" t="s">
        <v>790</v>
      </c>
      <c r="BT1" s="22" t="s">
        <v>1469</v>
      </c>
      <c r="BU1" s="22" t="s">
        <v>1470</v>
      </c>
      <c r="BW1" s="29" t="s">
        <v>1471</v>
      </c>
    </row>
    <row r="2" customFormat="false" ht="15" hidden="false" customHeight="true" outlineLevel="0" collapsed="false">
      <c r="BW2" s="31" t="s">
        <v>701</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4247</v>
      </c>
      <c r="O1" s="25" t="s">
        <v>4248</v>
      </c>
      <c r="P1" s="25" t="s">
        <v>4249</v>
      </c>
      <c r="Q1" s="25" t="s">
        <v>4250</v>
      </c>
      <c r="R1" s="25" t="s">
        <v>4251</v>
      </c>
      <c r="S1" s="25" t="s">
        <v>4252</v>
      </c>
      <c r="T1" s="25" t="s">
        <v>4253</v>
      </c>
      <c r="U1" s="25" t="s">
        <v>4254</v>
      </c>
      <c r="V1" s="28" t="s">
        <v>4255</v>
      </c>
      <c r="W1" s="28" t="s">
        <v>4256</v>
      </c>
      <c r="X1" s="28" t="s">
        <v>4257</v>
      </c>
      <c r="Y1" s="28" t="s">
        <v>4258</v>
      </c>
      <c r="Z1" s="25" t="s">
        <v>4259</v>
      </c>
      <c r="AA1" s="25" t="s">
        <v>4260</v>
      </c>
      <c r="AB1" s="25" t="s">
        <v>4261</v>
      </c>
      <c r="AC1" s="25" t="s">
        <v>4262</v>
      </c>
      <c r="AD1" s="25" t="s">
        <v>4263</v>
      </c>
      <c r="AE1" s="25" t="s">
        <v>4264</v>
      </c>
      <c r="AF1" s="25" t="s">
        <v>4265</v>
      </c>
      <c r="AG1" s="25" t="s">
        <v>4266</v>
      </c>
      <c r="AH1" s="28" t="s">
        <v>4267</v>
      </c>
      <c r="AI1" s="28" t="s">
        <v>4268</v>
      </c>
      <c r="AJ1" s="28" t="s">
        <v>4269</v>
      </c>
      <c r="AK1" s="28" t="s">
        <v>4270</v>
      </c>
      <c r="AL1" s="25" t="s">
        <v>4271</v>
      </c>
      <c r="AM1" s="25" t="s">
        <v>4272</v>
      </c>
      <c r="AN1" s="25" t="s">
        <v>4273</v>
      </c>
      <c r="AO1" s="25" t="s">
        <v>4274</v>
      </c>
      <c r="AP1" s="25" t="s">
        <v>4275</v>
      </c>
      <c r="AQ1" s="25" t="s">
        <v>4276</v>
      </c>
      <c r="AR1" s="25" t="s">
        <v>4277</v>
      </c>
      <c r="AS1" s="25" t="s">
        <v>4278</v>
      </c>
      <c r="AT1" s="28" t="s">
        <v>4279</v>
      </c>
      <c r="AU1" s="28" t="s">
        <v>4280</v>
      </c>
      <c r="AV1" s="28" t="s">
        <v>4281</v>
      </c>
      <c r="AW1" s="28" t="s">
        <v>4282</v>
      </c>
      <c r="AX1" s="26" t="s">
        <v>35</v>
      </c>
      <c r="AY1" s="26" t="s">
        <v>33</v>
      </c>
      <c r="AZ1" s="26" t="s">
        <v>37</v>
      </c>
      <c r="BA1" s="21" t="s">
        <v>73</v>
      </c>
      <c r="BB1" s="21" t="s">
        <v>775</v>
      </c>
      <c r="BC1" s="21" t="s">
        <v>776</v>
      </c>
      <c r="BD1" s="21" t="s">
        <v>74</v>
      </c>
      <c r="BE1" s="21" t="s">
        <v>1465</v>
      </c>
      <c r="BF1" s="21" t="s">
        <v>1466</v>
      </c>
      <c r="BG1" s="21" t="s">
        <v>777</v>
      </c>
      <c r="BH1" s="21" t="s">
        <v>778</v>
      </c>
      <c r="BI1" s="21" t="s">
        <v>75</v>
      </c>
      <c r="BJ1" s="21" t="s">
        <v>773</v>
      </c>
      <c r="BK1" s="21" t="s">
        <v>774</v>
      </c>
      <c r="BL1" s="21" t="s">
        <v>771</v>
      </c>
      <c r="BM1" s="21" t="s">
        <v>772</v>
      </c>
      <c r="BN1" s="22" t="s">
        <v>76</v>
      </c>
      <c r="BO1" s="22" t="s">
        <v>77</v>
      </c>
      <c r="BP1" s="22" t="s">
        <v>1467</v>
      </c>
      <c r="BQ1" s="22" t="s">
        <v>1468</v>
      </c>
      <c r="BR1" s="22" t="s">
        <v>78</v>
      </c>
      <c r="BS1" s="22" t="s">
        <v>790</v>
      </c>
      <c r="BT1" s="22" t="s">
        <v>1469</v>
      </c>
      <c r="BU1" s="22" t="s">
        <v>1470</v>
      </c>
      <c r="BW1" s="29" t="s">
        <v>1471</v>
      </c>
    </row>
    <row r="2" customFormat="false" ht="15" hidden="false" customHeight="true" outlineLevel="0" collapsed="false">
      <c r="BW2" s="31" t="s">
        <v>1236</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sheetData>
  <autoFilter ref="A1:BU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4283</v>
      </c>
      <c r="O1" s="25" t="s">
        <v>4284</v>
      </c>
      <c r="P1" s="25" t="s">
        <v>4285</v>
      </c>
      <c r="Q1" s="25" t="s">
        <v>4286</v>
      </c>
      <c r="R1" s="25" t="s">
        <v>4287</v>
      </c>
      <c r="S1" s="25" t="s">
        <v>4288</v>
      </c>
      <c r="T1" s="25" t="s">
        <v>4289</v>
      </c>
      <c r="U1" s="25" t="s">
        <v>4290</v>
      </c>
      <c r="V1" s="28" t="s">
        <v>4291</v>
      </c>
      <c r="W1" s="28" t="s">
        <v>4292</v>
      </c>
      <c r="X1" s="28" t="s">
        <v>4293</v>
      </c>
      <c r="Y1" s="28" t="s">
        <v>4294</v>
      </c>
      <c r="Z1" s="25" t="s">
        <v>3626</v>
      </c>
      <c r="AA1" s="26" t="s">
        <v>35</v>
      </c>
      <c r="AB1" s="26" t="s">
        <v>33</v>
      </c>
      <c r="AC1" s="26" t="s">
        <v>37</v>
      </c>
      <c r="AD1" s="21" t="s">
        <v>73</v>
      </c>
      <c r="AE1" s="21" t="s">
        <v>775</v>
      </c>
      <c r="AF1" s="21" t="s">
        <v>776</v>
      </c>
      <c r="AG1" s="21" t="s">
        <v>74</v>
      </c>
      <c r="AH1" s="21" t="s">
        <v>1465</v>
      </c>
      <c r="AI1" s="21" t="s">
        <v>1466</v>
      </c>
      <c r="AJ1" s="21" t="s">
        <v>777</v>
      </c>
      <c r="AK1" s="21" t="s">
        <v>778</v>
      </c>
      <c r="AL1" s="21" t="s">
        <v>75</v>
      </c>
      <c r="AM1" s="21" t="s">
        <v>773</v>
      </c>
      <c r="AN1" s="21" t="s">
        <v>774</v>
      </c>
      <c r="AO1" s="21" t="s">
        <v>771</v>
      </c>
      <c r="AP1" s="21" t="s">
        <v>772</v>
      </c>
      <c r="AQ1" s="22" t="s">
        <v>76</v>
      </c>
      <c r="AR1" s="22" t="s">
        <v>77</v>
      </c>
      <c r="AS1" s="22" t="s">
        <v>1467</v>
      </c>
      <c r="AT1" s="22" t="s">
        <v>1468</v>
      </c>
      <c r="AU1" s="22" t="s">
        <v>78</v>
      </c>
      <c r="AV1" s="22" t="s">
        <v>790</v>
      </c>
      <c r="AW1" s="22" t="s">
        <v>1469</v>
      </c>
      <c r="AX1" s="22" t="s">
        <v>1470</v>
      </c>
      <c r="AZ1" s="29" t="s">
        <v>1471</v>
      </c>
    </row>
    <row r="2" customFormat="false" ht="15" hidden="false" customHeight="true" outlineLevel="0" collapsed="false">
      <c r="AZ2" s="31" t="s">
        <v>1238</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4295</v>
      </c>
      <c r="O1" s="25" t="s">
        <v>4296</v>
      </c>
      <c r="P1" s="25" t="s">
        <v>4297</v>
      </c>
      <c r="Q1" s="25" t="s">
        <v>4298</v>
      </c>
      <c r="R1" s="25" t="s">
        <v>4299</v>
      </c>
      <c r="S1" s="25" t="s">
        <v>4300</v>
      </c>
      <c r="T1" s="25" t="s">
        <v>4301</v>
      </c>
      <c r="U1" s="25" t="s">
        <v>4302</v>
      </c>
      <c r="V1" s="28" t="s">
        <v>4303</v>
      </c>
      <c r="W1" s="28" t="s">
        <v>4304</v>
      </c>
      <c r="X1" s="28" t="s">
        <v>4305</v>
      </c>
      <c r="Y1" s="28" t="s">
        <v>4306</v>
      </c>
      <c r="Z1" s="25" t="s">
        <v>3626</v>
      </c>
      <c r="AA1" s="26" t="s">
        <v>35</v>
      </c>
      <c r="AB1" s="26" t="s">
        <v>33</v>
      </c>
      <c r="AC1" s="26" t="s">
        <v>37</v>
      </c>
      <c r="AD1" s="21" t="s">
        <v>73</v>
      </c>
      <c r="AE1" s="21" t="s">
        <v>775</v>
      </c>
      <c r="AF1" s="21" t="s">
        <v>776</v>
      </c>
      <c r="AG1" s="21" t="s">
        <v>74</v>
      </c>
      <c r="AH1" s="21" t="s">
        <v>1465</v>
      </c>
      <c r="AI1" s="21" t="s">
        <v>1466</v>
      </c>
      <c r="AJ1" s="21" t="s">
        <v>777</v>
      </c>
      <c r="AK1" s="21" t="s">
        <v>778</v>
      </c>
      <c r="AL1" s="21" t="s">
        <v>75</v>
      </c>
      <c r="AM1" s="21" t="s">
        <v>773</v>
      </c>
      <c r="AN1" s="21" t="s">
        <v>774</v>
      </c>
      <c r="AO1" s="21" t="s">
        <v>771</v>
      </c>
      <c r="AP1" s="21" t="s">
        <v>772</v>
      </c>
      <c r="AQ1" s="22" t="s">
        <v>76</v>
      </c>
      <c r="AR1" s="22" t="s">
        <v>77</v>
      </c>
      <c r="AS1" s="22" t="s">
        <v>1467</v>
      </c>
      <c r="AT1" s="22" t="s">
        <v>1468</v>
      </c>
      <c r="AU1" s="22" t="s">
        <v>78</v>
      </c>
      <c r="AV1" s="22" t="s">
        <v>790</v>
      </c>
      <c r="AW1" s="22" t="s">
        <v>1469</v>
      </c>
      <c r="AX1" s="22" t="s">
        <v>1470</v>
      </c>
      <c r="AZ1" s="29" t="s">
        <v>1471</v>
      </c>
    </row>
    <row r="2" customFormat="false" ht="15" hidden="false" customHeight="true" outlineLevel="0" collapsed="false">
      <c r="AZ2" s="31" t="s">
        <v>1240</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4307</v>
      </c>
      <c r="O1" s="25" t="s">
        <v>4308</v>
      </c>
      <c r="P1" s="25" t="s">
        <v>4309</v>
      </c>
      <c r="Q1" s="25" t="s">
        <v>4310</v>
      </c>
      <c r="R1" s="25" t="s">
        <v>4311</v>
      </c>
      <c r="S1" s="25" t="s">
        <v>4312</v>
      </c>
      <c r="T1" s="25" t="s">
        <v>4313</v>
      </c>
      <c r="U1" s="25" t="s">
        <v>4314</v>
      </c>
      <c r="V1" s="28" t="s">
        <v>4315</v>
      </c>
      <c r="W1" s="28" t="s">
        <v>4316</v>
      </c>
      <c r="X1" s="28" t="s">
        <v>4317</v>
      </c>
      <c r="Y1" s="28" t="s">
        <v>4318</v>
      </c>
      <c r="Z1" s="25" t="s">
        <v>3626</v>
      </c>
      <c r="AA1" s="26" t="s">
        <v>35</v>
      </c>
      <c r="AB1" s="26" t="s">
        <v>33</v>
      </c>
      <c r="AC1" s="26" t="s">
        <v>37</v>
      </c>
      <c r="AD1" s="21" t="s">
        <v>73</v>
      </c>
      <c r="AE1" s="21" t="s">
        <v>775</v>
      </c>
      <c r="AF1" s="21" t="s">
        <v>776</v>
      </c>
      <c r="AG1" s="21" t="s">
        <v>74</v>
      </c>
      <c r="AH1" s="21" t="s">
        <v>1465</v>
      </c>
      <c r="AI1" s="21" t="s">
        <v>1466</v>
      </c>
      <c r="AJ1" s="21" t="s">
        <v>777</v>
      </c>
      <c r="AK1" s="21" t="s">
        <v>778</v>
      </c>
      <c r="AL1" s="21" t="s">
        <v>75</v>
      </c>
      <c r="AM1" s="21" t="s">
        <v>773</v>
      </c>
      <c r="AN1" s="21" t="s">
        <v>774</v>
      </c>
      <c r="AO1" s="21" t="s">
        <v>771</v>
      </c>
      <c r="AP1" s="21" t="s">
        <v>772</v>
      </c>
      <c r="AQ1" s="22" t="s">
        <v>76</v>
      </c>
      <c r="AR1" s="22" t="s">
        <v>77</v>
      </c>
      <c r="AS1" s="22" t="s">
        <v>1467</v>
      </c>
      <c r="AT1" s="22" t="s">
        <v>1468</v>
      </c>
      <c r="AU1" s="22" t="s">
        <v>78</v>
      </c>
      <c r="AV1" s="22" t="s">
        <v>790</v>
      </c>
      <c r="AW1" s="22" t="s">
        <v>1469</v>
      </c>
      <c r="AX1" s="22" t="s">
        <v>1470</v>
      </c>
      <c r="AZ1" s="29" t="s">
        <v>1471</v>
      </c>
    </row>
    <row r="2" customFormat="false" ht="15" hidden="false" customHeight="true" outlineLevel="0" collapsed="false">
      <c r="AZ2" s="31" t="s">
        <v>1242</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4319</v>
      </c>
      <c r="O1" s="25" t="s">
        <v>4320</v>
      </c>
      <c r="P1" s="25" t="s">
        <v>4321</v>
      </c>
      <c r="Q1" s="25" t="s">
        <v>4322</v>
      </c>
      <c r="R1" s="25" t="s">
        <v>4323</v>
      </c>
      <c r="S1" s="25" t="s">
        <v>4324</v>
      </c>
      <c r="T1" s="25" t="s">
        <v>4325</v>
      </c>
      <c r="U1" s="25" t="s">
        <v>4326</v>
      </c>
      <c r="V1" s="28" t="s">
        <v>4327</v>
      </c>
      <c r="W1" s="28" t="s">
        <v>4328</v>
      </c>
      <c r="X1" s="28" t="s">
        <v>4329</v>
      </c>
      <c r="Y1" s="28" t="s">
        <v>4330</v>
      </c>
      <c r="Z1" s="25" t="s">
        <v>3626</v>
      </c>
      <c r="AA1" s="26" t="s">
        <v>35</v>
      </c>
      <c r="AB1" s="26" t="s">
        <v>33</v>
      </c>
      <c r="AC1" s="26" t="s">
        <v>37</v>
      </c>
      <c r="AD1" s="21" t="s">
        <v>73</v>
      </c>
      <c r="AE1" s="21" t="s">
        <v>775</v>
      </c>
      <c r="AF1" s="21" t="s">
        <v>776</v>
      </c>
      <c r="AG1" s="21" t="s">
        <v>74</v>
      </c>
      <c r="AH1" s="21" t="s">
        <v>1465</v>
      </c>
      <c r="AI1" s="21" t="s">
        <v>1466</v>
      </c>
      <c r="AJ1" s="21" t="s">
        <v>777</v>
      </c>
      <c r="AK1" s="21" t="s">
        <v>778</v>
      </c>
      <c r="AL1" s="21" t="s">
        <v>75</v>
      </c>
      <c r="AM1" s="21" t="s">
        <v>773</v>
      </c>
      <c r="AN1" s="21" t="s">
        <v>774</v>
      </c>
      <c r="AO1" s="21" t="s">
        <v>771</v>
      </c>
      <c r="AP1" s="21" t="s">
        <v>772</v>
      </c>
      <c r="AQ1" s="22" t="s">
        <v>76</v>
      </c>
      <c r="AR1" s="22" t="s">
        <v>77</v>
      </c>
      <c r="AS1" s="22" t="s">
        <v>1467</v>
      </c>
      <c r="AT1" s="22" t="s">
        <v>1468</v>
      </c>
      <c r="AU1" s="22" t="s">
        <v>78</v>
      </c>
      <c r="AV1" s="22" t="s">
        <v>790</v>
      </c>
      <c r="AW1" s="22" t="s">
        <v>1469</v>
      </c>
      <c r="AX1" s="22" t="s">
        <v>1470</v>
      </c>
      <c r="AZ1" s="29" t="s">
        <v>1471</v>
      </c>
    </row>
    <row r="2" customFormat="false" ht="15" hidden="false" customHeight="true" outlineLevel="0" collapsed="false">
      <c r="AZ2" s="31" t="s">
        <v>1244</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5" t="s">
        <v>4331</v>
      </c>
      <c r="O1" s="25" t="s">
        <v>4332</v>
      </c>
      <c r="P1" s="25" t="s">
        <v>4333</v>
      </c>
      <c r="Q1" s="25" t="s">
        <v>4334</v>
      </c>
      <c r="R1" s="25" t="s">
        <v>4335</v>
      </c>
      <c r="S1" s="25" t="s">
        <v>4336</v>
      </c>
      <c r="T1" s="25" t="s">
        <v>4337</v>
      </c>
      <c r="U1" s="25" t="s">
        <v>4338</v>
      </c>
      <c r="V1" s="28" t="s">
        <v>4339</v>
      </c>
      <c r="W1" s="28" t="s">
        <v>4340</v>
      </c>
      <c r="X1" s="28" t="s">
        <v>4341</v>
      </c>
      <c r="Y1" s="28" t="s">
        <v>4342</v>
      </c>
      <c r="Z1" s="25" t="s">
        <v>3626</v>
      </c>
      <c r="AA1" s="26" t="s">
        <v>35</v>
      </c>
      <c r="AB1" s="26" t="s">
        <v>33</v>
      </c>
      <c r="AC1" s="26" t="s">
        <v>37</v>
      </c>
      <c r="AD1" s="21" t="s">
        <v>73</v>
      </c>
      <c r="AE1" s="21" t="s">
        <v>775</v>
      </c>
      <c r="AF1" s="21" t="s">
        <v>776</v>
      </c>
      <c r="AG1" s="21" t="s">
        <v>74</v>
      </c>
      <c r="AH1" s="21" t="s">
        <v>1465</v>
      </c>
      <c r="AI1" s="21" t="s">
        <v>1466</v>
      </c>
      <c r="AJ1" s="21" t="s">
        <v>777</v>
      </c>
      <c r="AK1" s="21" t="s">
        <v>778</v>
      </c>
      <c r="AL1" s="21" t="s">
        <v>75</v>
      </c>
      <c r="AM1" s="21" t="s">
        <v>773</v>
      </c>
      <c r="AN1" s="21" t="s">
        <v>774</v>
      </c>
      <c r="AO1" s="21" t="s">
        <v>771</v>
      </c>
      <c r="AP1" s="21" t="s">
        <v>772</v>
      </c>
      <c r="AQ1" s="22" t="s">
        <v>76</v>
      </c>
      <c r="AR1" s="22" t="s">
        <v>77</v>
      </c>
      <c r="AS1" s="22" t="s">
        <v>1467</v>
      </c>
      <c r="AT1" s="22" t="s">
        <v>1468</v>
      </c>
      <c r="AU1" s="22" t="s">
        <v>78</v>
      </c>
      <c r="AV1" s="22" t="s">
        <v>790</v>
      </c>
      <c r="AW1" s="22" t="s">
        <v>1469</v>
      </c>
      <c r="AX1" s="22" t="s">
        <v>1470</v>
      </c>
      <c r="AZ1" s="29" t="s">
        <v>1471</v>
      </c>
    </row>
    <row r="2" customFormat="false" ht="15" hidden="false" customHeight="true" outlineLevel="0" collapsed="false">
      <c r="AZ2" s="31" t="s">
        <v>1246</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5" t="s">
        <v>55</v>
      </c>
      <c r="B1" s="35" t="s">
        <v>56</v>
      </c>
      <c r="C1" s="35" t="s">
        <v>57</v>
      </c>
      <c r="D1" s="35" t="s">
        <v>58</v>
      </c>
      <c r="E1" s="35" t="s">
        <v>59</v>
      </c>
      <c r="F1" s="35" t="s">
        <v>60</v>
      </c>
      <c r="G1" s="35" t="s">
        <v>61</v>
      </c>
      <c r="H1" s="35" t="s">
        <v>62</v>
      </c>
      <c r="I1" s="35" t="s">
        <v>63</v>
      </c>
      <c r="J1" s="35" t="s">
        <v>64</v>
      </c>
      <c r="K1" s="35" t="s">
        <v>65</v>
      </c>
      <c r="L1" s="35" t="s">
        <v>66</v>
      </c>
      <c r="M1" s="35" t="s">
        <v>67</v>
      </c>
      <c r="N1" s="36" t="s">
        <v>68</v>
      </c>
      <c r="O1" s="36" t="s">
        <v>69</v>
      </c>
      <c r="P1" s="36" t="s">
        <v>4343</v>
      </c>
      <c r="Q1" s="37" t="s">
        <v>2674</v>
      </c>
      <c r="R1" s="37" t="s">
        <v>2675</v>
      </c>
      <c r="S1" s="37" t="s">
        <v>2676</v>
      </c>
      <c r="T1" s="37" t="s">
        <v>2677</v>
      </c>
      <c r="U1" s="37" t="s">
        <v>2678</v>
      </c>
      <c r="V1" s="37" t="s">
        <v>2679</v>
      </c>
      <c r="W1" s="37" t="s">
        <v>2680</v>
      </c>
      <c r="X1" s="37" t="s">
        <v>2681</v>
      </c>
      <c r="Y1" s="38" t="s">
        <v>2682</v>
      </c>
      <c r="Z1" s="38" t="s">
        <v>2683</v>
      </c>
      <c r="AA1" s="38" t="s">
        <v>2684</v>
      </c>
      <c r="AB1" s="38" t="s">
        <v>2685</v>
      </c>
      <c r="AC1" s="39" t="s">
        <v>35</v>
      </c>
      <c r="AD1" s="39" t="s">
        <v>33</v>
      </c>
      <c r="AE1" s="39" t="s">
        <v>37</v>
      </c>
      <c r="AF1" s="40" t="s">
        <v>73</v>
      </c>
      <c r="AG1" s="40" t="s">
        <v>775</v>
      </c>
      <c r="AH1" s="40" t="s">
        <v>776</v>
      </c>
      <c r="AI1" s="40" t="s">
        <v>74</v>
      </c>
      <c r="AJ1" s="40" t="s">
        <v>1465</v>
      </c>
      <c r="AK1" s="40" t="s">
        <v>1466</v>
      </c>
      <c r="AL1" s="40" t="s">
        <v>777</v>
      </c>
      <c r="AM1" s="40" t="s">
        <v>778</v>
      </c>
      <c r="AN1" s="40" t="s">
        <v>75</v>
      </c>
      <c r="AO1" s="40" t="s">
        <v>773</v>
      </c>
      <c r="AP1" s="40" t="s">
        <v>774</v>
      </c>
      <c r="AQ1" s="40" t="s">
        <v>771</v>
      </c>
      <c r="AR1" s="40" t="s">
        <v>772</v>
      </c>
      <c r="AS1" s="41" t="s">
        <v>76</v>
      </c>
      <c r="AT1" s="41" t="s">
        <v>77</v>
      </c>
      <c r="AU1" s="41" t="s">
        <v>1467</v>
      </c>
      <c r="AV1" s="41" t="s">
        <v>1468</v>
      </c>
      <c r="AW1" s="41" t="s">
        <v>78</v>
      </c>
      <c r="AX1" s="41" t="s">
        <v>790</v>
      </c>
      <c r="AY1" s="41" t="s">
        <v>1469</v>
      </c>
      <c r="AZ1" s="41" t="s">
        <v>1470</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5" t="s">
        <v>55</v>
      </c>
      <c r="B1" s="35" t="s">
        <v>56</v>
      </c>
      <c r="C1" s="35" t="s">
        <v>57</v>
      </c>
      <c r="D1" s="35" t="s">
        <v>58</v>
      </c>
      <c r="E1" s="35" t="s">
        <v>59</v>
      </c>
      <c r="F1" s="35" t="s">
        <v>60</v>
      </c>
      <c r="G1" s="35" t="s">
        <v>61</v>
      </c>
      <c r="H1" s="35" t="s">
        <v>62</v>
      </c>
      <c r="I1" s="35" t="s">
        <v>63</v>
      </c>
      <c r="J1" s="35" t="s">
        <v>64</v>
      </c>
      <c r="K1" s="35" t="s">
        <v>65</v>
      </c>
      <c r="L1" s="35" t="s">
        <v>66</v>
      </c>
      <c r="M1" s="35" t="s">
        <v>67</v>
      </c>
      <c r="N1" s="36" t="s">
        <v>68</v>
      </c>
      <c r="O1" s="36" t="s">
        <v>69</v>
      </c>
      <c r="P1" s="36" t="s">
        <v>4343</v>
      </c>
      <c r="Q1" s="37" t="s">
        <v>4344</v>
      </c>
      <c r="R1" s="37" t="s">
        <v>4345</v>
      </c>
      <c r="S1" s="37" t="s">
        <v>4346</v>
      </c>
      <c r="T1" s="37" t="s">
        <v>4347</v>
      </c>
      <c r="U1" s="37" t="s">
        <v>4348</v>
      </c>
      <c r="V1" s="37" t="s">
        <v>4349</v>
      </c>
      <c r="W1" s="37" t="s">
        <v>4350</v>
      </c>
      <c r="X1" s="37" t="s">
        <v>4351</v>
      </c>
      <c r="Y1" s="38" t="s">
        <v>4352</v>
      </c>
      <c r="Z1" s="38" t="s">
        <v>4353</v>
      </c>
      <c r="AA1" s="38" t="s">
        <v>4354</v>
      </c>
      <c r="AB1" s="38" t="s">
        <v>4355</v>
      </c>
      <c r="AC1" s="39" t="s">
        <v>35</v>
      </c>
      <c r="AD1" s="39" t="s">
        <v>33</v>
      </c>
      <c r="AE1" s="39" t="s">
        <v>37</v>
      </c>
      <c r="AF1" s="40" t="s">
        <v>73</v>
      </c>
      <c r="AG1" s="40" t="s">
        <v>775</v>
      </c>
      <c r="AH1" s="40" t="s">
        <v>776</v>
      </c>
      <c r="AI1" s="40" t="s">
        <v>74</v>
      </c>
      <c r="AJ1" s="40" t="s">
        <v>1465</v>
      </c>
      <c r="AK1" s="40" t="s">
        <v>1466</v>
      </c>
      <c r="AL1" s="40" t="s">
        <v>777</v>
      </c>
      <c r="AM1" s="40" t="s">
        <v>778</v>
      </c>
      <c r="AN1" s="40" t="s">
        <v>75</v>
      </c>
      <c r="AO1" s="40" t="s">
        <v>773</v>
      </c>
      <c r="AP1" s="40" t="s">
        <v>774</v>
      </c>
      <c r="AQ1" s="40" t="s">
        <v>771</v>
      </c>
      <c r="AR1" s="40" t="s">
        <v>772</v>
      </c>
      <c r="AS1" s="41" t="s">
        <v>76</v>
      </c>
      <c r="AT1" s="41" t="s">
        <v>77</v>
      </c>
      <c r="AU1" s="41" t="s">
        <v>1467</v>
      </c>
      <c r="AV1" s="41" t="s">
        <v>1468</v>
      </c>
      <c r="AW1" s="41" t="s">
        <v>78</v>
      </c>
      <c r="AX1" s="41" t="s">
        <v>790</v>
      </c>
      <c r="AY1" s="41" t="s">
        <v>1469</v>
      </c>
      <c r="AZ1" s="41" t="s">
        <v>1470</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5" t="s">
        <v>55</v>
      </c>
      <c r="B1" s="35" t="s">
        <v>56</v>
      </c>
      <c r="C1" s="35" t="s">
        <v>57</v>
      </c>
      <c r="D1" s="35" t="s">
        <v>58</v>
      </c>
      <c r="E1" s="35" t="s">
        <v>59</v>
      </c>
      <c r="F1" s="35" t="s">
        <v>60</v>
      </c>
      <c r="G1" s="35" t="s">
        <v>61</v>
      </c>
      <c r="H1" s="35" t="s">
        <v>62</v>
      </c>
      <c r="I1" s="35" t="s">
        <v>63</v>
      </c>
      <c r="J1" s="35" t="s">
        <v>64</v>
      </c>
      <c r="K1" s="35" t="s">
        <v>65</v>
      </c>
      <c r="L1" s="35" t="s">
        <v>66</v>
      </c>
      <c r="M1" s="35" t="s">
        <v>67</v>
      </c>
      <c r="N1" s="36" t="s">
        <v>68</v>
      </c>
      <c r="O1" s="36" t="s">
        <v>69</v>
      </c>
      <c r="P1" s="36" t="s">
        <v>4343</v>
      </c>
      <c r="Q1" s="37" t="s">
        <v>3010</v>
      </c>
      <c r="R1" s="37" t="s">
        <v>3011</v>
      </c>
      <c r="S1" s="37" t="s">
        <v>3012</v>
      </c>
      <c r="T1" s="37" t="s">
        <v>3013</v>
      </c>
      <c r="U1" s="37" t="s">
        <v>3014</v>
      </c>
      <c r="V1" s="37" t="s">
        <v>3015</v>
      </c>
      <c r="W1" s="37" t="s">
        <v>3016</v>
      </c>
      <c r="X1" s="37" t="s">
        <v>3017</v>
      </c>
      <c r="Y1" s="38" t="s">
        <v>3018</v>
      </c>
      <c r="Z1" s="38" t="s">
        <v>3019</v>
      </c>
      <c r="AA1" s="38" t="s">
        <v>3020</v>
      </c>
      <c r="AB1" s="38" t="s">
        <v>3021</v>
      </c>
      <c r="AC1" s="39" t="s">
        <v>35</v>
      </c>
      <c r="AD1" s="39" t="s">
        <v>33</v>
      </c>
      <c r="AE1" s="39" t="s">
        <v>37</v>
      </c>
      <c r="AF1" s="40" t="s">
        <v>73</v>
      </c>
      <c r="AG1" s="40" t="s">
        <v>775</v>
      </c>
      <c r="AH1" s="40" t="s">
        <v>776</v>
      </c>
      <c r="AI1" s="40" t="s">
        <v>74</v>
      </c>
      <c r="AJ1" s="40" t="s">
        <v>1465</v>
      </c>
      <c r="AK1" s="40" t="s">
        <v>1466</v>
      </c>
      <c r="AL1" s="40" t="s">
        <v>777</v>
      </c>
      <c r="AM1" s="40" t="s">
        <v>778</v>
      </c>
      <c r="AN1" s="40" t="s">
        <v>75</v>
      </c>
      <c r="AO1" s="40" t="s">
        <v>773</v>
      </c>
      <c r="AP1" s="40" t="s">
        <v>774</v>
      </c>
      <c r="AQ1" s="40" t="s">
        <v>771</v>
      </c>
      <c r="AR1" s="40" t="s">
        <v>772</v>
      </c>
      <c r="AS1" s="41" t="s">
        <v>76</v>
      </c>
      <c r="AT1" s="41" t="s">
        <v>77</v>
      </c>
      <c r="AU1" s="41" t="s">
        <v>1467</v>
      </c>
      <c r="AV1" s="41" t="s">
        <v>1468</v>
      </c>
      <c r="AW1" s="41" t="s">
        <v>78</v>
      </c>
      <c r="AX1" s="41" t="s">
        <v>790</v>
      </c>
      <c r="AY1" s="41" t="s">
        <v>1469</v>
      </c>
      <c r="AZ1" s="41" t="s">
        <v>1470</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5" t="s">
        <v>55</v>
      </c>
      <c r="B1" s="35" t="s">
        <v>56</v>
      </c>
      <c r="C1" s="35" t="s">
        <v>57</v>
      </c>
      <c r="D1" s="35" t="s">
        <v>58</v>
      </c>
      <c r="E1" s="35" t="s">
        <v>59</v>
      </c>
      <c r="F1" s="35" t="s">
        <v>60</v>
      </c>
      <c r="G1" s="35" t="s">
        <v>61</v>
      </c>
      <c r="H1" s="35" t="s">
        <v>62</v>
      </c>
      <c r="I1" s="35" t="s">
        <v>63</v>
      </c>
      <c r="J1" s="35" t="s">
        <v>64</v>
      </c>
      <c r="K1" s="35" t="s">
        <v>65</v>
      </c>
      <c r="L1" s="35" t="s">
        <v>66</v>
      </c>
      <c r="M1" s="35" t="s">
        <v>67</v>
      </c>
      <c r="N1" s="36" t="s">
        <v>68</v>
      </c>
      <c r="O1" s="36" t="s">
        <v>69</v>
      </c>
      <c r="P1" s="36" t="s">
        <v>4343</v>
      </c>
      <c r="Q1" s="37" t="s">
        <v>4356</v>
      </c>
      <c r="R1" s="37" t="s">
        <v>4357</v>
      </c>
      <c r="S1" s="37" t="s">
        <v>4358</v>
      </c>
      <c r="T1" s="37" t="s">
        <v>4359</v>
      </c>
      <c r="U1" s="37" t="s">
        <v>4360</v>
      </c>
      <c r="V1" s="37" t="s">
        <v>4361</v>
      </c>
      <c r="W1" s="37" t="s">
        <v>4362</v>
      </c>
      <c r="X1" s="37" t="s">
        <v>4363</v>
      </c>
      <c r="Y1" s="38" t="s">
        <v>4364</v>
      </c>
      <c r="Z1" s="38" t="s">
        <v>4365</v>
      </c>
      <c r="AA1" s="38" t="s">
        <v>4366</v>
      </c>
      <c r="AB1" s="38" t="s">
        <v>4367</v>
      </c>
      <c r="AC1" s="39" t="s">
        <v>35</v>
      </c>
      <c r="AD1" s="39" t="s">
        <v>33</v>
      </c>
      <c r="AE1" s="39" t="s">
        <v>37</v>
      </c>
      <c r="AF1" s="40" t="s">
        <v>73</v>
      </c>
      <c r="AG1" s="40" t="s">
        <v>775</v>
      </c>
      <c r="AH1" s="40" t="s">
        <v>776</v>
      </c>
      <c r="AI1" s="40" t="s">
        <v>74</v>
      </c>
      <c r="AJ1" s="40" t="s">
        <v>1465</v>
      </c>
      <c r="AK1" s="40" t="s">
        <v>1466</v>
      </c>
      <c r="AL1" s="40" t="s">
        <v>777</v>
      </c>
      <c r="AM1" s="40" t="s">
        <v>778</v>
      </c>
      <c r="AN1" s="40" t="s">
        <v>75</v>
      </c>
      <c r="AO1" s="40" t="s">
        <v>773</v>
      </c>
      <c r="AP1" s="40" t="s">
        <v>774</v>
      </c>
      <c r="AQ1" s="40" t="s">
        <v>771</v>
      </c>
      <c r="AR1" s="40" t="s">
        <v>772</v>
      </c>
      <c r="AS1" s="41" t="s">
        <v>76</v>
      </c>
      <c r="AT1" s="41" t="s">
        <v>77</v>
      </c>
      <c r="AU1" s="41" t="s">
        <v>1467</v>
      </c>
      <c r="AV1" s="41" t="s">
        <v>1468</v>
      </c>
      <c r="AW1" s="41" t="s">
        <v>78</v>
      </c>
      <c r="AX1" s="41" t="s">
        <v>790</v>
      </c>
      <c r="AY1" s="41" t="s">
        <v>1469</v>
      </c>
      <c r="AZ1" s="41" t="s">
        <v>1470</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40625" defaultRowHeight="14.25" zeroHeight="false" outlineLevelRow="0" outlineLevelCol="0"/>
  <cols>
    <col collapsed="false" customWidth="true" hidden="false" outlineLevel="0" max="1" min="1" style="1" width="16"/>
    <col collapsed="false" customWidth="true" hidden="false" outlineLevel="0" max="2" min="2" style="1" width="11"/>
    <col collapsed="false" customWidth="true" hidden="false" outlineLevel="0" max="3" min="3" style="1" width="20"/>
    <col collapsed="false" customWidth="true" hidden="false" outlineLevel="0" max="4" min="4" style="1" width="8"/>
    <col collapsed="false" customWidth="true" hidden="false" outlineLevel="0" max="5" min="5" style="1" width="52"/>
    <col collapsed="false" customWidth="true" hidden="false" outlineLevel="0" max="6" min="6" style="1" width="150"/>
  </cols>
  <sheetData>
    <row r="1" customFormat="false" ht="31.5" hidden="false" customHeight="true" outlineLevel="0" collapsed="false">
      <c r="A1" s="42" t="s">
        <v>4368</v>
      </c>
      <c r="B1" s="42" t="s">
        <v>56</v>
      </c>
      <c r="C1" s="42" t="s">
        <v>57</v>
      </c>
      <c r="D1" s="42" t="s">
        <v>58</v>
      </c>
      <c r="E1" s="42" t="s">
        <v>4369</v>
      </c>
      <c r="F1" s="42" t="s">
        <v>4370</v>
      </c>
    </row>
    <row r="2" customFormat="false" ht="135.75" hidden="false" customHeight="true" outlineLevel="0" collapsed="false">
      <c r="A2" s="5" t="s">
        <v>4371</v>
      </c>
      <c r="B2" s="5" t="n">
        <v>167</v>
      </c>
      <c r="C2" s="5" t="s">
        <v>1339</v>
      </c>
      <c r="D2" s="5" t="n">
        <v>2023</v>
      </c>
      <c r="E2" s="5" t="s">
        <v>4372</v>
      </c>
      <c r="F2" s="5" t="s">
        <v>4373</v>
      </c>
    </row>
    <row r="3" customFormat="false" ht="124.5" hidden="false" customHeight="true" outlineLevel="0" collapsed="false">
      <c r="A3" s="5" t="s">
        <v>4374</v>
      </c>
      <c r="B3" s="5" t="n">
        <v>164</v>
      </c>
      <c r="C3" s="5" t="s">
        <v>1260</v>
      </c>
      <c r="D3" s="5" t="n">
        <v>2000</v>
      </c>
      <c r="E3" s="5" t="s">
        <v>4375</v>
      </c>
      <c r="F3" s="5" t="s">
        <v>635</v>
      </c>
    </row>
    <row r="4" customFormat="false" ht="135.75" hidden="false" customHeight="true" outlineLevel="0" collapsed="false">
      <c r="A4" s="5" t="s">
        <v>4374</v>
      </c>
      <c r="B4" s="5" t="n">
        <v>166</v>
      </c>
      <c r="C4" s="5" t="s">
        <v>1308</v>
      </c>
      <c r="D4" s="5" t="n">
        <v>2014</v>
      </c>
      <c r="E4" s="5" t="s">
        <v>4376</v>
      </c>
      <c r="F4" s="5" t="s">
        <v>635</v>
      </c>
    </row>
    <row r="5" customFormat="false" ht="157.5" hidden="false" customHeight="true" outlineLevel="0" collapsed="false">
      <c r="A5" s="5" t="s">
        <v>4371</v>
      </c>
      <c r="B5" s="5" t="n">
        <v>169</v>
      </c>
      <c r="C5" s="5" t="s">
        <v>1360</v>
      </c>
      <c r="D5" s="5" t="n">
        <v>2005</v>
      </c>
      <c r="E5" s="5" t="s">
        <v>4377</v>
      </c>
      <c r="F5" s="5" t="s">
        <v>4378</v>
      </c>
    </row>
    <row r="6" customFormat="false" ht="147" hidden="false" customHeight="true" outlineLevel="0" collapsed="false">
      <c r="A6" s="5" t="s">
        <v>4374</v>
      </c>
      <c r="B6" s="5" t="s">
        <v>4379</v>
      </c>
      <c r="C6" s="5" t="s">
        <v>1365</v>
      </c>
      <c r="D6" s="5" t="n">
        <v>2019</v>
      </c>
      <c r="E6" s="5" t="s">
        <v>4380</v>
      </c>
      <c r="F6" s="5" t="s">
        <v>635</v>
      </c>
    </row>
    <row r="7" customFormat="false" ht="157.5" hidden="false" customHeight="true" outlineLevel="0" collapsed="false">
      <c r="A7" s="5" t="s">
        <v>4374</v>
      </c>
      <c r="B7" s="5" t="s">
        <v>931</v>
      </c>
      <c r="C7" s="5" t="s">
        <v>1402</v>
      </c>
      <c r="D7" s="5" t="n">
        <v>2023</v>
      </c>
      <c r="E7" s="5" t="s">
        <v>4381</v>
      </c>
      <c r="F7" s="5" t="s">
        <v>635</v>
      </c>
    </row>
    <row r="8" customFormat="false" ht="124.5" hidden="false" customHeight="true" outlineLevel="0" collapsed="false"/>
    <row r="9" customFormat="false" ht="124.5" hidden="false" customHeight="true" outlineLevel="0" collapsed="false"/>
    <row r="10" customFormat="false" ht="124.5" hidden="false" customHeight="true" outlineLevel="0" collapsed="false"/>
    <row r="11" customFormat="false" ht="124.5" hidden="false" customHeight="true" outlineLevel="0" collapsed="false"/>
    <row r="12" customFormat="false" ht="124.5" hidden="false" customHeight="true" outlineLevel="0" collapsed="false"/>
    <row r="13" customFormat="false" ht="124.5" hidden="false" customHeight="true" outlineLevel="0" collapsed="false"/>
    <row r="14" customFormat="false" ht="124.5" hidden="false" customHeight="true" outlineLevel="0" collapsed="false"/>
    <row r="15" customFormat="false" ht="124.5" hidden="false" customHeight="true" outlineLevel="0" collapsed="false"/>
    <row r="16" customFormat="false" ht="124.5" hidden="false" customHeight="true" outlineLevel="0" collapsed="false"/>
    <row r="17" customFormat="false" ht="124.5" hidden="false" customHeight="true" outlineLevel="0" collapsed="false"/>
    <row r="18" customFormat="false" ht="124.5" hidden="false" customHeight="true" outlineLevel="0" collapsed="false"/>
    <row r="19" customFormat="false" ht="124.5" hidden="false" customHeight="true" outlineLevel="0" collapsed="false"/>
    <row r="20" customFormat="false" ht="124.5" hidden="false" customHeight="true" outlineLevel="0" collapsed="false"/>
    <row r="21" customFormat="false" ht="124.5" hidden="false" customHeight="true" outlineLevel="0" collapsed="false"/>
    <row r="22" customFormat="false" ht="124.5" hidden="false" customHeight="true" outlineLevel="0" collapsed="false"/>
    <row r="23" customFormat="false" ht="124.5" hidden="false" customHeight="true" outlineLevel="0" collapsed="false"/>
    <row r="24" customFormat="false" ht="15" hidden="false" customHeight="true" outlineLevel="0" collapsed="false"/>
    <row r="25" customFormat="false" ht="15" hidden="false" customHeight="true" outlineLevel="0" collapsed="false"/>
    <row r="26" customFormat="false" ht="15" hidden="false" customHeight="true" outlineLevel="0" collapsed="false"/>
    <row r="27" customFormat="false" ht="15" hidden="false" customHeight="true" outlineLevel="0" collapsed="false"/>
    <row r="28" customFormat="false" ht="135.75" hidden="false" customHeight="true" outlineLevel="0" collapsed="false"/>
    <row r="29" customFormat="false" ht="147" hidden="false" customHeight="true" outlineLevel="0" collapsed="false"/>
    <row r="30" customFormat="false" ht="147" hidden="false" customHeight="true" outlineLevel="0" collapsed="false"/>
    <row r="31" customFormat="false" ht="147" hidden="false" customHeight="true" outlineLevel="0" collapsed="false"/>
    <row r="32" customFormat="false" ht="135.75" hidden="false" customHeight="true" outlineLevel="0" collapsed="false"/>
    <row r="33" customFormat="false" ht="157.5" hidden="false" customHeight="true" outlineLevel="0" collapsed="false"/>
    <row r="34" customFormat="false" ht="147" hidden="false" customHeight="true" outlineLevel="0" collapsed="false"/>
    <row r="35" customFormat="false" ht="147" hidden="false" customHeight="true" outlineLevel="0" collapsed="false"/>
    <row r="36" customFormat="false" ht="147" hidden="false" customHeight="true" outlineLevel="0" collapsed="false"/>
    <row r="37" customFormat="false" ht="147" hidden="false" customHeight="true" outlineLevel="0" collapsed="false"/>
    <row r="38" customFormat="false" ht="213.75" hidden="false" customHeight="true" outlineLevel="0" collapsed="false"/>
    <row r="39" customFormat="false" ht="236.25" hidden="false" customHeight="true" outlineLevel="0" collapsed="false"/>
    <row r="40" customFormat="false" ht="258.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2026-10-01T03:04:58Z</dcterms:created>
  <dc:creator>openpyxl</dc:creator>
  <dc:description/>
  <dc:language>en-US</dc:language>
  <cp:lastModifiedBy>A panda</cp:lastModifiedBy>
  <dcterms:modified xsi:type="dcterms:W3CDTF">2026-10-05T06:52:09Z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