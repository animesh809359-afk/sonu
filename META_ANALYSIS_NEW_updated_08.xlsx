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27.xml" ContentType="application/vnd.openxmlformats-officedocument.spreadsheetml.worksheet+xml"/>
  <Override PartName="/xl/worksheets/sheet55.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38.xml" ContentType="application/vnd.openxmlformats-officedocument.spreadsheetml.worksheet+xml"/>
  <Override PartName="/xl/worksheets/sheet154.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5.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138.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99.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2.xml.rels" ContentType="application/vnd.openxmlformats-package.relationships+xml"/>
  <Override PartName="/xl/worksheets/_rels/sheet110.xml.rels" ContentType="application/vnd.openxmlformats-package.relationships+xml"/>
  <Override PartName="/xl/worksheets/_rels/sheet89.xml.rels" ContentType="application/vnd.openxmlformats-package.relationships+xml"/>
  <Override PartName="/xl/worksheets/_rels/sheet147.xml.rels" ContentType="application/vnd.openxmlformats-package.relationships+xml"/>
  <Override PartName="/xl/worksheets/_rels/sheet153.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53.xml.rels" ContentType="application/vnd.openxmlformats-package.relationships+xml"/>
  <Override PartName="/xl/worksheets/_rels/sheet111.xml.rels" ContentType="application/vnd.openxmlformats-package.relationships+xml"/>
  <Override PartName="/xl/worksheets/_rels/sheet148.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AGG SIZE CLASS" sheetId="22" state="visible" r:id="rId24"/>
    <sheet name="macro c" sheetId="23" state="visible" r:id="rId25"/>
    <sheet name="micro c" sheetId="24" state="visible" r:id="rId26"/>
    <sheet name="PR" sheetId="25" state="visible" r:id="rId27"/>
    <sheet name="HC" sheetId="26" state="visible" r:id="rId28"/>
    <sheet name="IR" sheetId="27" state="visible" r:id="rId29"/>
    <sheet name="AWC (weight basis)" sheetId="28" state="visible" r:id="rId30"/>
    <sheet name="AWC (volume basis)" sheetId="29" state="visible" r:id="rId31"/>
    <sheet name="LLWR" sheetId="30" state="visible" r:id="rId32"/>
    <sheet name="SOIL TEMP" sheetId="31" state="visible" r:id="rId33"/>
    <sheet name="WHC" sheetId="32" state="visible" r:id="rId34"/>
    <sheet name="FC (weight basis)" sheetId="33" state="visible" r:id="rId35"/>
    <sheet name="PWP (weight basis)" sheetId="34" state="visible" r:id="rId36"/>
    <sheet name="SAT WC" sheetId="35" state="visible" r:id="rId37"/>
    <sheet name="GWC" sheetId="36" state="visible" r:id="rId38"/>
    <sheet name="Moisture storage" sheetId="37" state="visible" r:id="rId39"/>
    <sheet name="TEXTURE" sheetId="38" state="visible" r:id="rId40"/>
    <sheet name="SOC(active C pool)" sheetId="39" state="visible" r:id="rId41"/>
    <sheet name="TOC" sheetId="40" state="visible" r:id="rId42"/>
    <sheet name="TC(total c)" sheetId="41" state="visible" r:id="rId43"/>
    <sheet name="SIC" sheetId="42" state="visible" r:id="rId44"/>
    <sheet name="PSOC" sheetId="43" state="visible" r:id="rId45"/>
    <sheet name="MOC" sheetId="44" state="visible" r:id="rId46"/>
    <sheet name="WSC" sheetId="45" state="visible" r:id="rId47"/>
    <sheet name="DOC" sheetId="46" state="visible" r:id="rId48"/>
    <sheet name="LFC-LFOC" sheetId="47" state="visible" r:id="rId49"/>
    <sheet name="HFOC" sheetId="48" state="visible" r:id="rId50"/>
    <sheet name="LFON" sheetId="49" state="visible" r:id="rId51"/>
    <sheet name="PON" sheetId="50" state="visible" r:id="rId52"/>
    <sheet name="cPOM-C" sheetId="51" state="visible" r:id="rId53"/>
    <sheet name="fPOM-C" sheetId="52" state="visible" r:id="rId54"/>
    <sheet name="POXC(KMnO4-C)" sheetId="53" state="visible" r:id="rId55"/>
    <sheet name="VLC(Cfrac1)" sheetId="54" state="visible" r:id="rId56"/>
    <sheet name="LC(Cfrac2)" sheetId="55" state="visible" r:id="rId57"/>
    <sheet name="LLC(Cfrac3)" sheetId="56" state="visible" r:id="rId58"/>
    <sheet name="NLC(Cfrac4)" sheetId="57" state="visible" r:id="rId59"/>
    <sheet name="stock-SOC" sheetId="58" state="visible" r:id="rId60"/>
    <sheet name="c sequestration rate" sheetId="59" state="visible" r:id="rId61"/>
    <sheet name="C liability" sheetId="60" state="visible" r:id="rId62"/>
    <sheet name="LI" sheetId="61" state="visible" r:id="rId63"/>
    <sheet name="CPI" sheetId="62" state="visible" r:id="rId64"/>
    <sheet name="CMI" sheetId="63" state="visible" r:id="rId65"/>
    <sheet name="RESP" sheetId="64" state="visible" r:id="rId66"/>
    <sheet name="PH" sheetId="65" state="visible" r:id="rId67"/>
    <sheet name="EC" sheetId="66" state="visible" r:id="rId68"/>
    <sheet name="CEC" sheetId="67" state="visible" r:id="rId69"/>
    <sheet name="N" sheetId="68" state="visible" r:id="rId70"/>
    <sheet name="P" sheetId="69" state="visible" r:id="rId71"/>
    <sheet name="K" sheetId="70" state="visible" r:id="rId72"/>
    <sheet name="AV.S" sheetId="71" state="visible" r:id="rId73"/>
    <sheet name="total N" sheetId="72" state="visible" r:id="rId74"/>
    <sheet name="total P" sheetId="73" state="visible" r:id="rId75"/>
    <sheet name="total K" sheetId="74" state="visible" r:id="rId76"/>
    <sheet name="WS-K" sheetId="75" state="visible" r:id="rId77"/>
    <sheet name="EX-K" sheetId="76" state="visible" r:id="rId78"/>
    <sheet name="NEX-K" sheetId="77" state="visible" r:id="rId79"/>
    <sheet name="no3,nh4,PMN" sheetId="78" state="visible" r:id="rId80"/>
    <sheet name="NO3 leaching" sheetId="79" state="visible" r:id="rId81"/>
    <sheet name="15N RESIDUAL" sheetId="80" state="visible" r:id="rId82"/>
    <sheet name="B(ppm)" sheetId="81" state="visible" r:id="rId83"/>
    <sheet name="Fe(ppm)" sheetId="82" state="visible" r:id="rId84"/>
    <sheet name="Mn" sheetId="83" state="visible" r:id="rId85"/>
    <sheet name="Cu(ppm)" sheetId="84" state="visible" r:id="rId86"/>
    <sheet name="Zn(ppm)" sheetId="85" state="visible" r:id="rId87"/>
    <sheet name="MBC" sheetId="86" state="visible" r:id="rId88"/>
    <sheet name="MBN" sheetId="87" state="visible" r:id="rId89"/>
    <sheet name="GLOMALIN" sheetId="88" state="visible" r:id="rId90"/>
    <sheet name="MYCORRHIZAL SPORES" sheetId="89" state="visible" r:id="rId91"/>
    <sheet name="DHA" sheetId="90" state="visible" r:id="rId92"/>
    <sheet name="B-GLU" sheetId="91" state="visible" r:id="rId93"/>
    <sheet name="ACP" sheetId="92" state="visible" r:id="rId94"/>
    <sheet name="ALKP" sheetId="93" state="visible" r:id="rId95"/>
    <sheet name="GAP" sheetId="94" state="visible" r:id="rId96"/>
    <sheet name="LAP" sheetId="95" state="visible" r:id="rId97"/>
    <sheet name="NAG" sheetId="96" state="visible" r:id="rId98"/>
    <sheet name="B-galactosidase" sheetId="97" state="visible" r:id="rId99"/>
    <sheet name="CELL" sheetId="98" state="visible" r:id="rId100"/>
    <sheet name="UREASE" sheetId="99" state="visible" r:id="rId101"/>
    <sheet name="PHYTASE" sheetId="100" state="visible" r:id="rId102"/>
    <sheet name="INVERTASE" sheetId="101" state="visible" r:id="rId103"/>
    <sheet name="CATALASE" sheetId="102" state="visible" r:id="rId104"/>
    <sheet name="ASP" sheetId="103" state="visible" r:id="rId105"/>
    <sheet name="XYL" sheetId="104" state="visible" r:id="rId106"/>
    <sheet name="PHOX" sheetId="105" state="visible" r:id="rId107"/>
    <sheet name="PEROX" sheetId="106" state="visible" r:id="rId108"/>
    <sheet name="PPO" sheetId="107" state="visible" r:id="rId109"/>
    <sheet name="FDA" sheetId="108" state="visible" r:id="rId110"/>
    <sheet name="NR" sheetId="109" state="visible" r:id="rId111"/>
    <sheet name="Actinomycetes" sheetId="110" state="visible" r:id="rId112"/>
    <sheet name="Soil microbial count" sheetId="111" state="visible" r:id="rId113"/>
    <sheet name="Fungal count" sheetId="112" state="visible" r:id="rId114"/>
    <sheet name="EARTHWORM" sheetId="113" state="visible" r:id="rId115"/>
    <sheet name="Cellulolytic count" sheetId="114" state="visible" r:id="rId116"/>
    <sheet name="RLD(CM-CM3)" sheetId="115" state="visible" r:id="rId117"/>
    <sheet name="PLANT HEIGHT" sheetId="116" state="visible" r:id="rId118"/>
    <sheet name="RMD(mg-cm3)" sheetId="117" state="visible" r:id="rId119"/>
    <sheet name="RVD(cm3-cm3)" sheetId="118" state="visible" r:id="rId120"/>
    <sheet name="RSD(cm2-cm3)" sheetId="119" state="visible" r:id="rId121"/>
    <sheet name="ROOT DIA(mm)" sheetId="120" state="visible" r:id="rId122"/>
    <sheet name="YIELD" sheetId="121" state="visible" r:id="rId123"/>
    <sheet name="SYS STRAW" sheetId="122" state="visible" r:id="rId124"/>
    <sheet name="PANICLE-SPIKE DENSITY" sheetId="123" state="visible" r:id="rId125"/>
    <sheet name="GRAINS PER PANICLE" sheetId="124" state="visible" r:id="rId126"/>
    <sheet name="1000-GRAIN WEIGHT" sheetId="125" state="visible" r:id="rId127"/>
    <sheet name="HARVEST INDEX" sheetId="126" state="visible" r:id="rId128"/>
    <sheet name="DAYS TO FLOWERING" sheetId="127" state="visible" r:id="rId129"/>
    <sheet name="DAYS TO MATURITY" sheetId="128" state="visible" r:id="rId130"/>
    <sheet name="GRAIN FILLING DAYS" sheetId="129" state="visible" r:id="rId131"/>
    <sheet name="N uptake" sheetId="130" state="visible" r:id="rId132"/>
    <sheet name="P uptake" sheetId="131" state="visible" r:id="rId133"/>
    <sheet name="K uptake" sheetId="132" state="visible" r:id="rId134"/>
    <sheet name="WUE" sheetId="133" state="visible" r:id="rId135"/>
    <sheet name="NUE" sheetId="134" state="visible" r:id="rId136"/>
    <sheet name="BC ratio" sheetId="135" state="visible" r:id="rId137"/>
    <sheet name="NET RETURN" sheetId="136" state="visible" r:id="rId138"/>
    <sheet name="NET ECONOMIC BENEFIT" sheetId="137" state="visible" r:id="rId139"/>
    <sheet name="SQI" sheetId="138" state="visible" r:id="rId140"/>
    <sheet name="emission CH4" sheetId="139" state="visible" r:id="rId141"/>
    <sheet name="emission N2O" sheetId="140" state="visible" r:id="rId142"/>
    <sheet name="CO2 emission" sheetId="141" state="visible" r:id="rId143"/>
    <sheet name="NO" sheetId="142" state="visible" r:id="rId144"/>
    <sheet name="GWP" sheetId="143" state="visible" r:id="rId145"/>
    <sheet name="NGWP" sheetId="144" state="visible" r:id="rId146"/>
    <sheet name="C input" sheetId="145" state="visible" r:id="rId147"/>
    <sheet name="C output" sheetId="146" state="visible" r:id="rId148"/>
    <sheet name="CSI" sheetId="147" state="visible" r:id="rId149"/>
    <sheet name="CER" sheetId="148" state="visible" r:id="rId150"/>
    <sheet name="GHG intensity" sheetId="149" state="visible" r:id="rId151"/>
    <sheet name="AGG-TP" sheetId="150" state="visible" r:id="rId152"/>
    <sheet name="AGG-AvP" sheetId="151" state="visible" r:id="rId153"/>
    <sheet name="AGG-ALKP" sheetId="152" state="visible" r:id="rId154"/>
    <sheet name="AGG-PhytinP" sheetId="153" state="visible" r:id="rId155"/>
    <sheet name="EXCLUDED_rows" sheetId="154" state="visible" r:id="rId156"/>
  </sheets>
  <definedNames>
    <definedName function="false" hidden="true" localSheetId="124" name="_xlnm._FilterDatabase" vbProcedure="false">'1000-GRAIN WEIGHT'!$A$1:$BK$1</definedName>
    <definedName function="false" hidden="true" localSheetId="79" name="_xlnm._FilterDatabase" vbProcedure="false">'15N RESIDUAL'!$A$1:$AY$1</definedName>
    <definedName function="false" hidden="true" localSheetId="91" name="_xlnm._FilterDatabase" vbProcedure="false">ACP!$A$1:$AY$1</definedName>
    <definedName function="false" hidden="true" localSheetId="109" name="_xlnm._FilterDatabase" vbProcedure="false">Actinomycetes!$A$1:$AY$1</definedName>
    <definedName function="false" hidden="true" localSheetId="151" name="_xlnm._FilterDatabase" vbProcedure="false">'AGG-ALKP'!$A$1:$AZ$1</definedName>
    <definedName function="false" hidden="true" localSheetId="150" name="_xlnm._FilterDatabase" vbProcedure="false">'AGG-AvP'!$A$1:$AZ$1</definedName>
    <definedName function="false" hidden="true" localSheetId="152" name="_xlnm._FilterDatabase" vbProcedure="false">'AGG-PhytinP'!$A$1:$AZ$1</definedName>
    <definedName function="false" hidden="true" localSheetId="149" name="_xlnm._FilterDatabase" vbProcedure="false">'AGG-TP'!$A$1:$AZ$1</definedName>
    <definedName function="false" hidden="true" localSheetId="92" name="_xlnm._FilterDatabase" vbProcedure="false">ALKP!$A$1:$AY$1</definedName>
    <definedName function="false" hidden="true" localSheetId="102" name="_xlnm._FilterDatabase" vbProcedure="false">ASP!$A$1:$AY$1</definedName>
    <definedName function="false" hidden="true" localSheetId="70" name="_xlnm._FilterDatabase" vbProcedure="false">'AV.S'!$A$1:$AY$1</definedName>
    <definedName function="false" hidden="true" localSheetId="28" name="_xlnm._FilterDatabase" vbProcedure="false">'AWC (volume basis)'!$A$1:$AY$1</definedName>
    <definedName function="false" hidden="true" localSheetId="27" name="_xlnm._FilterDatabase" vbProcedure="false">'AWC (weight basis)'!$A$1:$AY$1</definedName>
    <definedName function="false" hidden="true" localSheetId="96" name="_xlnm._FilterDatabase" vbProcedure="false">'B-galactosidase'!$A$1:$AY$1</definedName>
    <definedName function="false" hidden="true" localSheetId="90" name="_xlnm._FilterDatabase" vbProcedure="false">'B-GLU'!$A$1:$AY$1</definedName>
    <definedName function="false" hidden="true" localSheetId="80" name="_xlnm._FilterDatabase" vbProcedure="false">'B(ppm)'!$A$1:$AY$1</definedName>
    <definedName function="false" hidden="true" localSheetId="134" name="_xlnm._FilterDatabase" vbProcedure="false">'BC ratio'!$A$1:$BU$1</definedName>
    <definedName function="false" hidden="true" localSheetId="9" name="_xlnm._FilterDatabase" vbProcedure="false">BD!$A$1:$AY$1</definedName>
    <definedName function="false" hidden="true" localSheetId="144" name="_xlnm._FilterDatabase" vbProcedure="false">'C input'!$A$1:$AX$1</definedName>
    <definedName function="false" hidden="true" localSheetId="59" name="_xlnm._FilterDatabase" vbProcedure="false">'C liability'!$A$1:$AY$1</definedName>
    <definedName function="false" hidden="true" localSheetId="145" name="_xlnm._FilterDatabase" vbProcedure="false">'C output'!$A$1:$AX$1</definedName>
    <definedName function="false" hidden="true" localSheetId="58" name="_xlnm._FilterDatabase" vbProcedure="false">'c sequestration rate'!$A$1:$AY$1</definedName>
    <definedName function="false" hidden="true" localSheetId="101" name="_xlnm._FilterDatabase" vbProcedure="false">CATALASE!$A$1:$AY$1</definedName>
    <definedName function="false" hidden="true" localSheetId="66" name="_xlnm._FilterDatabase" vbProcedure="false">CEC!$A$1:$AY$1</definedName>
    <definedName function="false" hidden="true" localSheetId="97" name="_xlnm._FilterDatabase" vbProcedure="false">CELL!$A$1:$AY$1</definedName>
    <definedName function="false" hidden="true" localSheetId="113" name="_xlnm._FilterDatabase" vbProcedure="false">'Cellulolytic count'!$A$1:$AY$1</definedName>
    <definedName function="false" hidden="true" localSheetId="147" name="_xlnm._FilterDatabase" vbProcedure="false">CER!$A$1:$AX$1</definedName>
    <definedName function="false" hidden="true" localSheetId="62" name="_xlnm._FilterDatabase" vbProcedure="false">CMI!$A$1:$AY$1</definedName>
    <definedName function="false" hidden="true" localSheetId="140" name="_xlnm._FilterDatabase" vbProcedure="false">'CO2 emission'!$A$1:$BU$1</definedName>
    <definedName function="false" hidden="true" localSheetId="61" name="_xlnm._FilterDatabase" vbProcedure="false">CPI!$A$1:$AY$1</definedName>
    <definedName function="false" hidden="true" localSheetId="50" name="_xlnm._FilterDatabase" vbProcedure="false">'cPOM-C'!$A$1:$AY$1</definedName>
    <definedName function="false" hidden="true" localSheetId="146" name="_xlnm._FilterDatabase" vbProcedure="false">CSI!$A$1:$AX$1</definedName>
    <definedName function="false" hidden="true" localSheetId="83" name="_xlnm._FilterDatabase" vbProcedure="false">'Cu(ppm)'!$A$1:$AY$1</definedName>
    <definedName function="false" hidden="true" localSheetId="126" name="_xlnm._FilterDatabase" vbProcedure="false">'DAYS TO FLOWERING'!$A$1:$BK$1</definedName>
    <definedName function="false" hidden="true" localSheetId="127" name="_xlnm._FilterDatabase" vbProcedure="false">'DAYS TO MATURITY'!$A$1:$BK$1</definedName>
    <definedName function="false" hidden="true" localSheetId="89" name="_xlnm._FilterDatabase" vbProcedure="false">DHA!$A$1:$AY$1</definedName>
    <definedName function="false" hidden="true" localSheetId="45" name="_xlnm._FilterDatabase" vbProcedure="false">DOC!$A$1:$AY$1</definedName>
    <definedName function="false" hidden="true" localSheetId="112" name="_xlnm._FilterDatabase" vbProcedure="false">EARTHWORM!$A$1:$AY$1</definedName>
    <definedName function="false" hidden="true" localSheetId="65" name="_xlnm._FilterDatabase" vbProcedure="false">EC!$A$1:$AY$1</definedName>
    <definedName function="false" hidden="true" localSheetId="138" name="_xlnm._FilterDatabase" vbProcedure="false">'emission CH4'!$A$1:$BU$1</definedName>
    <definedName function="false" hidden="true" localSheetId="139" name="_xlnm._FilterDatabase" vbProcedure="false">'emission N2O'!$A$1:$BU$1</definedName>
    <definedName function="false" hidden="true" localSheetId="75" name="_xlnm._FilterDatabase" vbProcedure="false">'EX-K'!$A$1:$AY$1</definedName>
    <definedName function="false" hidden="true" localSheetId="32" name="_xlnm._FilterDatabase" vbProcedure="false">'FC (weight basis)'!$A$1:$AY$1</definedName>
    <definedName function="false" hidden="true" localSheetId="107" name="_xlnm._FilterDatabase" vbProcedure="false">FDA!$A$1:$AY$1</definedName>
    <definedName function="false" hidden="true" localSheetId="81" name="_xlnm._FilterDatabase" vbProcedure="false">'Fe(ppm)'!$A$1:$AY$1</definedName>
    <definedName function="false" hidden="true" localSheetId="51" name="_xlnm._FilterDatabase" vbProcedure="false">'fPOM-C'!$A$1:$AY$1</definedName>
    <definedName function="false" hidden="true" localSheetId="111" name="_xlnm._FilterDatabase" vbProcedure="false">'Fungal count'!$A$1:$AY$1</definedName>
    <definedName function="false" hidden="true" localSheetId="93" name="_xlnm._FilterDatabase" vbProcedure="false">GAP!$A$1:$AY$1</definedName>
    <definedName function="false" hidden="true" localSheetId="148" name="_xlnm._FilterDatabase" vbProcedure="false">'GHG intensity'!$A$1:$AX$1</definedName>
    <definedName function="false" hidden="true" localSheetId="87" name="_xlnm._FilterDatabase" vbProcedure="false">GLOMALIN!$A$1:$AY$1</definedName>
    <definedName function="false" hidden="true" localSheetId="17" name="_xlnm._FilterDatabase" vbProcedure="false">'GMD 1'!$A$1:$AY$1</definedName>
    <definedName function="false" hidden="true" localSheetId="128" name="_xlnm._FilterDatabase" vbProcedure="false">'GRAIN FILLING DAYS'!$A$1:$BK$1</definedName>
    <definedName function="false" hidden="true" localSheetId="123" name="_xlnm._FilterDatabase" vbProcedure="false">'GRAINS PER PANICLE'!$A$1:$BK$1</definedName>
    <definedName function="false" hidden="true" localSheetId="35" name="_xlnm._FilterDatabase" vbProcedure="false">GWC!$A$1:$AY$1</definedName>
    <definedName function="false" hidden="true" localSheetId="142" name="_xlnm._FilterDatabase" vbProcedure="false">GWP!$A$1:$BU$1</definedName>
    <definedName function="false" hidden="true" localSheetId="125" name="_xlnm._FilterDatabase" vbProcedure="false">'HARVEST INDEX'!$A$1:$BK$1</definedName>
    <definedName function="false" hidden="true" localSheetId="25" name="_xlnm._FilterDatabase" vbProcedure="false">HC!$A$1:$AY$1</definedName>
    <definedName function="false" hidden="true" localSheetId="47" name="_xlnm._FilterDatabase" vbProcedure="false">HFOC!$A$1:$AY$1</definedName>
    <definedName function="false" hidden="true" localSheetId="100" name="_xlnm._FilterDatabase" vbProcedure="false">INVERTASE!$A$1:$AY$1</definedName>
    <definedName function="false" hidden="true" localSheetId="26" name="_xlnm._FilterDatabase" vbProcedure="false">IR!$A$1:$BK$1</definedName>
    <definedName function="false" hidden="true" localSheetId="69" name="_xlnm._FilterDatabase" vbProcedure="false">K!$A$1:$AY$1</definedName>
    <definedName function="false" hidden="true" localSheetId="131" name="_xlnm._FilterDatabase" vbProcedure="false">'K uptake'!$A$1:$BI$1</definedName>
    <definedName function="false" hidden="true" localSheetId="94" name="_xlnm._FilterDatabase" vbProcedure="false">LAP!$A$1:$AY$1</definedName>
    <definedName function="false" hidden="true" localSheetId="8" name="_xlnm._FilterDatabase" vbProcedure="false">LAT_LONG!$A$1:$M$1</definedName>
    <definedName function="false" hidden="true" localSheetId="54" name="_xlnm._FilterDatabase" vbProcedure="false">'LC(Cfrac2)'!$A$1:$AY$1</definedName>
    <definedName function="false" hidden="true" localSheetId="46" name="_xlnm._FilterDatabase" vbProcedure="false">'LFC-LFOC'!$A$1:$AY$1</definedName>
    <definedName function="false" hidden="true" localSheetId="48" name="_xlnm._FilterDatabase" vbProcedure="false">LFON!$A$1:$AY$1</definedName>
    <definedName function="false" hidden="true" localSheetId="60" name="_xlnm._FilterDatabase" vbProcedure="false">LI!$A$1:$AY$1</definedName>
    <definedName function="false" hidden="true" localSheetId="55" name="_xlnm._FilterDatabase" vbProcedure="false">'LLC(Cfrac3)'!$A$1:$AY$1</definedName>
    <definedName function="false" hidden="true" localSheetId="19" name="_xlnm._FilterDatabase" vbProcedure="false">MACRO!$A$1:$AY$1</definedName>
    <definedName function="false" hidden="true" localSheetId="22" name="_xlnm._FilterDatabase" vbProcedure="false">'macro c'!$A$1:$AY$1</definedName>
    <definedName function="false" hidden="true" localSheetId="12" name="_xlnm._FilterDatabase" vbProcedure="false">'macro pore'!$A$1:$AY$1</definedName>
    <definedName function="false" hidden="true" localSheetId="85" name="_xlnm._FilterDatabase" vbProcedure="false">MBC!$A$1:$AY$1</definedName>
    <definedName function="false" hidden="true" localSheetId="86"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3" name="_xlnm._FilterDatabase" vbProcedure="false">'micro c'!$A$1:$AY$1</definedName>
    <definedName function="false" hidden="true" localSheetId="14" name="_xlnm._FilterDatabase" vbProcedure="false">'micro pore'!$A$1:$AY$1</definedName>
    <definedName function="false" hidden="true" localSheetId="82" name="_xlnm._FilterDatabase" vbProcedure="false">Mn!$A$1:$AY$1</definedName>
    <definedName function="false" hidden="true" localSheetId="43" name="_xlnm._FilterDatabase" vbProcedure="false">MOC!$A$1:$AY$1</definedName>
    <definedName function="false" hidden="true" localSheetId="36"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8" name="_xlnm._FilterDatabase" vbProcedure="false">'MYCORRHIZAL SPORES'!$A$1:$AY$1</definedName>
    <definedName function="false" hidden="true" localSheetId="67" name="_xlnm._FilterDatabase" vbProcedure="false">N!$A$1:$AY$1</definedName>
    <definedName function="false" hidden="true" localSheetId="129" name="_xlnm._FilterDatabase" vbProcedure="false">'N uptake'!$A$1:$BJ$1</definedName>
    <definedName function="false" hidden="true" localSheetId="95" name="_xlnm._FilterDatabase" vbProcedure="false">NAG!$A$1:$AY$1</definedName>
    <definedName function="false" hidden="true" localSheetId="136" name="_xlnm._FilterDatabase" vbProcedure="false">'NET ECONOMIC BENEFIT'!$A$1:$BU$1</definedName>
    <definedName function="false" hidden="true" localSheetId="135" name="_xlnm._FilterDatabase" vbProcedure="false">'NET RETURN'!$A$1:$BU$1</definedName>
    <definedName function="false" hidden="true" localSheetId="76" name="_xlnm._FilterDatabase" vbProcedure="false">'NEX-K'!$A$1:$AY$1</definedName>
    <definedName function="false" hidden="true" localSheetId="143" name="_xlnm._FilterDatabase" vbProcedure="false">NGWP!$A$1:$BU$1</definedName>
    <definedName function="false" hidden="true" localSheetId="56" name="_xlnm._FilterDatabase" vbProcedure="false">'NLC(Cfrac4)'!$A$1:$AY$1</definedName>
    <definedName function="false" hidden="true" localSheetId="141" name="_xlnm._FilterDatabase" vbProcedure="false">NO!$A$1:$BU$1</definedName>
    <definedName function="false" hidden="true" localSheetId="78" name="_xlnm._FilterDatabase" vbProcedure="false">'NO3 leaching'!$A$1:$AY$1</definedName>
    <definedName function="false" hidden="true" localSheetId="77" name="_xlnm._FilterDatabase" vbProcedure="false">'no3,nh4,PMN'!$A$1:$CI$1</definedName>
    <definedName function="false" hidden="true" localSheetId="108" name="_xlnm._FilterDatabase" vbProcedure="false">NR!$A$1:$AY$1</definedName>
    <definedName function="false" hidden="true" localSheetId="133" name="_xlnm._FilterDatabase" vbProcedure="false">NUE!$A$1:$BV$1</definedName>
    <definedName function="false" hidden="true" localSheetId="68" name="_xlnm._FilterDatabase" vbProcedure="false">P!$A$1:$AY$1</definedName>
    <definedName function="false" hidden="true" localSheetId="130" name="_xlnm._FilterDatabase" vbProcedure="false">'P uptake'!$A$1:$BI$1</definedName>
    <definedName function="false" hidden="true" localSheetId="122" name="_xlnm._FilterDatabase" vbProcedure="false">'PANICLE-SPIKE DENSITY'!$A$1:$BK$1</definedName>
    <definedName function="false" hidden="true" localSheetId="10" name="_xlnm._FilterDatabase" vbProcedure="false">PD!$A$1:$AZ$1</definedName>
    <definedName function="false" hidden="true" localSheetId="105" name="_xlnm._FilterDatabase" vbProcedure="false">PEROX!$A$1:$AY$1</definedName>
    <definedName function="false" hidden="true" localSheetId="64" name="_xlnm._FilterDatabase" vbProcedure="false">PH!$A$1:$AY$1</definedName>
    <definedName function="false" hidden="true" localSheetId="104" name="_xlnm._FilterDatabase" vbProcedure="false">PHOX!$A$1:$AY$1</definedName>
    <definedName function="false" hidden="true" localSheetId="99" name="_xlnm._FilterDatabase" vbProcedure="false">PHYTASE!$A$1:$AY$1</definedName>
    <definedName function="false" hidden="true" localSheetId="115" name="_xlnm._FilterDatabase" vbProcedure="false">'PLANT HEIGHT'!$A$1:$BK$1</definedName>
    <definedName function="false" hidden="true" localSheetId="49" name="_xlnm._FilterDatabase" vbProcedure="false">PON!$A$1:$AY$1</definedName>
    <definedName function="false" hidden="true" localSheetId="11" name="_xlnm._FilterDatabase" vbProcedure="false">POROSITY!$A$1:$AY$1</definedName>
    <definedName function="false" hidden="true" localSheetId="52" name="_xlnm._FilterDatabase" vbProcedure="false">'POXC(KMnO4-C)'!$A$1:$AY$1</definedName>
    <definedName function="false" hidden="true" localSheetId="106" name="_xlnm._FilterDatabase" vbProcedure="false">PPO!$A$1:$AY$1</definedName>
    <definedName function="false" hidden="true" localSheetId="24" name="_xlnm._FilterDatabase" vbProcedure="false">PR!$A$1:$AY$1</definedName>
    <definedName function="false" hidden="true" localSheetId="42" name="_xlnm._FilterDatabase" vbProcedure="false">PSOC!$A$1:$AY$1</definedName>
    <definedName function="false" hidden="true" localSheetId="33" name="_xlnm._FilterDatabase" vbProcedure="false">'PWP (weight basis)'!$A$1:$AY$1</definedName>
    <definedName function="false" hidden="true" localSheetId="63" name="_xlnm._FilterDatabase" vbProcedure="false">RESP!$A$1:$AY$1</definedName>
    <definedName function="false" hidden="true" localSheetId="114" name="_xlnm._FilterDatabase" vbProcedure="false">'RLD(CM-CM3)'!$A$1:$BK$1</definedName>
    <definedName function="false" hidden="true" localSheetId="116" name="_xlnm._FilterDatabase" vbProcedure="false">'RMD(mg-cm3)'!$A$1:$BK$1</definedName>
    <definedName function="false" hidden="true" localSheetId="119" name="_xlnm._FilterDatabase" vbProcedure="false">'ROOT DIA(mm)'!$A$1:$BK$1</definedName>
    <definedName function="false" hidden="true" localSheetId="118" name="_xlnm._FilterDatabase" vbProcedure="false">'RSD(cm2-cm3)'!$A$1:$BK$1</definedName>
    <definedName function="false" hidden="true" localSheetId="117" name="_xlnm._FilterDatabase" vbProcedure="false">'RVD(cm3-cm3)'!$A$1:$BK$1</definedName>
    <definedName function="false" hidden="true" localSheetId="34" name="_xlnm._FilterDatabase" vbProcedure="false">'SAT WC'!$A$1:$AY$1</definedName>
    <definedName function="false" hidden="true" localSheetId="41" name="_xlnm._FilterDatabase" vbProcedure="false">SIC!$A$1:$AY$1</definedName>
    <definedName function="false" hidden="true" localSheetId="38" name="_xlnm._FilterDatabase" vbProcedure="false">'SOC(active C pool)'!$A$1:$BB$1</definedName>
    <definedName function="false" hidden="true" localSheetId="110" name="_xlnm._FilterDatabase" vbProcedure="false">'Soil microbial count'!$A$1:$AY$1</definedName>
    <definedName function="false" hidden="true" localSheetId="137" name="_xlnm._FilterDatabase" vbProcedure="false">SQI!$A$1:$AY$1</definedName>
    <definedName function="false" hidden="true" localSheetId="57" name="_xlnm._FilterDatabase" vbProcedure="false">'stock-SOC'!$A$1:$BB$1</definedName>
    <definedName function="false" hidden="true" localSheetId="4" name="_xlnm._FilterDatabase" vbProcedure="false">Study_Info!$A$1:$AR$1</definedName>
    <definedName function="false" hidden="true" localSheetId="121" name="_xlnm._FilterDatabase" vbProcedure="false">'SYS STRAW'!$A$1:$AX$1</definedName>
    <definedName function="false" hidden="true" localSheetId="40" name="_xlnm._FilterDatabase" vbProcedure="false">'TC(total c)'!$A$1:$AY$1</definedName>
    <definedName function="false" hidden="true" localSheetId="37" name="_xlnm._FilterDatabase" vbProcedure="false">TEXTURE!$A$1:$AM$1</definedName>
    <definedName function="false" hidden="true" localSheetId="39" name="_xlnm._FilterDatabase" vbProcedure="false">TOC!$A$1:$AY$1</definedName>
    <definedName function="false" hidden="true" localSheetId="73" name="_xlnm._FilterDatabase" vbProcedure="false">'total K'!$A$1:$AY$1</definedName>
    <definedName function="false" hidden="true" localSheetId="71" name="_xlnm._FilterDatabase" vbProcedure="false">'total N'!$A$1:$AY$1</definedName>
    <definedName function="false" hidden="true" localSheetId="72" name="_xlnm._FilterDatabase" vbProcedure="false">'total P'!$A$1:$AY$1</definedName>
    <definedName function="false" hidden="true" localSheetId="7" name="_xlnm._FilterDatabase" vbProcedure="false">Treatment_Mapping!$A$1:$N$1</definedName>
    <definedName function="false" hidden="true" localSheetId="98" name="_xlnm._FilterDatabase" vbProcedure="false">UREASE!$A$1:$AY$1</definedName>
    <definedName function="false" hidden="true" localSheetId="53" name="_xlnm._FilterDatabase" vbProcedure="false">'VLC(Cfrac1)'!$A$1:$AY$1</definedName>
    <definedName function="false" hidden="true" localSheetId="31" name="_xlnm._FilterDatabase" vbProcedure="false">WHC!$A$1:$AY$1</definedName>
    <definedName function="false" hidden="true" localSheetId="74" name="_xlnm._FilterDatabase" vbProcedure="false">'WS-K'!$A$1:$AY$1</definedName>
    <definedName function="false" hidden="true" localSheetId="18" name="_xlnm._FilterDatabase" vbProcedure="false">WSA!$A$1:$AY$1</definedName>
    <definedName function="false" hidden="true" localSheetId="44" name="_xlnm._FilterDatabase" vbProcedure="false">WSC!$A$1:$AY$1</definedName>
    <definedName function="false" hidden="true" localSheetId="132" name="_xlnm._FilterDatabase" vbProcedure="false">WUE!$A$1:$BU$1</definedName>
    <definedName function="false" hidden="true" localSheetId="103" name="_xlnm._FilterDatabase" vbProcedure="false">XYL!$A$1:$AY$1</definedName>
    <definedName function="false" hidden="true" localSheetId="120" name="_xlnm._FilterDatabase" vbProcedure="false">YIELD!$A$1:$CS$1</definedName>
    <definedName function="false" hidden="true" localSheetId="84"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7.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<sst xmlns="http://schemas.openxmlformats.org/spreadsheetml/2006/main" count="25454" uniqueCount="5043">
  <si>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</si>
  <si>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</si>
  <si>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</si>
  <si>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</si>
  <si>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</si>
  <si>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</si>
  <si>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</si>
  <si>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</si>
  <si>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</si>
  <si>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</si>
  <si>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</si>
  <si>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</si>
  <si>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</si>
  <si>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</si>
  <si>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</si>
  <si>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</si>
  <si>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</si>
  <si>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</si>
  <si>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</si>
  <si>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</si>
  <si>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</si>
  <si>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</si>
  <si>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</si>
  <si>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</si>
  <si>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</si>
  <si>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</si>
  <si>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</si>
  <si>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</si>
  <si>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</si>
  <si>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</si>
  <si>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</si>
  <si>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</si>
  <si>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</si>
  <si>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</si>
  <si>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</si>
  <si>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</si>
  <si>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</si>
  <si>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</si>
  <si>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</si>
  <si>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</si>
  <si>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</si>
  <si>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</si>
  <si>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</si>
  <si>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</si>
  <si>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</si>
  <si>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</si>
  <si>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</si>
  <si>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</si>
  <si>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</si>
  <si>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</si>
  <si>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</si>
  <si>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</si>
  <si>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</si>
  <si>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</si>
  <si>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</si>
  <si>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</si>
  <si>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</si>
  <si>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</si>
  <si>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</si>
  <si>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</si>
  <si>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</si>
  <si>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</si>
  <si>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</si>
  <si>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</si>
  <si>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</si>
  <si>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</si>
  <si>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</si>
  <si>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</si>
  <si>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</si>
  <si>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</si>
  <si>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</si>
  <si>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</si>
  <si>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</si>
  <si>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</si>
  <si>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</si>
  <si>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</si>
  <si>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</si>
  <si>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</si>
  <si>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</si>
  <si>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</si>
  <si>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</si>
  <si>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</si>
  <si>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</si>
  <si>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</si>
  <si>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</si>
  <si>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</si>
  <si>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</si>
  <si>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</si>
  <si>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</si>
  <si>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</si>
  <si>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</si>
  <si>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</si>
  <si>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</si>
  <si>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</si>
  <si>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</si>
  <si>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</si>
  <si>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</si>
  <si>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</si>
  <si>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</si>
  <si>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</si>
  <si>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</si>
  <si>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</si>
  <si>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</si>
  <si>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</si>
  <si>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</si>
  <si>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</si>
  <si>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</si>
  <si>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</si>
  <si>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</si>
  <si>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</si>
  <si>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</si>
  <si>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</si>
  <si>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</si>
  <si>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</si>
  <si>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</si>
  <si>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</si>
  <si>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</si>
  <si>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</si>
  <si>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</si>
  <si>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</si>
  <si>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</si>
  <si>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</si>
  <si>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</si>
  <si>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</si>
  <si>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</si>
  <si>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</si>
  <si>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</si>
  <si>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</si>
  <si>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</si>
  <si>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</si>
  <si>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</si>
  <si>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</si>
  <si>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</si>
  <si>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</si>
  <si>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</si>
  <si>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</si>
  <si>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</si>
  <si>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</si>
  <si>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</si>
  <si>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</si>
  <si>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</si>
  <si>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</si>
  <si>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</si>
  <si>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</si>
  <si>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</si>
  <si>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</si>
  <si>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</si>
  <si>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</si>
  <si>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</si>
  <si>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</si>
  <si>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</si>
  <si>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</si>
  <si>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</si>
  <si>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</si>
  <si>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</si>
  <si>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</si>
  <si>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</si>
  <si>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</si>
  <si>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</si>
  <si>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</si>
  <si>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</si>
  <si>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</si>
  <si>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</si>
  <si>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</si>
  <si>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</si>
  <si>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</si>
  <si>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</si>
  <si>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</si>
  <si>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</si>
  <si>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</si>
  <si>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</si>
  <si>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</si>
  <si>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</si>
  <si>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</si>
  <si>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</si>
  <si>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</si>
  <si>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</si>
  <si>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</si>
  <si>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</si>
  <si>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</si>
  <si>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</si>
  <si>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</si>
  <si>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</si>
  <si>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</si>
  <si>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</si>
  <si>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</si>
  <si>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</si>
  <si>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</si>
  <si>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</si>
  <si>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</si>
  <si>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</si>
  <si>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</si>
  <si>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</si>
  <si>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</si>
  <si>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</si>
  <si>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</si>
  <si>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</si>
  <si>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</si>
  <si>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</si>
  <si>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</si>
  <si>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</si>
  <si>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</si>
  <si>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</si>
  <si>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</si>
  <si>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</si>
  <si>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</si>
  <si>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</si>
  <si>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</si>
  <si>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</si>
  <si>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</si>
  <si>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</si>
  <si>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</si>
  <si>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</si>
  <si>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</si>
  <si>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</si>
  <si>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</si>
  <si>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</si>
  <si>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</si>
  <si>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</si>
  <si>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</si>
  <si>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</si>
  <si>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</si>
  <si>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</si>
  <si>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</si>
  <si>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</si>
  <si>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</si>
  <si>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</si>
  <si>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</si>
  <si>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</si>
  <si>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</si>
  <si>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</si>
  <si>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</si>
  <si>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</si>
  <si>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</si>
  <si>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</si>
  <si>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</si>
  <si>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</si>
  <si>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</si>
  <si>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</si>
  <si>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</si>
  <si>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</si>
  <si>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</si>
  <si>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</si>
  <si>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</si>
  <si>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</si>
  <si>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</si>
  <si>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</si>
  <si>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</si>
  <si>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</si>
  <si>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</si>
  <si>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</si>
  <si>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</si>
  <si>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</si>
  <si>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</si>
  <si>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</si>
  <si>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</si>
  <si>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</si>
  <si>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</si>
  <si>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</si>
  <si>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</si>
  <si>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</si>
  <si>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</si>
  <si>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</si>
  <si>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</si>
  <si>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</si>
  <si>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</si>
  <si>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</si>
  <si>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</si>
  <si>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</si>
  <si>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</si>
  <si>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</si>
  <si>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</si>
  <si>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</si>
  <si>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</si>
  <si>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</si>
  <si>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</si>
  <si>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</si>
  <si>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</si>
  <si>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</si>
  <si>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</si>
  <si>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</si>
  <si>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</si>
  <si>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</si>
  <si>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</si>
  <si>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</si>
  <si>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</si>
  <si>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</si>
  <si>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</si>
  <si>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</si>
  <si>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</si>
  <si>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</si>
  <si>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</si>
  <si>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</si>
  <si>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</si>
  <si>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</si>
  <si>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</si>
  <si>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</si>
  <si>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</si>
  <si>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</si>
  <si>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</si>
  <si>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</si>
  <si>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</si>
  <si>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</si>
  <si>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</si>
  <si>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</si>
  <si>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</si>
  <si>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</si>
  <si>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</si>
  <si>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</si>
  <si>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</si>
  <si>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</si>
  <si>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</si>
  <si>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</si>
  <si>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</si>
  <si>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</si>
  <si>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</si>
  <si>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</si>
  <si>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</si>
  <si>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</si>
  <si>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</si>
  <si>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</si>
  <si>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</si>
  <si>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</si>
  <si>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</si>
  <si>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</si>
  <si>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</si>
  <si>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</si>
  <si>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</si>
  <si>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</si>
  <si>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</si>
  <si>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</si>
  <si>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</si>
  <si>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</si>
  <si>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</si>
  <si>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</si>
  <si>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</si>
  <si>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</si>
  <si>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</si>
  <si>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</si>
  <si>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</si>
  <si>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</si>
  <si>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</si>
  <si>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</si>
  <si>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</si>
  <si>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</si>
  <si>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</si>
  <si>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</si>
  <si>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</si>
  <si>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</si>
  <si>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</si>
  <si>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</si>
  <si>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</si>
  <si>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</si>
  <si>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</si>
  <si>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PENDING CONFIRMATION</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</si>
  <si>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</si>
  <si>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</si>
  <si>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</si>
  <si>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</si>
  <si>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</si>
  <si>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</si>
  <si>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</si>
  <si>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</si>
  <si>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</si>
  <si>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</si>
  <si>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</si>
  <si>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</si>
  <si>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</si>
  <si>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</si>
  <si>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</si>
  <si>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</si>
  <si>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</si>
  <si>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</si>
  <si>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</si>
  <si>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</si>
  <si>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</si>
  <si>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</si>
  <si>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</si>
  <si>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</si>
  <si>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</si>
  <si>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</si>
  <si>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</si>
  <si>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 v/v); SOIL TEMP (deg C, one row per week/time) and AGG SIZE CLASS (% per water-stable size class) created by default for Gathala 2011 Figs 3 and 2 - PENDING CONFIRMATION of these two sheets.</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</si>
  <si>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</si>
  <si>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</si>
  <si>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</si>
  <si>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</si>
  <si>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</si>
  <si>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</si>
  <si>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</si>
  <si>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</si>
  <si>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</si>
  <si>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</si>
  <si>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</si>
  <si>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</si>
  <si>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</si>
  <si>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</si>
  <si>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</si>
  <si>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</si>
  <si>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</si>
  <si>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</si>
  <si>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</si>
  <si>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</si>
  <si>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</si>
  <si>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</si>
  <si>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</si>
  <si>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</si>
  <si>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</si>
  <si>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</si>
  <si>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</si>
  <si>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</si>
  <si>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</si>
  <si>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</si>
  <si>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</si>
  <si>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</si>
  <si>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</si>
  <si>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</si>
  <si>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</si>
  <si>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</si>
  <si>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</si>
  <si>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</si>
  <si>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</si>
  <si>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</si>
  <si>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</si>
  <si>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</si>
  <si>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</si>
  <si>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</si>
  <si>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</si>
  <si>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</si>
  <si>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</si>
  <si>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</si>
  <si>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</si>
  <si>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</si>
  <si>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</si>
  <si>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</si>
  <si>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</si>
  <si>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</si>
  <si>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</si>
  <si>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</si>
  <si>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</si>
  <si>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</si>
  <si>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</si>
  <si>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</si>
  <si>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</si>
  <si>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</si>
  <si>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</si>
  <si>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</si>
  <si>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</si>
  <si>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</si>
  <si>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</si>
  <si>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</si>
  <si>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</si>
  <si>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</si>
  <si>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</si>
  <si>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</si>
  <si>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</si>
  <si>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</si>
  <si>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</si>
  <si>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</si>
  <si>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</si>
  <si>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</si>
  <si>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</si>
  <si>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</si>
  <si>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</si>
  <si>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</si>
  <si>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</si>
  <si>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</si>
  <si>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</si>
  <si>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</si>
  <si>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</si>
  <si>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</si>
  <si>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</si>
  <si>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</si>
  <si>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</si>
  <si>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</si>
  <si>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</si>
  <si>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</si>
  <si>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</si>
  <si>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</si>
  <si>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</si>
  <si>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</si>
  <si>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</si>
  <si>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</si>
  <si>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</si>
  <si>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</si>
  <si>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</si>
  <si>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</si>
  <si>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</si>
  <si>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</si>
  <si>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</si>
  <si>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</si>
  <si>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</si>
  <si>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</si>
  <si>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</si>
  <si>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</si>
  <si>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</si>
  <si>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</si>
  <si>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</si>
  <si>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</si>
  <si>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</si>
  <si>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</si>
  <si>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</si>
  <si>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</si>
  <si>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</si>
  <si>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</si>
  <si>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</si>
  <si>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</si>
  <si>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</si>
  <si>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</si>
  <si>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</si>
  <si>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</si>
  <si>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</si>
  <si>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</si>
  <si>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</si>
  <si>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</si>
  <si>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</si>
  <si>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</si>
  <si>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</si>
  <si>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</si>
  <si>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</si>
  <si>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</si>
  <si>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</si>
  <si>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</si>
  <si>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</si>
  <si>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</si>
  <si>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</si>
  <si>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</si>
  <si>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</si>
  <si>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</si>
  <si>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</si>
  <si>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</si>
  <si>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</si>
  <si>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</si>
  <si>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</si>
  <si>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</si>
  <si>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</si>
  <si>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</si>
  <si>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</si>
  <si>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</si>
  <si>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</si>
  <si>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</si>
  <si>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</si>
  <si>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</si>
  <si>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</si>
  <si>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</si>
  <si>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</si>
  <si>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</si>
  <si>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</si>
  <si>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</si>
  <si>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</si>
  <si>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</si>
  <si>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</si>
  <si>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</si>
  <si>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</si>
  <si>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</si>
  <si>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</si>
  <si>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</si>
  <si>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</si>
  <si>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</si>
  <si>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</si>
  <si>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</si>
  <si>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</si>
  <si>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</si>
  <si>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</si>
  <si>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</si>
  <si>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</si>
  <si>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</si>
  <si>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</si>
  <si>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</si>
  <si>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</si>
  <si>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</si>
  <si>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</si>
  <si>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</si>
  <si>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</si>
  <si>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</si>
  <si>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</si>
  <si>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</si>
  <si>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</si>
  <si>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</si>
  <si>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</si>
  <si>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</si>
  <si>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</si>
  <si>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</si>
  <si>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</si>
  <si>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</si>
  <si>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</si>
  <si>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</si>
  <si>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</si>
  <si>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</si>
  <si>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</si>
  <si>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</si>
  <si>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</si>
  <si>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</si>
  <si>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</si>
  <si>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</si>
  <si>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</si>
  <si>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</si>
  <si>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</si>
  <si>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</si>
  <si>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</si>
  <si>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</si>
  <si>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</si>
  <si>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</si>
  <si>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</si>
  <si>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</si>
  <si>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</si>
  <si>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</si>
  <si>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</si>
  <si>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</si>
  <si>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</si>
  <si>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</si>
  <si>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</si>
  <si>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</si>
  <si>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</si>
  <si>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</si>
  <si>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</si>
  <si>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</si>
  <si>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</si>
  <si>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</si>
  <si>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</si>
  <si>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</si>
  <si>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</si>
  <si>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</si>
  <si>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</si>
  <si>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</si>
  <si>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</si>
  <si>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</si>
  <si>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</si>
  <si>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</si>
  <si>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</si>
  <si>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</si>
  <si>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</si>
  <si>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</si>
  <si>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</si>
  <si>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</si>
  <si>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</si>
  <si>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</si>
  <si>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</si>
  <si>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</si>
  <si>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</si>
  <si>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</si>
  <si>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</si>
  <si>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</si>
  <si>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</si>
  <si>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</si>
  <si>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</si>
  <si>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</si>
  <si>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</si>
  <si>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</si>
  <si>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</si>
  <si>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</si>
  <si>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</si>
  <si>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</si>
  <si>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</si>
  <si>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</si>
  <si>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</si>
  <si>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</si>
  <si>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</si>
  <si>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</si>
  <si>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</si>
  <si>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</si>
  <si>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</si>
  <si>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</si>
  <si>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</si>
  <si>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</si>
  <si>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</si>
  <si>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</si>
  <si>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</si>
  <si>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</si>
  <si>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</si>
  <si>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</si>
  <si>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</si>
  <si>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</si>
  <si>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</si>
  <si>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</si>
  <si>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</si>
  <si>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</si>
  <si>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</si>
  <si>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</si>
  <si>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</si>
  <si>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</si>
  <si>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</si>
  <si>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</si>
  <si>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</si>
  <si>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</si>
  <si>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</si>
  <si>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</si>
  <si>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</si>
  <si>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</si>
  <si>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</si>
  <si>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</si>
  <si>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</si>
  <si>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</si>
  <si>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</si>
  <si>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</si>
  <si>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</si>
  <si>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</si>
  <si>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</si>
  <si>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</si>
  <si>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</si>
  <si>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</si>
  <si>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</si>
  <si>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</si>
  <si>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</si>
  <si>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</si>
  <si>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</si>
  <si>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</si>
  <si>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</si>
  <si>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</si>
  <si>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</si>
  <si>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</si>
  <si>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</si>
  <si>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</si>
  <si>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</si>
  <si>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</si>
  <si>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</si>
  <si>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</si>
  <si>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</si>
  <si>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</si>
  <si>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</si>
  <si>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</si>
  <si>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</si>
  <si>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</si>
  <si>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</si>
  <si>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</si>
  <si>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</si>
  <si>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</si>
  <si>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</si>
  <si>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</si>
  <si>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</si>
  <si>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</si>
  <si>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</si>
  <si>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</si>
  <si>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</si>
  <si>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</si>
  <si>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</si>
  <si>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</si>
  <si>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</si>
  <si>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</si>
  <si>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</si>
  <si>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</si>
  <si>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</si>
  <si>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</si>
  <si>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</si>
  <si>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</si>
  <si>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</si>
  <si>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</si>
  <si>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</si>
  <si>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</si>
  <si>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</si>
  <si>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</si>
  <si>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</si>
  <si>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</si>
  <si>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</si>
  <si>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</si>
  <si>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</si>
  <si>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</si>
  <si>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</si>
  <si>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</si>
  <si>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</si>
  <si>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</si>
  <si>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</si>
  <si>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</si>
  <si>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</si>
  <si>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</si>
  <si>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</si>
  <si>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</si>
  <si>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</si>
  <si>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</si>
  <si>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</si>
  <si>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</si>
  <si>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</si>
  <si>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</si>
  <si>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</si>
  <si>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</si>
  <si>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</si>
  <si>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</si>
  <si>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</si>
  <si>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</si>
  <si>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</si>
  <si>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</si>
  <si>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</si>
  <si>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</si>
  <si>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</si>
  <si>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</si>
  <si>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</si>
  <si>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</si>
  <si>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</si>
  <si>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</si>
  <si>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</si>
  <si>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</si>
  <si>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</si>
  <si>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</si>
  <si>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</si>
  <si>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</si>
  <si>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</si>
  <si>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</si>
  <si>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</si>
  <si>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</si>
  <si>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</si>
  <si>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</si>
  <si>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</si>
  <si>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</si>
  <si>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</si>
  <si>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</si>
  <si>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</si>
  <si>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</si>
  <si>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</si>
  <si>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</si>
  <si>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</si>
  <si>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</si>
  <si>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</si>
  <si>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</si>
  <si>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</si>
  <si>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</si>
  <si>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</si>
  <si>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</si>
  <si>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</si>
  <si>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</si>
  <si>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</si>
  <si>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</si>
  <si>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</si>
  <si>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</si>
  <si>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</si>
  <si>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</si>
  <si>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</si>
  <si>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</si>
  <si>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</si>
  <si>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</si>
  <si>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</si>
  <si>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</si>
  <si>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</si>
  <si>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</si>
  <si>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</si>
  <si>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</si>
  <si>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</si>
  <si>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</si>
  <si>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</si>
  <si>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</si>
  <si>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</si>
  <si>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</si>
  <si>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</si>
  <si>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</si>
  <si>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</si>
  <si>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</si>
  <si>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</si>
  <si>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</si>
  <si>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</si>
  <si>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</si>
  <si>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</si>
  <si>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</si>
  <si>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</si>
  <si>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</si>
  <si>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</si>
  <si>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</si>
  <si>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</si>
  <si>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</si>
  <si>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</si>
  <si>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</si>
  <si>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</si>
  <si>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</si>
  <si>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</si>
  <si>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</si>
  <si>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</si>
  <si>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</si>
  <si>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</si>
  <si>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</si>
  <si>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</si>
  <si>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</si>
  <si>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</si>
  <si>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</si>
  <si>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</si>
  <si>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</si>
  <si>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</si>
  <si>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</si>
  <si>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</si>
  <si>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</si>
  <si>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</si>
  <si>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</si>
  <si>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</si>
  <si>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</si>
  <si>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</si>
  <si>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</si>
  <si>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</si>
  <si>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</si>
  <si>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</si>
  <si>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</si>
  <si>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</si>
  <si>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</si>
  <si>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</si>
  <si>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</si>
  <si>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</si>
  <si>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</si>
  <si>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</si>
  <si>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</si>
  <si>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</si>
  <si>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</si>
  <si>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</si>
  <si>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</si>
  <si>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</si>
  <si>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</si>
  <si>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</si>
  <si>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</si>
  <si>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</si>
  <si>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</si>
  <si>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</si>
  <si>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</si>
  <si>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</si>
  <si>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</si>
  <si>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</si>
  <si>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</si>
  <si>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</si>
  <si>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</si>
  <si>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</si>
  <si>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</si>
  <si>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</si>
  <si>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</si>
  <si>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</si>
  <si>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</si>
  <si>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</si>
  <si>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</si>
  <si>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</si>
  <si>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</si>
  <si>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</si>
  <si>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</si>
  <si>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</si>
  <si>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</si>
  <si>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</si>
  <si>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</si>
  <si>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</si>
  <si>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</si>
  <si>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</si>
  <si>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</si>
  <si>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</si>
  <si>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</si>
  <si>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</si>
  <si>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</si>
  <si>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</si>
  <si>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</si>
  <si>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</si>
  <si>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</si>
  <si>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</si>
  <si>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</si>
  <si>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</si>
  <si>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</si>
  <si>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</si>
  <si>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</si>
  <si>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</si>
  <si>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</si>
  <si>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</si>
  <si>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</si>
  <si>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</si>
  <si>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</si>
  <si>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</si>
  <si>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</si>
  <si>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</si>
  <si>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</si>
  <si>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</si>
  <si>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</si>
  <si>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</si>
  <si>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</si>
  <si>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</si>
  <si>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</si>
  <si>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</si>
  <si>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</si>
  <si>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</si>
  <si>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</si>
  <si>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</si>
  <si>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</si>
  <si>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</si>
  <si>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</si>
  <si>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</si>
  <si>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</si>
  <si>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</si>
  <si>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</si>
  <si>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</si>
  <si>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</si>
  <si>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</si>
  <si>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</si>
  <si>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</si>
  <si>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</si>
  <si>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</si>
  <si>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</si>
  <si>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</si>
  <si>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</si>
  <si>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</si>
  <si>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</si>
  <si>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</si>
  <si>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</si>
  <si>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</si>
  <si>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</si>
  <si>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</si>
  <si>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</si>
  <si>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</si>
  <si>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</si>
  <si>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</si>
  <si>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</si>
  <si>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</si>
  <si>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</si>
  <si>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</si>
  <si>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</si>
  <si>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</si>
  <si>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</si>
  <si>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</si>
  <si>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</si>
  <si>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</si>
  <si>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</si>
  <si>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</si>
  <si>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</si>
  <si>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</si>
  <si>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</si>
  <si>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</si>
  <si>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</si>
  <si>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</si>
  <si>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</si>
  <si>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</si>
  <si>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</si>
  <si>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</si>
  <si>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</si>
  <si>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</si>
  <si>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</si>
  <si>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</si>
  <si>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</si>
  <si>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</si>
  <si>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</si>
  <si>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</si>
  <si>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</si>
  <si>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</si>
  <si>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</si>
  <si>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</si>
  <si>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</si>
  <si>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</si>
  <si>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</si>
  <si>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</si>
  <si>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</si>
  <si>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</si>
  <si>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</si>
  <si>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</si>
  <si>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</si>
  <si>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</si>
  <si>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</si>
  <si>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</si>
  <si>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</si>
  <si>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</si>
  <si>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</si>
  <si>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</si>
  <si>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</si>
  <si>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</si>
  <si>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</si>
  <si>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</si>
  <si>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</si>
  <si>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</si>
  <si>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</si>
  <si>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</si>
  <si>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</si>
  <si>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</si>
  <si>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</si>
  <si>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</si>
  <si>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</si>
  <si>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</si>
  <si>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</si>
  <si>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</si>
  <si>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</si>
  <si>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</si>
  <si>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</si>
  <si>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MACRO: 12; AGG SIZE CLASS: 14;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</si>
  <si>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</si>
  <si>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</si>
  <si>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</si>
  <si>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</si>
  <si>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</si>
  <si>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</si>
  <si>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</si>
  <si>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t>
  </si>
  <si>
    <t xml:space="preserve">PD</t>
  </si>
  <si>
    <t xml:space="preserve">NO DATA</t>
  </si>
  <si>
    <t xml:space="preserve">POROSITY</t>
  </si>
  <si>
    <t xml:space="preserve">168: 2; 165: 2; 131 (companion): 9; 165 (companion): 8; 15 (companion 2): 8; 40 (companion): 2; 23 (companion 5): 3; 170: 16</t>
  </si>
  <si>
    <t xml:space="preserve">macro pore</t>
  </si>
  <si>
    <t xml:space="preserve">meso pore</t>
  </si>
  <si>
    <t xml:space="preserve">micro pore</t>
  </si>
  <si>
    <t xml:space="preserve">MWD 1</t>
  </si>
  <si>
    <t xml:space="preserve">mm (wet sieving)</t>
  </si>
  <si>
    <t xml:space="preserve">168: 2; 166: 6; 131 (companion): 3; 23 (companion 3): 4; 165 (companion): 8; 15 (companion 2): 2</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</si>
  <si>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</si>
  <si>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</si>
  <si>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</si>
  <si>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</si>
  <si>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</si>
  <si>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</si>
  <si>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</si>
  <si>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</si>
  <si>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</si>
  <si>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</si>
  <si>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</si>
  <si>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 15 (companion 2): 12</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</si>
  <si>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</si>
  <si>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</si>
  <si>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</si>
  <si>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</si>
  <si>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</si>
  <si>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</si>
  <si>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</si>
  <si>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</si>
  <si>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</si>
  <si>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</si>
  <si>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</si>
  <si>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</si>
  <si>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</si>
  <si>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</si>
  <si>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</si>
  <si>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</si>
  <si>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</si>
  <si>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</si>
  <si>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</si>
  <si>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</si>
  <si>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</si>
  <si>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</si>
  <si>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</si>
  <si>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</si>
  <si>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</si>
  <si>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</si>
  <si>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</si>
  <si>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</si>
  <si>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</si>
  <si>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</si>
  <si>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</si>
  <si>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</si>
  <si>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</si>
  <si>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</si>
  <si>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</si>
  <si>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</si>
  <si>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</si>
  <si>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t>
  </si>
  <si>
    <t xml:space="preserve">TOC</t>
  </si>
  <si>
    <t xml:space="preserve">TC(total c)</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</si>
  <si>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</si>
  <si>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</si>
  <si>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</si>
  <si>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</si>
  <si>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</si>
  <si>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</si>
  <si>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</si>
  <si>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</si>
  <si>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</si>
  <si>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</si>
  <si>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</si>
  <si>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</si>
  <si>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</si>
  <si>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</si>
  <si>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</si>
  <si>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</si>
  <si>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</si>
  <si>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</si>
  <si>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</si>
  <si>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</si>
  <si>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</si>
  <si>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</si>
  <si>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</si>
  <si>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</si>
  <si>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</si>
  <si>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</si>
  <si>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</si>
  <si>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</si>
  <si>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</si>
  <si>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</si>
  <si>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</si>
  <si>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</si>
  <si>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</si>
  <si>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</si>
  <si>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</si>
  <si>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</si>
  <si>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</si>
  <si>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</si>
  <si>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</si>
  <si>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</si>
  <si>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</si>
  <si>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</si>
  <si>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</si>
  <si>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</si>
  <si>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</si>
  <si>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</si>
  <si>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</si>
  <si>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</si>
  <si>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t>
  </si>
  <si>
    <t xml:space="preserve">PH</t>
  </si>
  <si>
    <t xml:space="preserve">pH (1:2.5 soil:water)</t>
  </si>
  <si>
    <t xml:space="preserve">165 (companion): 8; 23 (companion 5): 3</t>
  </si>
  <si>
    <t xml:space="preserve">EC</t>
  </si>
  <si>
    <t xml:space="preserve">dS/m</t>
  </si>
  <si>
    <t xml:space="preserve">CEC</t>
  </si>
  <si>
    <t xml:space="preserve">cmol(+)/kg</t>
  </si>
  <si>
    <t xml:space="preserve">N</t>
  </si>
  <si>
    <t xml:space="preserve">kg/ha (available N)</t>
  </si>
  <si>
    <t xml:space="preserve">164: 4; 131 (companion): 3; 165 (companion): 8; 23 (companion 5): 3</t>
  </si>
  <si>
    <t xml:space="preserve">P</t>
  </si>
  <si>
    <t xml:space="preserve">kg/ha (available P; mg/kg x 2.24 when converted - state basis in UNIT column)</t>
  </si>
  <si>
    <t xml:space="preserve">165: 4; 164: 7; 131 (companion): 3; 165 (companion): 8; 23 (companion 5): 3</t>
  </si>
  <si>
    <t xml:space="preserve">K</t>
  </si>
  <si>
    <t xml:space="preserve">kg/ha (available K)</t>
  </si>
  <si>
    <t xml:space="preserve">165: 4; 164: 7; 131 (companion): 3; 23 (companion 5): 3</t>
  </si>
  <si>
    <t xml:space="preserve">AV.S</t>
  </si>
  <si>
    <t xml:space="preserve">kg/ha (available S)</t>
  </si>
  <si>
    <t xml:space="preserve">total N</t>
  </si>
  <si>
    <t xml:space="preserve">165: 4; 131 (companion): 3; 40 (companion): 2</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</si>
  <si>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</si>
  <si>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</si>
  <si>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</si>
  <si>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</si>
  <si>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</si>
  <si>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</si>
  <si>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</si>
  <si>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</si>
  <si>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</si>
  <si>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</si>
  <si>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</si>
  <si>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</si>
  <si>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</si>
  <si>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</si>
  <si>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</si>
  <si>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</si>
  <si>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</si>
  <si>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</si>
  <si>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</si>
  <si>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</si>
  <si>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</si>
  <si>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</si>
  <si>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</si>
  <si>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</si>
  <si>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 40 (companion): 2; 23 (companion 5): 3</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</si>
  <si>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</si>
  <si>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</si>
  <si>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</si>
  <si>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</si>
  <si>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</si>
  <si>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</si>
  <si>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</si>
  <si>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</si>
  <si>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t>
  </si>
  <si>
    <t xml:space="preserve">B-GLU</t>
  </si>
  <si>
    <t xml:space="preserve">ug PNP/g soil/h</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</si>
  <si>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</si>
  <si>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</si>
  <si>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</si>
  <si>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</si>
  <si>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</si>
  <si>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</si>
  <si>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</si>
  <si>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</si>
  <si>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</si>
  <si>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</si>
  <si>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</si>
  <si>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</si>
  <si>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</si>
  <si>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</si>
  <si>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</si>
  <si>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</si>
  <si>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</si>
  <si>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</si>
  <si>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</si>
  <si>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</si>
  <si>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</si>
  <si>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</si>
  <si>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</si>
  <si>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</si>
  <si>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</si>
  <si>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</si>
  <si>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</si>
  <si>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</si>
  <si>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</si>
  <si>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</si>
  <si>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</si>
  <si>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</si>
  <si>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</si>
  <si>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</si>
  <si>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</si>
  <si>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</si>
  <si>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</si>
  <si>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</si>
  <si>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</si>
  <si>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</si>
  <si>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</si>
  <si>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</si>
  <si>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</si>
  <si>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</si>
  <si>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</si>
  <si>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</si>
  <si>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</si>
  <si>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</si>
  <si>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</si>
  <si>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</si>
  <si>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</si>
  <si>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</si>
  <si>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</si>
  <si>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</si>
  <si>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</si>
  <si>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</si>
  <si>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</si>
  <si>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</si>
  <si>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</si>
  <si>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</si>
  <si>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</si>
  <si>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</si>
  <si>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</si>
  <si>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t>
  </si>
  <si>
    <t xml:space="preserve">SYS STRAW</t>
  </si>
  <si>
    <t xml:space="preserve">t/ha system straw yield (rice + wheat straw)</t>
  </si>
  <si>
    <t xml:space="preserve">PANICLE-SPIKE DENSITY</t>
  </si>
  <si>
    <t xml:space="preserve">no./m2 (panicles of rice / spikes of wheat; W = wheat, R = rice)</t>
  </si>
  <si>
    <t xml:space="preserve">131 (companion):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</si>
  <si>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</si>
  <si>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</si>
  <si>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</si>
  <si>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</si>
  <si>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</si>
  <si>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</si>
  <si>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</si>
  <si>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</si>
  <si>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</si>
  <si>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</si>
  <si>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</si>
  <si>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</si>
  <si>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</si>
  <si>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</si>
  <si>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</si>
  <si>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</si>
  <si>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</si>
  <si>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</si>
  <si>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</si>
  <si>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</si>
  <si>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</si>
  <si>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</si>
  <si>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</si>
  <si>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</si>
  <si>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</si>
  <si>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</si>
  <si>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</si>
  <si>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</si>
  <si>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</si>
  <si>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</si>
  <si>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</si>
  <si>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</si>
  <si>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</si>
  <si>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</si>
  <si>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</si>
  <si>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</si>
  <si>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</si>
  <si>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</si>
  <si>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</si>
  <si>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</si>
  <si>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</si>
  <si>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</si>
  <si>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</si>
  <si>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</si>
  <si>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</si>
  <si>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</si>
  <si>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</si>
  <si>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</si>
  <si>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</si>
  <si>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</si>
  <si>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</si>
  <si>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</si>
  <si>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</si>
  <si>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</si>
  <si>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</si>
  <si>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</si>
  <si>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</si>
  <si>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</si>
  <si>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AGG SIZE CLASS</t>
  </si>
  <si>
    <t xml:space="preserve">% of soil in each WATER-STABLE aggregate size class</t>
  </si>
  <si>
    <t xml:space="preserve">15 (companion 2): 14</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</si>
  <si>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</si>
  <si>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</si>
  <si>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</si>
  <si>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</si>
  <si>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</si>
  <si>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</si>
  <si>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</si>
  <si>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</si>
  <si>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</si>
  <si>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</si>
  <si>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</si>
  <si>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</si>
  <si>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</si>
  <si>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</si>
  <si>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</si>
  <si>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</si>
  <si>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</si>
  <si>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</si>
  <si>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</si>
  <si>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</si>
  <si>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</si>
  <si>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</si>
  <si>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</si>
  <si>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</si>
  <si>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</si>
  <si>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</si>
  <si>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</si>
  <si>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</si>
  <si>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</si>
  <si>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</si>
  <si>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</si>
  <si>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</si>
  <si>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</si>
  <si>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</si>
  <si>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</si>
  <si>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</si>
  <si>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</si>
  <si>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</si>
  <si>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</si>
  <si>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</si>
  <si>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</si>
  <si>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</si>
  <si>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</si>
  <si>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</si>
  <si>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</si>
  <si>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</si>
  <si>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</si>
  <si>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</si>
  <si>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</si>
  <si>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</si>
  <si>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</si>
  <si>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</si>
  <si>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</si>
  <si>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</si>
  <si>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</si>
  <si>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</si>
  <si>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</si>
  <si>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</si>
  <si>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</si>
  <si>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</si>
  <si>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</si>
  <si>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</si>
  <si>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</si>
  <si>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</si>
  <si>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</si>
  <si>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</si>
  <si>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</si>
  <si>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</si>
  <si>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</si>
  <si>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</si>
  <si>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</si>
  <si>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</si>
  <si>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</si>
  <si>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</si>
  <si>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</si>
  <si>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</si>
  <si>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</si>
  <si>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</si>
  <si>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</si>
  <si>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</si>
  <si>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</si>
  <si>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</si>
  <si>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</si>
  <si>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</si>
  <si>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</si>
  <si>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</si>
  <si>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</si>
  <si>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</si>
  <si>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</si>
  <si>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</si>
  <si>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</si>
  <si>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</si>
  <si>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</si>
  <si>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</si>
  <si>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</si>
  <si>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</si>
  <si>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</si>
  <si>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</si>
  <si>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</si>
  <si>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</si>
  <si>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</si>
  <si>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</si>
  <si>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</si>
  <si>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</si>
  <si>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</si>
  <si>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</si>
  <si>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</si>
  <si>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</si>
  <si>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</si>
  <si>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</si>
  <si>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</si>
  <si>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</si>
  <si>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</si>
  <si>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</si>
  <si>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</si>
  <si>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</si>
  <si>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</si>
  <si>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</si>
  <si>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</si>
  <si>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</si>
  <si>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</si>
  <si>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</si>
  <si>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</si>
  <si>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</si>
  <si>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</si>
  <si>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</si>
  <si>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</si>
  <si>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</si>
  <si>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</si>
  <si>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</si>
  <si>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</si>
  <si>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</si>
  <si>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</si>
  <si>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</si>
  <si>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</si>
  <si>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</si>
  <si>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</si>
  <si>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</si>
  <si>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</si>
  <si>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</si>
  <si>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</si>
  <si>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</si>
  <si>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</si>
  <si>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</si>
  <si>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</si>
  <si>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</si>
  <si>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</si>
  <si>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</si>
  <si>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</si>
  <si>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</si>
  <si>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</si>
  <si>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</si>
  <si>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</si>
  <si>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</si>
  <si>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</si>
  <si>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</si>
  <si>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</si>
  <si>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</si>
  <si>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</si>
  <si>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</si>
  <si>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</si>
  <si>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</si>
  <si>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</si>
  <si>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</si>
  <si>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</si>
  <si>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</si>
  <si>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</si>
  <si>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</si>
  <si>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</si>
  <si>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</si>
  <si>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</si>
  <si>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</si>
  <si>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</si>
  <si>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</si>
  <si>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</si>
  <si>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</si>
  <si>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</si>
  <si>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</si>
  <si>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</si>
  <si>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</si>
  <si>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</si>
  <si>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</si>
  <si>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</si>
  <si>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</si>
  <si>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</si>
  <si>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</si>
  <si>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</si>
  <si>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</si>
  <si>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</si>
  <si>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</si>
  <si>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</si>
  <si>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</si>
  <si>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</si>
  <si>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</si>
  <si>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</si>
  <si>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</si>
  <si>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</si>
  <si>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</si>
  <si>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</si>
  <si>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</si>
  <si>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</si>
  <si>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</si>
  <si>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</si>
  <si>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</si>
  <si>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</si>
  <si>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</si>
  <si>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</si>
  <si>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</si>
  <si>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</si>
  <si>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</si>
  <si>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</si>
  <si>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</si>
  <si>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</si>
  <si>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</si>
  <si>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</si>
  <si>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</si>
  <si>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</si>
  <si>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</si>
  <si>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</si>
  <si>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</si>
  <si>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</si>
  <si>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</si>
  <si>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</si>
  <si>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</si>
  <si>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</si>
  <si>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</si>
  <si>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</si>
  <si>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</si>
  <si>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</si>
  <si>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</si>
  <si>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</si>
  <si>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</si>
  <si>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</si>
  <si>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</si>
  <si>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</si>
  <si>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</si>
  <si>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</si>
  <si>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</si>
  <si>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</si>
  <si>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</si>
  <si>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</si>
  <si>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</si>
  <si>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</si>
  <si>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</si>
  <si>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</si>
  <si>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</si>
  <si>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</si>
  <si>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</si>
  <si>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</si>
  <si>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</si>
  <si>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</si>
  <si>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</si>
  <si>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</si>
  <si>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</si>
  <si>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</si>
  <si>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</si>
  <si>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</si>
  <si>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</si>
  <si>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</si>
  <si>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</si>
  <si>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</si>
  <si>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</si>
  <si>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</si>
  <si>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</si>
  <si>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</si>
  <si>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</si>
  <si>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</si>
  <si>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</si>
  <si>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</si>
  <si>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</si>
  <si>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</si>
  <si>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</si>
  <si>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</si>
  <si>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</si>
  <si>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</si>
  <si>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</si>
  <si>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</si>
  <si>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</si>
  <si>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</si>
  <si>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</si>
  <si>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</si>
  <si>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</si>
  <si>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</si>
  <si>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</si>
  <si>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</si>
  <si>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</si>
  <si>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</si>
  <si>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</si>
  <si>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</si>
  <si>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</si>
  <si>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</si>
  <si>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</si>
  <si>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</si>
  <si>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</si>
  <si>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</si>
  <si>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</si>
  <si>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</si>
  <si>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</si>
  <si>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</si>
  <si>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</si>
  <si>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</si>
  <si>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</si>
  <si>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</si>
  <si>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</si>
  <si>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</si>
  <si>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</si>
  <si>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</si>
  <si>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</si>
  <si>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</si>
  <si>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</si>
  <si>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</si>
  <si>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</si>
  <si>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</si>
  <si>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</si>
  <si>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</si>
  <si>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</si>
  <si>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</si>
  <si>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</si>
  <si>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</si>
  <si>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</si>
  <si>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</si>
  <si>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</si>
  <si>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</si>
  <si>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</si>
  <si>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</si>
  <si>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</si>
  <si>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</si>
  <si>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</si>
  <si>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</si>
  <si>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</si>
  <si>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</si>
  <si>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</si>
  <si>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</si>
  <si>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</si>
  <si>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</si>
  <si>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</si>
  <si>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</si>
  <si>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</si>
  <si>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</si>
  <si>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</si>
  <si>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</si>
  <si>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</si>
  <si>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</si>
  <si>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</si>
  <si>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</si>
  <si>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</si>
  <si>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</si>
  <si>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</si>
  <si>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</si>
  <si>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</si>
  <si>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</si>
  <si>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</si>
  <si>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</si>
  <si>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</si>
  <si>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</si>
  <si>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</si>
  <si>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</si>
  <si>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</si>
  <si>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</si>
  <si>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</si>
  <si>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</si>
  <si>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</si>
  <si>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</si>
  <si>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</si>
  <si>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</si>
  <si>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</si>
  <si>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</si>
  <si>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</si>
  <si>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</si>
  <si>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</si>
  <si>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</si>
  <si>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</si>
  <si>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</si>
  <si>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</si>
  <si>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</si>
  <si>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</si>
  <si>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</si>
  <si>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</si>
  <si>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</si>
  <si>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</si>
  <si>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</si>
  <si>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</si>
  <si>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</si>
  <si>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</si>
  <si>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</si>
  <si>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</si>
  <si>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</si>
  <si>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</si>
  <si>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</si>
  <si>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</si>
  <si>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</si>
  <si>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</si>
  <si>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</si>
  <si>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</si>
  <si>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</si>
  <si>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</si>
  <si>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</si>
  <si>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</si>
  <si>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</si>
  <si>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</si>
  <si>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</si>
  <si>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</si>
  <si>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</si>
  <si>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</si>
  <si>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</si>
  <si>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</si>
  <si>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</si>
  <si>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</si>
  <si>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</si>
  <si>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</si>
  <si>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</si>
  <si>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</si>
  <si>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</si>
  <si>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</si>
  <si>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</si>
  <si>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</si>
  <si>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</si>
  <si>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</si>
  <si>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</si>
  <si>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</si>
  <si>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</si>
  <si>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</si>
  <si>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</si>
  <si>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</si>
  <si>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</si>
  <si>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</si>
  <si>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</si>
  <si>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</si>
  <si>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</si>
  <si>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</si>
  <si>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</si>
  <si>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</si>
  <si>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</si>
  <si>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</si>
  <si>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</si>
  <si>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</si>
  <si>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</si>
  <si>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</si>
  <si>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</si>
  <si>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</si>
  <si>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</si>
  <si>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</si>
  <si>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</si>
  <si>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</si>
  <si>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</si>
  <si>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</si>
  <si>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</si>
  <si>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</si>
  <si>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</si>
  <si>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</si>
  <si>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</si>
  <si>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</si>
  <si>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</si>
  <si>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</si>
  <si>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</si>
  <si>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</si>
  <si>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</si>
  <si>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</si>
  <si>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</si>
  <si>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</si>
  <si>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</si>
  <si>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</si>
  <si>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</si>
  <si>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</si>
  <si>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</si>
  <si>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</si>
  <si>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</si>
  <si>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</si>
  <si>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</si>
  <si>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</si>
  <si>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</si>
  <si>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</si>
  <si>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</si>
  <si>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</si>
  <si>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</si>
  <si>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</si>
  <si>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</si>
  <si>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</si>
  <si>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</si>
  <si>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</si>
  <si>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</si>
  <si>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</si>
  <si>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</si>
  <si>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</si>
  <si>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</si>
  <si>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</si>
  <si>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</si>
  <si>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</si>
  <si>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</si>
  <si>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</si>
  <si>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</si>
  <si>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</si>
  <si>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</si>
  <si>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</si>
  <si>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</si>
  <si>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</si>
  <si>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</si>
  <si>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</si>
  <si>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</si>
  <si>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</si>
  <si>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</si>
  <si>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</si>
  <si>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</si>
  <si>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</si>
  <si>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</si>
  <si>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</si>
  <si>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</si>
  <si>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</si>
  <si>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</si>
  <si>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</si>
  <si>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</si>
  <si>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</si>
  <si>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</si>
  <si>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</si>
  <si>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</si>
  <si>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</si>
  <si>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</si>
  <si>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</si>
  <si>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</si>
  <si>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</si>
  <si>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</si>
  <si>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</si>
  <si>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</si>
  <si>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</si>
  <si>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</si>
  <si>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</si>
  <si>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</si>
  <si>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</si>
  <si>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</si>
  <si>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</si>
  <si>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</si>
  <si>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</si>
  <si>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</si>
  <si>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</si>
  <si>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</si>
  <si>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</si>
  <si>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</si>
  <si>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</si>
  <si>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</si>
  <si>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</si>
  <si>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</si>
  <si>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</si>
  <si>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</si>
  <si>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</si>
  <si>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</si>
  <si>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</si>
  <si>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</si>
  <si>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</si>
  <si>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</si>
  <si>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</si>
  <si>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</si>
  <si>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</si>
  <si>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</si>
  <si>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</si>
  <si>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</si>
  <si>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</si>
  <si>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</si>
  <si>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</si>
  <si>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</si>
  <si>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</si>
  <si>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</si>
  <si>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</si>
  <si>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</si>
  <si>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</si>
  <si>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(live links to AGG SIZE CLASS),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</si>
  <si>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MWD = sum(class mean diameter x mass fraction); class means 6.375, 3.375, 1.5, 0.75, 0.375, 0.18, 0.055 mm</t>
  </si>
  <si>
    <t xml:space="preserve">ROW b. DERIVED (flag): the paper says MWD 'followed a trend similar to WSA (data not shown)'; computed here from the digitised classes (live links to AGG SIZE CLASS),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</si>
  <si>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</si>
  <si>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</si>
  <si>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</si>
  <si>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</si>
  <si>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</si>
  <si>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</si>
  <si>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</si>
  <si>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</si>
  <si>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</si>
  <si>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</si>
  <si>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</si>
  <si>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</si>
  <si>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</si>
  <si>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</si>
  <si>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</si>
  <si>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</si>
  <si>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</si>
  <si>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</si>
  <si>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</si>
  <si>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</si>
  <si>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</si>
  <si>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</si>
  <si>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</si>
  <si>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</si>
  <si>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</si>
  <si>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</si>
  <si>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</si>
  <si>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</si>
  <si>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</si>
  <si>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</si>
  <si>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</si>
  <si>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</si>
  <si>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</si>
  <si>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</si>
  <si>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</si>
  <si>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</si>
  <si>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</si>
  <si>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</si>
  <si>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</si>
  <si>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</si>
  <si>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</si>
  <si>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</si>
  <si>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</si>
  <si>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</si>
  <si>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</si>
  <si>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</si>
  <si>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</si>
  <si>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</si>
  <si>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</si>
  <si>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</si>
  <si>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</si>
  <si>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</si>
  <si>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</si>
  <si>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</si>
  <si>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</si>
  <si>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</si>
  <si>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</si>
  <si>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</si>
  <si>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</si>
  <si>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</si>
  <si>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</si>
  <si>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</si>
  <si>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</si>
  <si>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</si>
  <si>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</si>
  <si>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</si>
  <si>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</si>
  <si>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</si>
  <si>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</si>
  <si>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</si>
  <si>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</si>
  <si>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</si>
  <si>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</si>
  <si>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</si>
  <si>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</si>
  <si>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</si>
  <si>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</si>
  <si>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</si>
  <si>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</si>
  <si>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</si>
  <si>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</si>
  <si>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</si>
  <si>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</si>
  <si>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</si>
  <si>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</si>
  <si>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</si>
  <si>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</si>
  <si>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2004-05</t>
  </si>
  <si>
    <t xml:space="preserve">Wheat season - after wheat harvest 2004-05</t>
  </si>
  <si>
    <t xml:space="preserve">2005-06</t>
  </si>
  <si>
    <t xml:space="preserve">Wheat season - after wheat harvest 2005-06</t>
  </si>
  <si>
    <t xml:space="preserve">2006-07</t>
  </si>
  <si>
    <t xml:space="preserve">Wheat season - after wheat harvest 2006-07</t>
  </si>
  <si>
    <t xml:space="preserve">Wheat season - after wheat harvest 2007-08</t>
  </si>
  <si>
    <t xml:space="preserve">Wheat season - after wheat harvest 2008-09</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</si>
  <si>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</si>
  <si>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</si>
  <si>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</si>
  <si>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</si>
  <si>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</si>
  <si>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</si>
  <si>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</si>
  <si>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</si>
  <si>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</si>
  <si>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</si>
  <si>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</si>
  <si>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</si>
  <si>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</si>
  <si>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</si>
  <si>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</si>
  <si>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</si>
  <si>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</si>
  <si>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</si>
  <si>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Aggregate size class (mm)</t>
  </si>
  <si>
    <t xml:space="preserve">AGGC_CA</t>
  </si>
  <si>
    <t xml:space="preserve">AGGC_CT</t>
  </si>
  <si>
    <t xml:space="preserve">AGGC_ZT</t>
  </si>
  <si>
    <t xml:space="preserve">AGGC_DT</t>
  </si>
  <si>
    <t xml:space="preserve">AGGC_MTR</t>
  </si>
  <si>
    <t xml:space="preserve">AGGC_MT</t>
  </si>
  <si>
    <t xml:space="preserve">AGGC_CTR</t>
  </si>
  <si>
    <t xml:space="preserve">AGGC_DTR</t>
  </si>
  <si>
    <t xml:space="preserve">AGGC_pCA</t>
  </si>
  <si>
    <t xml:space="preserve">AGGC_pZT</t>
  </si>
  <si>
    <t xml:space="preserve">AGGC_pMT</t>
  </si>
  <si>
    <t xml:space="preserve">AGGC_pMTR</t>
  </si>
  <si>
    <t xml:space="preserve">8.00-4.75</t>
  </si>
  <si>
    <t xml:space="preserve">% of soil (water-stable aggregates in the class)</t>
  </si>
  <si>
    <t xml:space="preserve">Fig. 2 (digitised, scanned figure)</t>
  </si>
  <si>
    <t xml:space="preserve">ROW a (ZT = T5, MT = T3). DIGITISED by hand from the scanned Fig. 2 (+/-0.5 %; classes 2-4 of T3-T6 overlap and were read from the lines). Check: classes &gt;0.25 mm sum to Table 3 2008-09 within ~1 %.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</si>
  <si>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Wet sieving (Yoder 1936) of 4.75-8 mm air-dried aggregates through 8.00, 4.75, 2.00, 1.00, 0.50, 0.25 and 0.11 mm sieves; mass in each sieve class</t>
  </si>
  <si>
    <t xml:space="preserve">% of soil in each WATER-STABLE aggregate size class (one row per class; class in 'Aggregate size class (mm)'); WSA / MACRO / MICRO / MWD sheets hold the summary indices</t>
  </si>
  <si>
    <t xml:space="preserve">4.75-2.00</t>
  </si>
  <si>
    <t xml:space="preserve">2.00-1.00</t>
  </si>
  <si>
    <t xml:space="preserve">1.00-0.50</t>
  </si>
  <si>
    <t xml:space="preserve">0.50-0.25</t>
  </si>
  <si>
    <t xml:space="preserve">0.25-0.11</t>
  </si>
  <si>
    <t xml:space="preserve">0.11-0.00</t>
  </si>
  <si>
    <t xml:space="preserve">ROW b (ZT = T6, MT = T4). DIGITISED by hand from the scanned Fig. 2 (+/-0.5 %; classes 2-4 of T3-T6 overlap and were read from the lines). Check: classes &gt;0.25 mm sum to Table 3 2008-09 within ~1 %.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</si>
  <si>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</si>
  <si>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</si>
  <si>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</si>
  <si>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</si>
  <si>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</si>
  <si>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</si>
  <si>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</si>
  <si>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</si>
  <si>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</si>
  <si>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</si>
  <si>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</si>
  <si>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</si>
  <si>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</si>
  <si>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</si>
  <si>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</si>
  <si>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</si>
  <si>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</si>
  <si>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</si>
  <si>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</si>
  <si>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</si>
  <si>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</si>
  <si>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</si>
  <si>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</si>
  <si>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</si>
  <si>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</si>
  <si>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</si>
  <si>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</si>
  <si>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</si>
  <si>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</si>
  <si>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</si>
  <si>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</si>
  <si>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</si>
  <si>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</si>
  <si>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</si>
  <si>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</si>
  <si>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</si>
  <si>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</si>
  <si>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</si>
  <si>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</si>
  <si>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</si>
  <si>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</si>
  <si>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</si>
  <si>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</si>
  <si>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</si>
  <si>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</si>
  <si>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</si>
  <si>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</si>
  <si>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</si>
  <si>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</si>
  <si>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</si>
  <si>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</si>
  <si>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</si>
  <si>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</si>
  <si>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</si>
  <si>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</si>
  <si>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</si>
  <si>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</si>
  <si>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</si>
  <si>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</si>
  <si>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</si>
  <si>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</si>
  <si>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</si>
  <si>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</si>
  <si>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</si>
  <si>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</si>
  <si>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</si>
  <si>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</si>
  <si>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</si>
  <si>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</si>
  <si>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</si>
  <si>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</si>
  <si>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</si>
  <si>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</si>
  <si>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</si>
  <si>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</si>
  <si>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</si>
  <si>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</si>
  <si>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</si>
  <si>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</si>
  <si>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</si>
  <si>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</si>
  <si>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</si>
  <si>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</si>
  <si>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</si>
  <si>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</si>
  <si>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</si>
  <si>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</si>
  <si>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</si>
  <si>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</si>
  <si>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</si>
  <si>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</si>
  <si>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</si>
  <si>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</si>
  <si>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</si>
  <si>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</si>
  <si>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</si>
  <si>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</si>
  <si>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</si>
  <si>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</si>
  <si>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</si>
  <si>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</si>
  <si>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</si>
  <si>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</si>
  <si>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</si>
  <si>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</si>
  <si>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</si>
  <si>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</si>
  <si>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</si>
  <si>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</si>
  <si>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</si>
  <si>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</si>
  <si>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</si>
  <si>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</si>
  <si>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</si>
  <si>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</si>
  <si>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</si>
  <si>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</si>
  <si>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</si>
  <si>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</si>
  <si>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</si>
  <si>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</si>
  <si>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</si>
  <si>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</si>
  <si>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</si>
  <si>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</si>
  <si>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</si>
  <si>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</si>
  <si>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</si>
  <si>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</si>
  <si>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</si>
  <si>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</si>
  <si>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</si>
  <si>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</si>
  <si>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</si>
  <si>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</si>
  <si>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</si>
  <si>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</si>
  <si>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</si>
  <si>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</si>
  <si>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</si>
  <si>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</si>
  <si>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</si>
  <si>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</si>
  <si>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</si>
  <si>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</si>
  <si>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</si>
  <si>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</si>
  <si>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</si>
  <si>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</si>
  <si>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</si>
  <si>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</si>
  <si>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</si>
  <si>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</si>
  <si>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</si>
  <si>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</si>
  <si>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</si>
  <si>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</si>
  <si>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</si>
  <si>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</si>
  <si>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</si>
  <si>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</si>
  <si>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</si>
  <si>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</si>
  <si>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</si>
  <si>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</si>
  <si>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</si>
  <si>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</si>
  <si>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</si>
  <si>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</si>
  <si>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</si>
  <si>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</si>
  <si>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</si>
  <si>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</si>
  <si>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</si>
  <si>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</si>
  <si>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</si>
  <si>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</si>
  <si>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</si>
  <si>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Double-ring infiltrometer, falling head (Gathala et al. 2011); inner/outer rings 26/39 cm inserted to 15 cm</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</si>
  <si>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</si>
  <si>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</si>
  <si>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</si>
  <si>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</si>
  <si>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</si>
  <si>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</si>
  <si>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</si>
  <si>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</si>
  <si>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</si>
  <si>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</si>
  <si>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</si>
  <si>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</si>
  <si>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</si>
  <si>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</si>
  <si>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</si>
  <si>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</si>
  <si>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</si>
  <si>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</si>
  <si>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</si>
  <si>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</si>
  <si>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</si>
  <si>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</si>
  <si>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</si>
  <si>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</si>
  <si>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</si>
  <si>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</si>
  <si>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</si>
  <si>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</si>
  <si>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</si>
  <si>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</si>
  <si>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</si>
  <si>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</si>
  <si>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</si>
  <si>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</si>
  <si>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</si>
  <si>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</si>
  <si>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</si>
  <si>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</si>
  <si>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</si>
  <si>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</si>
  <si>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</si>
  <si>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</si>
  <si>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</si>
  <si>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</si>
  <si>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</si>
  <si>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</si>
  <si>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</si>
  <si>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</si>
  <si>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</si>
  <si>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</si>
  <si>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</si>
  <si>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</si>
  <si>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</si>
  <si>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</si>
  <si>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</si>
  <si>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</si>
  <si>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</si>
  <si>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</si>
  <si>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</si>
  <si>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</si>
  <si>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</si>
  <si>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</si>
  <si>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</si>
  <si>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</si>
  <si>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</si>
  <si>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</si>
  <si>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</si>
  <si>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</si>
  <si>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</si>
  <si>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</si>
  <si>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</si>
  <si>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</si>
  <si>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</si>
  <si>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</si>
  <si>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</si>
  <si>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</si>
  <si>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 cm</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</si>
  <si>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</si>
  <si>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</si>
  <si>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</si>
  <si>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</si>
  <si>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</si>
  <si>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</si>
  <si>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</si>
  <si>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</si>
  <si>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</si>
  <si>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</si>
  <si>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</si>
  <si>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</si>
  <si>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</si>
  <si>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</si>
  <si>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</si>
  <si>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</si>
  <si>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</si>
  <si>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</si>
  <si>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</si>
  <si>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</si>
  <si>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</si>
  <si>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</si>
  <si>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</si>
  <si>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</si>
  <si>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</si>
  <si>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</si>
  <si>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</si>
  <si>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</si>
  <si>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</si>
  <si>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</si>
  <si>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</si>
  <si>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</si>
  <si>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</si>
  <si>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</si>
  <si>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</si>
  <si>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</si>
  <si>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</si>
  <si>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</si>
  <si>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</si>
  <si>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</si>
  <si>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</si>
  <si>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</si>
  <si>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</si>
  <si>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</si>
  <si>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</si>
  <si>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</si>
  <si>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</si>
  <si>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</si>
  <si>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</si>
  <si>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</si>
  <si>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</si>
  <si>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</si>
  <si>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</si>
  <si>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</si>
  <si>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</si>
  <si>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</si>
  <si>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</si>
  <si>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</si>
  <si>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</si>
  <si>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</si>
  <si>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</si>
  <si>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</si>
  <si>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</si>
  <si>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</si>
  <si>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</si>
  <si>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</si>
  <si>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</si>
  <si>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</si>
  <si>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</si>
  <si>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</si>
  <si>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</si>
  <si>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</si>
  <si>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</si>
  <si>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</si>
  <si>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</si>
  <si>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</si>
  <si>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</si>
  <si>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</si>
  <si>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</si>
  <si>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</si>
  <si>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</si>
  <si>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</si>
  <si>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</si>
  <si>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</si>
  <si>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</si>
  <si>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</si>
  <si>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</si>
  <si>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</si>
  <si>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</si>
  <si>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</si>
  <si>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</si>
  <si>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</si>
  <si>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</si>
  <si>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</si>
  <si>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</si>
  <si>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</si>
  <si>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</si>
  <si>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</si>
  <si>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</si>
  <si>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</si>
  <si>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</si>
  <si>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</si>
  <si>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</si>
  <si>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</si>
  <si>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</si>
  <si>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</si>
  <si>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</si>
  <si>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</si>
  <si>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</si>
  <si>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</si>
  <si>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</si>
  <si>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</si>
  <si>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</si>
  <si>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</si>
  <si>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</si>
  <si>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</si>
  <si>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</si>
  <si>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</si>
  <si>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</si>
  <si>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</si>
  <si>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</si>
  <si>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</si>
  <si>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</si>
  <si>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</si>
  <si>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</si>
  <si>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</si>
  <si>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</si>
  <si>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</si>
  <si>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</si>
  <si>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</si>
  <si>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</si>
  <si>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</si>
  <si>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</si>
  <si>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</si>
  <si>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</si>
  <si>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</si>
  <si>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</si>
  <si>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</si>
  <si>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</si>
  <si>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</si>
  <si>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</si>
  <si>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</si>
  <si>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</si>
  <si>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</si>
  <si>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</si>
  <si>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</si>
  <si>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</si>
  <si>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</si>
  <si>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</si>
  <si>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</si>
  <si>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</si>
  <si>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</si>
  <si>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</si>
  <si>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</si>
  <si>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</si>
  <si>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</si>
  <si>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</si>
  <si>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</si>
  <si>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</si>
  <si>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</si>
  <si>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</si>
  <si>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</si>
  <si>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</si>
  <si>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</si>
  <si>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</si>
  <si>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</si>
  <si>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</si>
  <si>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</si>
  <si>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</si>
  <si>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</si>
  <si>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</si>
  <si>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</si>
  <si>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</si>
  <si>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</si>
  <si>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</si>
  <si>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</si>
  <si>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</si>
  <si>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</si>
  <si>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</si>
  <si>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</si>
  <si>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</si>
  <si>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</si>
  <si>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</si>
  <si>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</si>
  <si>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</si>
  <si>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</si>
  <si>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</si>
  <si>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</si>
  <si>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</si>
  <si>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</si>
  <si>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</si>
  <si>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</si>
  <si>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</si>
  <si>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</si>
  <si>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</si>
  <si>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</si>
  <si>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</si>
  <si>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</si>
  <si>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</si>
  <si>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</si>
  <si>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</si>
  <si>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</si>
  <si>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</si>
  <si>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</si>
  <si>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</si>
  <si>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</si>
  <si>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</si>
  <si>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</si>
  <si>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</si>
  <si>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</si>
  <si>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</si>
  <si>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</si>
  <si>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</si>
  <si>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</si>
  <si>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</si>
  <si>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</si>
  <si>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</si>
  <si>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</si>
  <si>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</si>
  <si>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</si>
  <si>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</si>
  <si>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</si>
  <si>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</si>
  <si>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</si>
  <si>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</si>
  <si>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</si>
  <si>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</si>
  <si>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</si>
  <si>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</si>
  <si>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</si>
  <si>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</si>
  <si>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</si>
  <si>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</si>
  <si>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</si>
  <si>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</si>
  <si>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</si>
  <si>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</si>
  <si>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</si>
  <si>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</si>
  <si>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</si>
  <si>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</si>
  <si>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</si>
  <si>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</si>
  <si>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</si>
  <si>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</si>
  <si>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</si>
  <si>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</si>
  <si>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</si>
  <si>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</si>
  <si>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</si>
  <si>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</si>
  <si>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</si>
  <si>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</si>
  <si>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</si>
  <si>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</si>
  <si>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</si>
  <si>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</si>
  <si>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</si>
  <si>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</si>
  <si>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</si>
  <si>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</si>
  <si>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</si>
  <si>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</si>
  <si>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</si>
  <si>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</si>
  <si>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</si>
  <si>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</si>
  <si>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</si>
  <si>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</si>
  <si>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</si>
  <si>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</si>
  <si>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</si>
  <si>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</si>
  <si>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</si>
  <si>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</si>
  <si>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</si>
  <si>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</si>
  <si>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</si>
  <si>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</si>
  <si>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</si>
  <si>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</si>
  <si>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</si>
  <si>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</si>
  <si>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</si>
  <si>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</si>
  <si>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</si>
  <si>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</si>
  <si>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</si>
  <si>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</si>
  <si>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</si>
  <si>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</si>
  <si>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</si>
  <si>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</si>
  <si>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</si>
  <si>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</si>
  <si>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</si>
  <si>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</si>
  <si>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</si>
  <si>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</si>
  <si>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</si>
  <si>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</si>
  <si>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</si>
  <si>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</si>
  <si>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</si>
  <si>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</si>
  <si>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</si>
  <si>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</si>
  <si>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</si>
  <si>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</si>
  <si>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</si>
  <si>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</si>
  <si>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</si>
  <si>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</si>
  <si>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</si>
  <si>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</si>
  <si>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</si>
  <si>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</si>
  <si>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</si>
  <si>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</si>
  <si>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</si>
  <si>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</si>
  <si>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</si>
  <si>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</si>
  <si>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</si>
  <si>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</si>
  <si>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</si>
  <si>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</si>
  <si>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</si>
  <si>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</si>
  <si>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</si>
  <si>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</si>
  <si>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</si>
  <si>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</si>
  <si>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</si>
  <si>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</si>
  <si>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</si>
  <si>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</si>
  <si>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</si>
  <si>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</si>
  <si>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</si>
  <si>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</si>
  <si>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</si>
  <si>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</si>
  <si>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</si>
  <si>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</si>
  <si>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</si>
  <si>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</si>
  <si>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</si>
  <si>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</si>
  <si>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</si>
  <si>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</si>
  <si>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</si>
  <si>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</si>
  <si>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</si>
  <si>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</si>
  <si>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</si>
  <si>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</si>
  <si>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</si>
  <si>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</si>
  <si>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</si>
  <si>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</si>
  <si>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</si>
  <si>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</si>
  <si>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</si>
  <si>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</si>
  <si>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</si>
  <si>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</si>
  <si>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</si>
  <si>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</si>
  <si>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</si>
  <si>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</si>
  <si>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</si>
  <si>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</si>
  <si>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</si>
  <si>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</si>
  <si>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</si>
  <si>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</si>
  <si>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</si>
  <si>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</si>
  <si>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</si>
  <si>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</si>
  <si>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</si>
  <si>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</si>
  <si>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</si>
  <si>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</si>
  <si>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</si>
  <si>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</si>
  <si>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</si>
  <si>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</si>
  <si>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</si>
  <si>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</si>
  <si>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</si>
  <si>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</si>
  <si>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</si>
  <si>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</si>
  <si>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</si>
  <si>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</si>
  <si>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</si>
  <si>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</si>
  <si>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</si>
  <si>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</si>
  <si>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</si>
  <si>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</si>
  <si>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</si>
  <si>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</si>
  <si>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</si>
  <si>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</si>
  <si>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</si>
  <si>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</si>
  <si>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</si>
  <si>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</si>
  <si>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</si>
  <si>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</si>
  <si>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</si>
  <si>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</si>
  <si>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</si>
  <si>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</si>
  <si>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</si>
  <si>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</si>
  <si>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</si>
  <si>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</si>
  <si>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</si>
  <si>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</si>
  <si>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</si>
  <si>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</si>
  <si>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</si>
  <si>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</si>
  <si>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</si>
  <si>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</si>
  <si>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</si>
  <si>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</si>
  <si>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</si>
  <si>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</si>
  <si>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</si>
  <si>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</si>
  <si>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</si>
  <si>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</si>
  <si>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</si>
  <si>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</si>
  <si>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</si>
  <si>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</si>
  <si>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</si>
  <si>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</si>
  <si>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</si>
  <si>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</si>
  <si>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</si>
  <si>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</si>
  <si>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</si>
  <si>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</si>
  <si>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</si>
  <si>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</si>
  <si>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</si>
  <si>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</si>
  <si>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</si>
  <si>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</si>
  <si>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</si>
  <si>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</si>
  <si>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</si>
  <si>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</si>
  <si>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</si>
  <si>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</si>
  <si>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</si>
  <si>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</si>
  <si>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</si>
  <si>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</si>
  <si>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</si>
  <si>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</si>
  <si>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</si>
  <si>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</si>
  <si>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</si>
  <si>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</si>
  <si>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</si>
  <si>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</si>
  <si>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</si>
  <si>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</si>
  <si>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</si>
  <si>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</si>
  <si>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</si>
  <si>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</si>
  <si>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</si>
  <si>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</si>
  <si>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</si>
  <si>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</si>
  <si>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</si>
  <si>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</si>
  <si>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</si>
  <si>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</si>
  <si>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</si>
  <si>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</si>
  <si>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</si>
  <si>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</si>
  <si>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</si>
  <si>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</si>
  <si>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</si>
  <si>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</si>
  <si>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</si>
  <si>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</si>
  <si>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</si>
  <si>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</si>
  <si>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</si>
  <si>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</si>
  <si>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</si>
  <si>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</si>
  <si>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</si>
  <si>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</si>
  <si>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</si>
  <si>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</si>
  <si>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</si>
  <si>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</si>
  <si>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</si>
  <si>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</si>
  <si>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</si>
  <si>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</si>
  <si>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</si>
  <si>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</si>
  <si>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</si>
  <si>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</si>
  <si>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</si>
  <si>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</si>
  <si>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</si>
  <si>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</si>
  <si>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</si>
  <si>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</si>
  <si>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</si>
  <si>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</si>
  <si>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</si>
  <si>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</si>
  <si>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</si>
  <si>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</si>
  <si>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</si>
  <si>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</si>
  <si>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</si>
  <si>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</si>
  <si>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</si>
  <si>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</si>
  <si>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</si>
  <si>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</si>
  <si>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</si>
  <si>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</si>
  <si>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</si>
  <si>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</si>
  <si>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SOC stock = SOC (g/kg) x BD x depth (paper); cumulative sums of the printed layer stocks</t>
  </si>
  <si>
    <t xml:space="preserve">0-5 + 5-15 cm = 0-15 cm (class 0-20 CM)</t>
  </si>
  <si>
    <t xml:space="preserve">0-30 cm (3 layers summed)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</si>
  <si>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</si>
  <si>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</si>
  <si>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</si>
  <si>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</si>
  <si>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</si>
  <si>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</si>
  <si>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</si>
  <si>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</si>
  <si>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</si>
  <si>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</si>
  <si>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</si>
  <si>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</si>
  <si>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</si>
  <si>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</si>
  <si>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</si>
  <si>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</si>
  <si>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</si>
  <si>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</si>
  <si>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</si>
  <si>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</si>
  <si>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</si>
  <si>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</si>
  <si>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</si>
  <si>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</si>
  <si>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</si>
  <si>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</si>
  <si>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</si>
  <si>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</si>
  <si>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</si>
  <si>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</si>
  <si>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</si>
  <si>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</si>
  <si>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</si>
  <si>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</si>
  <si>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</si>
  <si>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</si>
  <si>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</si>
  <si>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</si>
  <si>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</si>
  <si>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</si>
  <si>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</si>
  <si>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</si>
  <si>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</si>
  <si>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</si>
  <si>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</si>
  <si>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</si>
  <si>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</si>
  <si>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</si>
  <si>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</si>
  <si>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</si>
  <si>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</si>
  <si>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</si>
  <si>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</si>
  <si>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</si>
  <si>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</si>
  <si>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</si>
  <si>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</si>
  <si>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</si>
  <si>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</si>
  <si>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</si>
  <si>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</si>
  <si>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</si>
  <si>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</si>
  <si>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</si>
  <si>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</si>
  <si>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</si>
  <si>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</si>
  <si>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</si>
  <si>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</si>
  <si>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</si>
  <si>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</si>
  <si>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</si>
  <si>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</si>
  <si>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</si>
  <si>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</si>
  <si>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</si>
  <si>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</si>
  <si>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</si>
  <si>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</si>
  <si>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</si>
  <si>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</si>
  <si>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</si>
  <si>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</si>
  <si>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</si>
  <si>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</si>
  <si>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</si>
  <si>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</si>
  <si>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</si>
  <si>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</si>
  <si>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</si>
  <si>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</si>
  <si>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</si>
  <si>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</si>
  <si>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</si>
  <si>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</si>
  <si>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</si>
  <si>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</si>
  <si>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</si>
  <si>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</si>
  <si>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</si>
  <si>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</si>
  <si>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</si>
  <si>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</si>
  <si>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</si>
  <si>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</si>
  <si>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</si>
  <si>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</si>
  <si>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</si>
  <si>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</si>
  <si>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</si>
  <si>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</si>
  <si>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</si>
  <si>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</si>
  <si>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</si>
  <si>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</si>
  <si>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</si>
  <si>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</si>
  <si>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</si>
  <si>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</si>
  <si>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</si>
  <si>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</si>
  <si>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</si>
  <si>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</si>
  <si>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</si>
  <si>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</si>
  <si>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</si>
  <si>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</si>
  <si>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</si>
  <si>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</si>
  <si>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</si>
  <si>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</si>
  <si>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</si>
  <si>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</si>
  <si>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</si>
  <si>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</si>
  <si>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</si>
  <si>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</si>
  <si>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</si>
  <si>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</si>
  <si>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</si>
  <si>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</si>
  <si>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</si>
  <si>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</si>
  <si>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</si>
  <si>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</si>
  <si>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</si>
  <si>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</si>
  <si>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</si>
  <si>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</si>
  <si>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</si>
  <si>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</si>
  <si>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</si>
  <si>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</si>
  <si>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</si>
  <si>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</si>
  <si>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</si>
  <si>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</si>
  <si>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</si>
  <si>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</si>
  <si>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</si>
  <si>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</si>
  <si>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</si>
  <si>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</si>
  <si>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</si>
  <si>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</si>
  <si>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</si>
  <si>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</si>
  <si>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</si>
  <si>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</si>
  <si>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</si>
  <si>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</si>
  <si>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</si>
  <si>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</si>
  <si>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</si>
  <si>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</si>
  <si>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</si>
  <si>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</si>
  <si>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</si>
  <si>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</si>
  <si>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</si>
  <si>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</si>
  <si>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</si>
  <si>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</si>
  <si>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</si>
  <si>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</si>
  <si>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</si>
  <si>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</si>
  <si>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</si>
  <si>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</si>
  <si>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</si>
  <si>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</si>
  <si>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</si>
  <si>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</si>
  <si>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</si>
  <si>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</si>
  <si>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</si>
  <si>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</si>
  <si>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</si>
  <si>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</si>
  <si>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</si>
  <si>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</si>
  <si>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</si>
  <si>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</si>
  <si>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</si>
  <si>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</si>
  <si>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</si>
  <si>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</si>
  <si>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</si>
  <si>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</si>
  <si>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</si>
  <si>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</si>
  <si>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</si>
  <si>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</si>
  <si>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</si>
  <si>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</si>
  <si>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</si>
  <si>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</si>
  <si>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</si>
  <si>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</si>
  <si>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</si>
  <si>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</si>
  <si>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</si>
  <si>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</si>
  <si>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</si>
  <si>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</si>
  <si>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</si>
  <si>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</si>
  <si>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</si>
  <si>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</si>
  <si>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</si>
  <si>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</si>
  <si>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</si>
  <si>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</si>
  <si>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</si>
  <si>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</si>
  <si>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</si>
  <si>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</si>
  <si>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</si>
  <si>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</si>
  <si>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</si>
  <si>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</si>
  <si>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</si>
  <si>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</si>
  <si>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</si>
  <si>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</si>
  <si>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</si>
  <si>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</si>
  <si>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</si>
  <si>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</si>
  <si>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</si>
  <si>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</si>
  <si>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</si>
  <si>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</si>
  <si>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</si>
  <si>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</si>
  <si>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</si>
  <si>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</si>
  <si>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</si>
  <si>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</si>
  <si>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</si>
  <si>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</si>
  <si>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</si>
  <si>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</si>
  <si>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</si>
  <si>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</si>
  <si>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</si>
  <si>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</si>
  <si>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</si>
  <si>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</si>
  <si>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</si>
  <si>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</si>
  <si>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</si>
  <si>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</si>
  <si>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</si>
  <si>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</si>
  <si>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</si>
  <si>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</si>
  <si>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</si>
  <si>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</si>
  <si>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</si>
  <si>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</si>
  <si>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</si>
  <si>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</si>
  <si>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</si>
  <si>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</si>
  <si>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</si>
  <si>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</si>
  <si>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</si>
  <si>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</si>
  <si>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</si>
  <si>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</si>
  <si>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</si>
  <si>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</si>
  <si>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</si>
  <si>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</si>
  <si>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</si>
  <si>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</si>
  <si>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</si>
  <si>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</si>
  <si>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</si>
  <si>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</si>
  <si>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</si>
  <si>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</si>
  <si>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</si>
  <si>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</si>
  <si>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</si>
  <si>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</si>
  <si>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</si>
  <si>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</si>
  <si>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</si>
  <si>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</si>
  <si>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</si>
  <si>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</si>
  <si>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Total N, Kjeldahl (Page et al. 1982); auger samples (2.5 cm), 15 cores per plot (4 in strip/row, rest between)</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</si>
  <si>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</si>
  <si>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</si>
  <si>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</si>
  <si>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</si>
  <si>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</si>
  <si>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</si>
  <si>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</si>
  <si>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</si>
  <si>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</si>
  <si>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</si>
  <si>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</si>
  <si>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</si>
  <si>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</si>
  <si>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</si>
  <si>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</si>
  <si>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</si>
  <si>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</si>
  <si>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</si>
  <si>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</si>
  <si>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</si>
  <si>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</si>
  <si>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</si>
  <si>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</si>
  <si>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</si>
  <si>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</si>
  <si>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</si>
  <si>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</si>
  <si>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</si>
  <si>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</si>
  <si>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</si>
  <si>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</si>
  <si>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</si>
  <si>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</si>
  <si>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</si>
  <si>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</si>
  <si>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</si>
  <si>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</si>
  <si>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</si>
  <si>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</si>
  <si>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</si>
  <si>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</si>
  <si>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</si>
  <si>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</si>
  <si>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</si>
  <si>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</si>
  <si>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</si>
  <si>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</si>
  <si>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</si>
  <si>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</si>
  <si>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</si>
  <si>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</si>
  <si>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</si>
  <si>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</si>
  <si>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</si>
  <si>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</si>
  <si>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</si>
  <si>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</si>
  <si>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</si>
  <si>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</si>
  <si>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</si>
  <si>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</si>
  <si>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</si>
  <si>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</si>
  <si>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</si>
  <si>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</si>
  <si>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</si>
  <si>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</si>
  <si>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</si>
  <si>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</si>
  <si>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</si>
  <si>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</si>
  <si>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</si>
  <si>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</si>
  <si>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</si>
  <si>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</si>
  <si>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</si>
  <si>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</si>
  <si>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</si>
  <si>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</si>
  <si>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</si>
  <si>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</si>
  <si>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</si>
  <si>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</si>
  <si>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</si>
  <si>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</si>
  <si>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</si>
  <si>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</si>
  <si>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</si>
  <si>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</si>
  <si>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</si>
  <si>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</si>
  <si>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</si>
  <si>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</si>
  <si>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</si>
  <si>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</si>
  <si>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</si>
  <si>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</si>
  <si>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</si>
  <si>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</si>
  <si>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</si>
  <si>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</si>
  <si>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</si>
  <si>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</si>
  <si>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</si>
  <si>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</si>
  <si>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</si>
  <si>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</si>
  <si>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</si>
  <si>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</si>
  <si>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</si>
  <si>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</si>
  <si>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</si>
  <si>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</si>
  <si>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</si>
  <si>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</si>
  <si>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</si>
  <si>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</si>
  <si>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</si>
  <si>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</si>
  <si>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</si>
  <si>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</si>
  <si>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</si>
  <si>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</si>
  <si>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</si>
  <si>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</si>
  <si>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</si>
  <si>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</si>
  <si>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</si>
  <si>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</si>
  <si>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</si>
  <si>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</si>
  <si>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</si>
  <si>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</si>
  <si>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</si>
  <si>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</si>
  <si>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</si>
  <si>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</si>
  <si>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</si>
  <si>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</si>
  <si>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</si>
  <si>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</si>
  <si>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</si>
  <si>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</si>
  <si>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</si>
  <si>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</si>
  <si>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</si>
  <si>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</si>
  <si>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</si>
  <si>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</si>
  <si>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</si>
  <si>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</si>
  <si>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</si>
  <si>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</si>
  <si>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</si>
  <si>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</si>
  <si>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</si>
  <si>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</si>
  <si>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</si>
  <si>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</si>
  <si>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</si>
  <si>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</si>
  <si>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</si>
  <si>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</si>
  <si>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</si>
  <si>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</si>
  <si>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</si>
  <si>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</si>
  <si>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</si>
  <si>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</si>
  <si>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</si>
  <si>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</si>
  <si>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</si>
  <si>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</si>
  <si>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</si>
  <si>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</si>
  <si>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</si>
  <si>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</si>
  <si>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</si>
  <si>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</si>
  <si>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</si>
  <si>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</si>
  <si>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</si>
  <si>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</si>
  <si>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</si>
  <si>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</si>
  <si>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</si>
  <si>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</si>
  <si>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</si>
  <si>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</si>
  <si>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</si>
  <si>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</si>
  <si>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</si>
  <si>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</si>
  <si>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</si>
  <si>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</si>
  <si>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</si>
  <si>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</si>
  <si>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</si>
  <si>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</si>
  <si>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</si>
  <si>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</si>
  <si>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</si>
  <si>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</si>
  <si>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</si>
  <si>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</si>
  <si>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</si>
  <si>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</si>
  <si>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</si>
  <si>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</si>
  <si>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</si>
  <si>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</si>
  <si>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</si>
  <si>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</si>
  <si>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</si>
  <si>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</si>
  <si>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</si>
  <si>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</si>
  <si>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</si>
  <si>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</si>
  <si>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</si>
  <si>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</si>
  <si>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</si>
  <si>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</si>
  <si>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</si>
  <si>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</si>
  <si>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</si>
  <si>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</si>
  <si>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</si>
  <si>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</si>
  <si>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</si>
  <si>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</si>
  <si>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</si>
  <si>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</si>
  <si>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</si>
  <si>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</si>
  <si>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</si>
  <si>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</si>
  <si>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</si>
  <si>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</si>
  <si>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</si>
  <si>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</si>
  <si>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</si>
  <si>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</si>
  <si>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</si>
  <si>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</si>
  <si>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</si>
  <si>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</si>
  <si>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</si>
  <si>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</si>
  <si>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</si>
  <si>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</si>
  <si>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</si>
  <si>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</si>
  <si>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</si>
  <si>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</si>
  <si>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</si>
  <si>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</si>
  <si>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</si>
  <si>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</si>
  <si>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</si>
  <si>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</si>
  <si>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</si>
  <si>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</si>
  <si>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</si>
  <si>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</si>
  <si>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</si>
  <si>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</si>
  <si>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</si>
  <si>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</si>
  <si>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</si>
  <si>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</si>
  <si>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</si>
  <si>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</si>
  <si>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</si>
  <si>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</si>
  <si>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</si>
  <si>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</si>
  <si>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</si>
  <si>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</si>
  <si>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</si>
  <si>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</si>
  <si>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</si>
  <si>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</si>
  <si>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</si>
  <si>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</si>
  <si>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</si>
  <si>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</si>
  <si>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</si>
  <si>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</si>
  <si>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</si>
  <si>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</si>
  <si>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</si>
  <si>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</si>
  <si>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</si>
  <si>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</si>
  <si>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</si>
  <si>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</si>
  <si>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</si>
  <si>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</si>
  <si>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</si>
  <si>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</si>
  <si>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</si>
  <si>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</si>
  <si>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</si>
  <si>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</si>
  <si>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</si>
  <si>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</si>
  <si>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</si>
  <si>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</si>
  <si>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</si>
  <si>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</si>
  <si>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</si>
  <si>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</si>
  <si>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</si>
  <si>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</si>
  <si>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</si>
  <si>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</si>
  <si>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</si>
  <si>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</si>
  <si>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</si>
  <si>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</si>
  <si>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</si>
  <si>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</si>
  <si>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</si>
  <si>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</si>
  <si>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</si>
  <si>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</si>
  <si>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</si>
  <si>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</si>
  <si>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</si>
  <si>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</si>
  <si>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</si>
  <si>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</si>
  <si>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</si>
  <si>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</si>
  <si>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</si>
  <si>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</si>
  <si>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</si>
  <si>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</si>
  <si>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</si>
  <si>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</si>
  <si>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</si>
  <si>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</si>
  <si>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</si>
  <si>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</si>
  <si>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</si>
  <si>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</si>
  <si>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</si>
  <si>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</si>
  <si>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</si>
  <si>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</si>
  <si>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</si>
  <si>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</si>
  <si>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</si>
  <si>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</si>
  <si>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</si>
  <si>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</si>
  <si>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</si>
  <si>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</si>
  <si>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</si>
  <si>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</si>
  <si>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</si>
  <si>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</si>
  <si>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</si>
  <si>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</si>
  <si>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</si>
  <si>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</si>
  <si>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</si>
  <si>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</si>
  <si>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</si>
  <si>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</si>
  <si>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</si>
  <si>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</si>
  <si>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</si>
  <si>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</si>
  <si>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</si>
  <si>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</si>
  <si>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</si>
  <si>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</si>
  <si>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</si>
  <si>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</si>
  <si>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</si>
  <si>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</si>
  <si>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</si>
  <si>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</si>
  <si>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</si>
  <si>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</si>
  <si>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</si>
  <si>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</si>
  <si>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</si>
  <si>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</si>
  <si>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</si>
  <si>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</si>
  <si>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</si>
  <si>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</si>
  <si>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</si>
  <si>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</si>
  <si>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</si>
  <si>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</si>
  <si>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</si>
  <si>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</si>
  <si>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</si>
  <si>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</si>
  <si>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</si>
  <si>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</si>
  <si>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</si>
  <si>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</si>
  <si>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</si>
  <si>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</si>
  <si>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</si>
  <si>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</si>
  <si>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</si>
  <si>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</si>
  <si>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</si>
  <si>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</si>
  <si>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</si>
  <si>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</si>
  <si>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</si>
  <si>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</si>
  <si>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</si>
  <si>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</si>
  <si>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</si>
  <si>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</si>
  <si>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</si>
  <si>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</si>
  <si>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</si>
  <si>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</si>
  <si>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</si>
  <si>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</si>
  <si>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</si>
  <si>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</si>
  <si>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</si>
  <si>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</si>
  <si>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</si>
  <si>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</si>
  <si>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</si>
  <si>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</si>
  <si>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</si>
  <si>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</si>
  <si>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</si>
  <si>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</si>
  <si>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</si>
  <si>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</si>
  <si>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</si>
  <si>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</si>
  <si>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</si>
  <si>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</si>
  <si>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</si>
  <si>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</si>
  <si>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</si>
  <si>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</si>
  <si>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</si>
  <si>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</si>
  <si>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</si>
  <si>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</si>
  <si>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</si>
  <si>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</si>
  <si>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</si>
  <si>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</si>
  <si>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</si>
  <si>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</si>
  <si>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</si>
  <si>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</si>
  <si>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</si>
  <si>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</si>
  <si>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</si>
  <si>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</si>
  <si>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</si>
  <si>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</si>
  <si>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</si>
  <si>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</si>
  <si>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</si>
  <si>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</si>
  <si>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</si>
  <si>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</si>
  <si>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</si>
  <si>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</si>
  <si>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</si>
  <si>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</si>
  <si>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</si>
  <si>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</si>
  <si>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</si>
  <si>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</si>
  <si>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</si>
  <si>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</si>
  <si>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</si>
  <si>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</si>
  <si>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</si>
  <si>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</si>
  <si>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</si>
  <si>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</si>
  <si>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</si>
  <si>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</si>
  <si>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</si>
  <si>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</si>
  <si>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</si>
  <si>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</si>
  <si>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</si>
  <si>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</si>
  <si>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</si>
  <si>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</si>
  <si>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</si>
  <si>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</si>
  <si>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</si>
  <si>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</si>
  <si>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</si>
  <si>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</si>
  <si>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</si>
  <si>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</si>
  <si>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</si>
  <si>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</si>
  <si>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</si>
  <si>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</si>
  <si>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</si>
  <si>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</si>
  <si>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</si>
  <si>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</si>
  <si>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</si>
  <si>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</si>
  <si>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</si>
  <si>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</si>
  <si>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</si>
  <si>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</si>
  <si>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</si>
  <si>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</si>
  <si>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</si>
  <si>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</si>
  <si>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</si>
  <si>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</si>
  <si>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</si>
  <si>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</si>
  <si>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</si>
  <si>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</si>
  <si>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</si>
  <si>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</si>
  <si>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</si>
  <si>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</si>
  <si>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</si>
  <si>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</si>
  <si>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</si>
  <si>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</si>
  <si>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</si>
  <si>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</si>
  <si>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</si>
  <si>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</si>
  <si>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</si>
  <si>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</si>
  <si>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</si>
  <si>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</si>
  <si>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</si>
  <si>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</si>
  <si>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</si>
  <si>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</si>
  <si>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</si>
  <si>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</si>
  <si>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</si>
  <si>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</si>
  <si>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</si>
  <si>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</si>
  <si>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</si>
  <si>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</si>
  <si>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</si>
  <si>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</si>
  <si>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</si>
  <si>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</si>
  <si>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</si>
  <si>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</si>
  <si>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</si>
  <si>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</si>
  <si>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</si>
  <si>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</si>
  <si>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</si>
  <si>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</si>
  <si>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</si>
  <si>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</si>
  <si>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</si>
  <si>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</si>
  <si>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</si>
  <si>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</si>
  <si>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</si>
  <si>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</si>
  <si>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</si>
  <si>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</si>
  <si>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</si>
  <si>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</si>
  <si>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</si>
  <si>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</si>
  <si>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</si>
  <si>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</si>
  <si>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</si>
  <si>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</si>
  <si>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</si>
  <si>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</si>
  <si>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</si>
  <si>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</si>
  <si>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</si>
  <si>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</si>
  <si>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</si>
  <si>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</si>
  <si>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</si>
  <si>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</si>
  <si>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</si>
  <si>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</si>
  <si>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</si>
  <si>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</si>
  <si>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</si>
  <si>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</si>
  <si>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</si>
  <si>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</si>
  <si>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</si>
  <si>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</si>
  <si>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</si>
  <si>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</si>
  <si>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</si>
  <si>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</si>
  <si>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</si>
  <si>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</si>
  <si>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</si>
  <si>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</si>
  <si>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</si>
  <si>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</si>
  <si>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</si>
  <si>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</si>
  <si>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</si>
  <si>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</si>
  <si>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</si>
  <si>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</si>
  <si>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</si>
  <si>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</si>
  <si>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</si>
  <si>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</si>
  <si>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</si>
  <si>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</si>
  <si>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</si>
  <si>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</si>
  <si>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</si>
  <si>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</si>
  <si>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</si>
  <si>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</si>
  <si>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</si>
  <si>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</si>
  <si>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</si>
  <si>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</si>
  <si>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</si>
  <si>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</si>
  <si>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</si>
  <si>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</si>
  <si>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</si>
  <si>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</si>
  <si>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</si>
  <si>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</si>
  <si>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</si>
  <si>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</si>
  <si>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</si>
  <si>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</si>
  <si>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</si>
  <si>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</si>
  <si>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</si>
  <si>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</si>
  <si>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</si>
  <si>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</si>
  <si>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</si>
  <si>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</si>
  <si>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</si>
  <si>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</si>
  <si>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</si>
  <si>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</si>
  <si>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</si>
  <si>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</si>
  <si>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</si>
  <si>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</si>
  <si>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</si>
  <si>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</si>
  <si>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</si>
  <si>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</si>
  <si>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</si>
  <si>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</si>
  <si>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</si>
  <si>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</si>
  <si>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</si>
  <si>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</si>
  <si>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</si>
  <si>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</si>
  <si>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</si>
  <si>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</si>
  <si>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</si>
  <si>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</si>
  <si>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</si>
  <si>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</si>
  <si>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</si>
  <si>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</si>
  <si>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</si>
  <si>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</si>
  <si>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</si>
  <si>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</si>
  <si>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</si>
  <si>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</si>
  <si>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</si>
  <si>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</si>
  <si>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</si>
  <si>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</si>
  <si>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</si>
  <si>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</si>
  <si>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</si>
  <si>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</si>
  <si>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</si>
  <si>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</si>
  <si>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</si>
  <si>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</si>
  <si>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</si>
  <si>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</si>
  <si>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</si>
  <si>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</si>
  <si>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</si>
  <si>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</si>
  <si>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</si>
  <si>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</si>
  <si>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</si>
  <si>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</si>
  <si>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</si>
  <si>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</si>
  <si>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</si>
  <si>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</si>
  <si>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</si>
  <si>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</si>
  <si>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</si>
  <si>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</si>
  <si>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</si>
  <si>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</si>
  <si>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</si>
  <si>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</si>
  <si>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</si>
  <si>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</si>
  <si>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</si>
  <si>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</si>
  <si>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</si>
  <si>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</si>
  <si>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</si>
  <si>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</si>
  <si>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</si>
  <si>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</si>
  <si>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</si>
  <si>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</si>
  <si>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</si>
  <si>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</si>
  <si>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</si>
  <si>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</si>
  <si>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</si>
  <si>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</si>
  <si>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</si>
  <si>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</si>
  <si>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</si>
  <si>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</si>
  <si>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</si>
  <si>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</si>
  <si>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</si>
  <si>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</si>
  <si>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</si>
  <si>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</si>
  <si>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</si>
  <si>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</si>
  <si>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</si>
  <si>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</si>
  <si>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</si>
  <si>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</si>
  <si>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</si>
  <si>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</si>
  <si>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</si>
  <si>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</si>
  <si>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</si>
  <si>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</si>
  <si>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</si>
  <si>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</si>
  <si>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</si>
  <si>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</si>
  <si>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</si>
  <si>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</si>
  <si>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</si>
  <si>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</si>
  <si>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</si>
  <si>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</si>
  <si>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</si>
  <si>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</si>
  <si>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</si>
  <si>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</si>
  <si>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</si>
  <si>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</si>
  <si>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</si>
  <si>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</si>
  <si>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</si>
  <si>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</si>
  <si>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</si>
  <si>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</si>
  <si>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</si>
  <si>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</si>
  <si>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</si>
  <si>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</si>
  <si>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</si>
  <si>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</si>
  <si>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</si>
  <si>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</si>
  <si>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</si>
  <si>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</si>
  <si>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</si>
  <si>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</si>
  <si>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</si>
  <si>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</si>
  <si>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</si>
  <si>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</si>
  <si>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</si>
  <si>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</si>
  <si>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</si>
  <si>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</si>
  <si>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</si>
  <si>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</si>
  <si>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</si>
  <si>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</si>
  <si>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</si>
  <si>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</si>
  <si>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</si>
  <si>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</si>
  <si>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</si>
  <si>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</si>
  <si>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</si>
  <si>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</si>
  <si>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</si>
  <si>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</si>
  <si>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</si>
  <si>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</si>
  <si>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</si>
  <si>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</si>
  <si>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</si>
  <si>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</si>
  <si>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</si>
  <si>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</si>
  <si>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</si>
  <si>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</si>
  <si>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</si>
  <si>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</si>
  <si>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</si>
  <si>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</si>
  <si>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</si>
  <si>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</si>
  <si>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</si>
  <si>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</si>
  <si>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</si>
  <si>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</si>
  <si>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</si>
  <si>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</si>
  <si>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</si>
  <si>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</si>
  <si>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</si>
  <si>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</si>
  <si>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</si>
  <si>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</si>
  <si>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</si>
  <si>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</si>
  <si>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</si>
  <si>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</si>
  <si>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</si>
  <si>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</si>
  <si>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</si>
  <si>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</si>
  <si>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</si>
  <si>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</si>
  <si>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</si>
  <si>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</si>
  <si>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</si>
  <si>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</si>
  <si>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</si>
  <si>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</si>
  <si>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</si>
  <si>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</si>
  <si>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</si>
  <si>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</si>
  <si>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</si>
  <si>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</si>
  <si>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</si>
  <si>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</si>
  <si>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</si>
  <si>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</si>
  <si>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</si>
  <si>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</si>
  <si>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</si>
  <si>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</si>
  <si>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</si>
  <si>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</si>
  <si>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</si>
  <si>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</si>
  <si>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</si>
  <si>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</si>
  <si>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</si>
  <si>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</si>
  <si>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</si>
  <si>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</si>
  <si>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</si>
  <si>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</si>
  <si>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</si>
  <si>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</si>
  <si>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</si>
  <si>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</si>
  <si>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</si>
  <si>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</si>
  <si>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</si>
  <si>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</si>
  <si>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</si>
  <si>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</si>
  <si>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</si>
  <si>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</si>
  <si>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</si>
  <si>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</si>
  <si>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</si>
  <si>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</si>
  <si>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</si>
  <si>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</si>
  <si>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</si>
  <si>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</si>
  <si>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</si>
  <si>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</si>
  <si>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</si>
  <si>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</si>
  <si>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</si>
  <si>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</si>
  <si>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</si>
  <si>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</si>
  <si>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</si>
  <si>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</si>
  <si>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</si>
  <si>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</si>
  <si>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</si>
  <si>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</si>
  <si>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</si>
  <si>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</si>
  <si>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</si>
  <si>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</si>
  <si>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</si>
  <si>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</si>
  <si>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</si>
  <si>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</si>
  <si>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</si>
  <si>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</si>
  <si>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</si>
  <si>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</si>
  <si>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</si>
  <si>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</si>
  <si>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</si>
  <si>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</si>
  <si>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</si>
  <si>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</si>
  <si>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</si>
  <si>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</si>
  <si>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</si>
  <si>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</si>
  <si>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</si>
  <si>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</si>
  <si>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</si>
  <si>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</si>
  <si>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</si>
  <si>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</si>
  <si>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</si>
  <si>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</si>
  <si>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</si>
  <si>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</si>
  <si>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</si>
  <si>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</si>
  <si>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</si>
  <si>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</si>
  <si>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</si>
  <si>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</si>
  <si>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</si>
  <si>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</si>
  <si>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</si>
  <si>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</si>
  <si>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</si>
  <si>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</si>
  <si>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</si>
  <si>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</si>
  <si>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</si>
  <si>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</si>
  <si>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</si>
  <si>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</si>
  <si>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</si>
  <si>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</si>
  <si>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</si>
  <si>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</si>
  <si>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</si>
  <si>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</si>
  <si>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</si>
  <si>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</si>
  <si>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</si>
  <si>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</si>
  <si>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</si>
  <si>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</si>
  <si>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</si>
  <si>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</si>
  <si>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</si>
  <si>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</si>
  <si>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</si>
  <si>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</si>
  <si>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</si>
  <si>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</si>
  <si>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</si>
  <si>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</si>
  <si>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</si>
  <si>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</si>
  <si>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</si>
  <si>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</si>
  <si>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</si>
  <si>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</si>
  <si>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</si>
  <si>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</si>
  <si>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</si>
  <si>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</si>
  <si>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</si>
  <si>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</si>
  <si>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</si>
  <si>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</si>
  <si>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</si>
  <si>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</si>
  <si>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</si>
  <si>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</si>
  <si>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</si>
  <si>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</si>
  <si>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</si>
  <si>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</si>
  <si>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</si>
  <si>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</si>
  <si>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</si>
  <si>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</si>
  <si>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</si>
  <si>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</si>
  <si>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</si>
  <si>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</si>
  <si>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</si>
  <si>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</si>
  <si>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</si>
  <si>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</si>
  <si>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</si>
  <si>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</si>
  <si>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</si>
  <si>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</si>
  <si>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</si>
  <si>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</si>
  <si>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</si>
  <si>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</si>
  <si>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</si>
  <si>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</si>
  <si>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</si>
  <si>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</si>
  <si>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</si>
  <si>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</si>
  <si>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</si>
  <si>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</si>
  <si>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</si>
  <si>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</si>
  <si>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</si>
  <si>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</si>
  <si>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</si>
  <si>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</si>
  <si>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</si>
  <si>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</si>
  <si>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</si>
  <si>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</si>
  <si>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</si>
  <si>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</si>
  <si>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</si>
  <si>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</si>
  <si>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</si>
  <si>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</si>
  <si>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</si>
  <si>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</si>
  <si>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</si>
  <si>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</si>
  <si>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</si>
  <si>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</si>
  <si>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</si>
  <si>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</si>
  <si>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</si>
  <si>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</si>
  <si>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</si>
  <si>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</si>
  <si>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</si>
  <si>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</si>
  <si>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</si>
  <si>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</si>
  <si>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</si>
  <si>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</si>
  <si>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</si>
  <si>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</si>
  <si>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</si>
  <si>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</si>
  <si>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</si>
  <si>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</si>
  <si>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</si>
  <si>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</si>
  <si>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</si>
  <si>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</si>
  <si>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</si>
  <si>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</si>
  <si>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</si>
  <si>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</si>
  <si>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</si>
  <si>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</si>
  <si>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</si>
  <si>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</si>
  <si>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</si>
  <si>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</si>
  <si>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</si>
  <si>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</si>
  <si>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</si>
  <si>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</si>
  <si>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</si>
  <si>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</si>
  <si>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</si>
  <si>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</si>
  <si>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</si>
  <si>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</si>
  <si>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</si>
  <si>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</si>
  <si>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</si>
  <si>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</si>
  <si>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</si>
  <si>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</si>
  <si>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</si>
  <si>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</si>
  <si>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</si>
  <si>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</si>
  <si>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</si>
  <si>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</si>
  <si>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</si>
  <si>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</si>
  <si>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</si>
  <si>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</si>
  <si>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</si>
  <si>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</si>
  <si>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</si>
  <si>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</si>
  <si>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</si>
  <si>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</si>
  <si>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</si>
  <si>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</si>
  <si>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</si>
  <si>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</si>
  <si>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</si>
  <si>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</si>
  <si>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</si>
  <si>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</si>
  <si>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</si>
  <si>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</si>
  <si>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</si>
  <si>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</si>
  <si>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</si>
  <si>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</si>
  <si>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</si>
  <si>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</si>
  <si>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</si>
  <si>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</si>
  <si>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</si>
  <si>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</si>
  <si>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</si>
  <si>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</si>
  <si>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</si>
  <si>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</si>
  <si>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</si>
  <si>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</si>
  <si>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</si>
  <si>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</si>
  <si>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</si>
  <si>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</si>
  <si>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</si>
  <si>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</si>
  <si>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</si>
  <si>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</si>
  <si>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</si>
  <si>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</si>
  <si>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</si>
  <si>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</si>
  <si>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</si>
  <si>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</si>
  <si>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</si>
  <si>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</si>
  <si>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</si>
  <si>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</si>
  <si>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</si>
  <si>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</si>
  <si>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</si>
  <si>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</si>
  <si>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</si>
  <si>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</si>
  <si>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</si>
  <si>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</si>
  <si>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</si>
  <si>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</si>
  <si>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</si>
  <si>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</si>
  <si>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</si>
  <si>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</si>
  <si>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</si>
  <si>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</si>
  <si>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</si>
  <si>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</si>
  <si>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</si>
  <si>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</si>
  <si>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</si>
  <si>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</si>
  <si>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</si>
  <si>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</si>
  <si>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</si>
  <si>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</si>
  <si>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</si>
  <si>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</si>
  <si>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</si>
  <si>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</si>
  <si>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</si>
  <si>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</si>
  <si>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</si>
  <si>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</si>
  <si>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</si>
  <si>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</si>
  <si>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</si>
  <si>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</si>
  <si>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</si>
  <si>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</si>
  <si>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</si>
  <si>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</si>
  <si>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</si>
  <si>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</si>
  <si>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</si>
  <si>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</si>
  <si>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</si>
  <si>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</si>
  <si>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</si>
  <si>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</si>
  <si>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</si>
  <si>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</si>
  <si>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</si>
  <si>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</si>
  <si>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</si>
  <si>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</si>
  <si>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</si>
  <si>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</si>
  <si>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</si>
  <si>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</si>
  <si>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</si>
  <si>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</si>
  <si>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</si>
  <si>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</si>
  <si>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</si>
  <si>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</si>
  <si>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</si>
  <si>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</si>
  <si>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</si>
  <si>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</si>
  <si>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</si>
  <si>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</si>
  <si>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</si>
  <si>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</si>
  <si>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</si>
  <si>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</si>
  <si>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</si>
  <si>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</si>
  <si>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</si>
  <si>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</si>
  <si>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</si>
  <si>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</si>
  <si>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</si>
  <si>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</si>
  <si>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</si>
  <si>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</si>
  <si>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</si>
  <si>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</si>
  <si>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</si>
  <si>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</si>
  <si>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</si>
  <si>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</si>
  <si>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</si>
  <si>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</si>
  <si>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</si>
  <si>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</si>
  <si>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</si>
  <si>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</si>
  <si>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</si>
  <si>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</si>
  <si>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</si>
  <si>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</si>
  <si>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</si>
  <si>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</si>
  <si>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</si>
  <si>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</si>
  <si>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</si>
  <si>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</si>
  <si>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</si>
  <si>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</si>
  <si>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</si>
  <si>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</si>
  <si>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</si>
  <si>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</si>
  <si>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</si>
  <si>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</si>
  <si>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</si>
  <si>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</si>
  <si>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</si>
  <si>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</si>
  <si>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</si>
  <si>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</si>
  <si>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</si>
  <si>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</si>
  <si>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</si>
  <si>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</si>
  <si>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</si>
  <si>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</si>
  <si>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</si>
  <si>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</si>
  <si>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</si>
  <si>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</si>
  <si>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</si>
  <si>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</si>
  <si>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</si>
  <si>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</si>
  <si>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</si>
  <si>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</si>
  <si>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</si>
  <si>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</si>
  <si>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</si>
  <si>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</si>
  <si>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</si>
  <si>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</si>
  <si>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</si>
  <si>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</si>
  <si>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</si>
  <si>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</si>
  <si>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</si>
  <si>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</si>
  <si>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</si>
  <si>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</si>
  <si>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</si>
  <si>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</si>
  <si>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</si>
  <si>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</si>
  <si>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</si>
  <si>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</si>
  <si>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</si>
  <si>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</si>
  <si>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</si>
  <si>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</si>
  <si>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</si>
  <si>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</si>
  <si>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</si>
  <si>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</si>
  <si>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</si>
  <si>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</si>
  <si>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</si>
  <si>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</si>
  <si>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</si>
  <si>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</si>
  <si>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</si>
  <si>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</si>
  <si>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</si>
  <si>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</si>
  <si>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</si>
  <si>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</si>
  <si>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</si>
  <si>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</si>
  <si>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</si>
  <si>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</si>
  <si>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</si>
  <si>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</si>
  <si>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</si>
  <si>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</si>
  <si>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</si>
  <si>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</si>
  <si>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</si>
  <si>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</si>
  <si>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</si>
  <si>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</si>
  <si>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</si>
  <si>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</si>
  <si>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</si>
  <si>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</si>
  <si>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</si>
  <si>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</si>
  <si>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</si>
  <si>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</si>
  <si>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</si>
  <si>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</si>
  <si>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</si>
  <si>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</si>
  <si>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</si>
  <si>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</si>
  <si>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</si>
  <si>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</si>
  <si>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</si>
  <si>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</si>
  <si>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</si>
  <si>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</si>
  <si>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</si>
  <si>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</si>
  <si>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</si>
  <si>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</si>
  <si>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</si>
  <si>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</si>
  <si>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</si>
  <si>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</si>
  <si>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</si>
  <si>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</si>
  <si>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</si>
  <si>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</si>
  <si>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</si>
  <si>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</si>
  <si>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</si>
  <si>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</si>
  <si>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</si>
  <si>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</si>
  <si>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</si>
  <si>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</si>
  <si>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</si>
  <si>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</si>
  <si>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</si>
  <si>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</si>
  <si>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</si>
  <si>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</si>
  <si>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</si>
  <si>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</si>
  <si>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</si>
  <si>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</si>
  <si>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</si>
  <si>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</si>
  <si>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</si>
  <si>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</si>
  <si>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</si>
  <si>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</si>
  <si>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</si>
  <si>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</si>
  <si>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</si>
  <si>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</si>
  <si>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</si>
  <si>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</si>
  <si>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</si>
  <si>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</si>
  <si>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</si>
  <si>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</si>
  <si>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</si>
  <si>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</si>
  <si>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</si>
  <si>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</si>
  <si>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</si>
  <si>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</si>
  <si>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</si>
  <si>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</si>
  <si>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</si>
  <si>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</si>
  <si>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</si>
  <si>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</si>
  <si>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</si>
  <si>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</si>
  <si>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</si>
  <si>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</si>
  <si>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</si>
  <si>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</si>
  <si>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</si>
  <si>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</si>
  <si>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</si>
  <si>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</si>
  <si>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</si>
  <si>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</si>
  <si>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</si>
  <si>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</si>
  <si>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</si>
  <si>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2016-17</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</si>
  <si>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</si>
  <si>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</si>
  <si>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2017-18</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</si>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</sst>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9"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worksheet" Target="worksheets/sheet154.xml"/><Relationship Id="rId15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3.xml.rels><?xml version="1.0" encoding="UTF-8"?>
<Relationships xmlns="http://schemas.openxmlformats.org/package/2006/relationships"><Relationship Id="rId1" Type="http://schemas.openxmlformats.org/officeDocument/2006/relationships/drawing" Target="../drawings/drawing16.xml"/>
</Relationships>
</file>

<file path=xl/worksheets/_rels/sheet24.xml.rels><?xml version="1.0" encoding="UTF-8"?>
<Relationships xmlns="http://schemas.openxmlformats.org/package/2006/relationships"><Relationship Id="rId1" Type="http://schemas.openxmlformats.org/officeDocument/2006/relationships/drawing" Target="../drawings/drawing17.xml"/>
</Relationships>
</file>

<file path=xl/worksheets/_rels/sheet25.xml.rels><?xml version="1.0" encoding="UTF-8"?>
<Relationships xmlns="http://schemas.openxmlformats.org/package/2006/relationships"><Relationship Id="rId1" Type="http://schemas.openxmlformats.org/officeDocument/2006/relationships/drawing" Target="../drawings/drawing18.xml"/>
</Relationships>
</file>

<file path=xl/worksheets/_rels/sheet26.xml.rels><?xml version="1.0" encoding="UTF-8"?>
<Relationships xmlns="http://schemas.openxmlformats.org/package/2006/relationships"><Relationship Id="rId1" Type="http://schemas.openxmlformats.org/officeDocument/2006/relationships/drawing" Target="../drawings/drawing19.x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2.xml.rels><?xml version="1.0" encoding="UTF-8"?>
<Relationships xmlns="http://schemas.openxmlformats.org/package/2006/relationships"><Relationship Id="rId1" Type="http://schemas.openxmlformats.org/officeDocument/2006/relationships/drawing" Target="../drawings/drawing23.xml"/>
</Relationships>
</file>

<file path=xl/worksheets/_rels/sheet33.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35.xml.rels><?xml version="1.0" encoding="UTF-8"?>
<Relationships xmlns="http://schemas.openxmlformats.org/package/2006/relationships"><Relationship Id="rId1" Type="http://schemas.openxmlformats.org/officeDocument/2006/relationships/drawing" Target="../drawings/drawing26.xml"/>
</Relationships>
</file>

<file path=xl/worksheets/_rels/sheet36.xml.rels><?xml version="1.0" encoding="UTF-8"?>
<Relationships xmlns="http://schemas.openxmlformats.org/package/2006/relationships"><Relationship Id="rId1" Type="http://schemas.openxmlformats.org/officeDocument/2006/relationships/drawing" Target="../drawings/drawing27.xml"/>
</Relationships>
</file>

<file path=xl/worksheets/_rels/sheet37.xml.rels><?xml version="1.0" encoding="UTF-8"?>
<Relationships xmlns="http://schemas.openxmlformats.org/package/2006/relationships"><Relationship Id="rId1" Type="http://schemas.openxmlformats.org/officeDocument/2006/relationships/drawing" Target="../drawings/drawing28.xml"/>
</Relationships>
</file>

<file path=xl/worksheets/_rels/sheet38.xml.rels><?xml version="1.0" encoding="UTF-8"?>
<Relationships xmlns="http://schemas.openxmlformats.org/package/2006/relationships"><Relationship Id="rId1" Type="http://schemas.openxmlformats.org/officeDocument/2006/relationships/drawing" Target="../drawings/drawing29.xml"/>
</Relationships>
</file>

<file path=xl/worksheets/_rels/sheet39.xml.rels><?xml version="1.0" encoding="UTF-8"?>
<Relationships xmlns="http://schemas.openxmlformats.org/package/2006/relationships"><Relationship Id="rId1" Type="http://schemas.openxmlformats.org/officeDocument/2006/relationships/drawing" Target="../drawings/drawing30.xml"/>
</Relationships>
</file>

<file path=xl/worksheets/_rels/sheet40.xml.rels><?xml version="1.0" encoding="UTF-8"?>
<Relationships xmlns="http://schemas.openxmlformats.org/package/2006/relationships"><Relationship Id="rId1" Type="http://schemas.openxmlformats.org/officeDocument/2006/relationships/drawing" Target="../drawings/drawing31.xml"/>
</Relationships>
</file>

<file path=xl/worksheets/_rels/sheet41.xml.rels><?xml version="1.0" encoding="UTF-8"?>
<Relationships xmlns="http://schemas.openxmlformats.org/package/2006/relationships"><Relationship Id="rId1" Type="http://schemas.openxmlformats.org/officeDocument/2006/relationships/drawing" Target="../drawings/drawing32.xml"/>
</Relationships>
</file>

<file path=xl/worksheets/_rels/sheet42.xml.rels><?xml version="1.0" encoding="UTF-8"?>
<Relationships xmlns="http://schemas.openxmlformats.org/package/2006/relationships"><Relationship Id="rId1" Type="http://schemas.openxmlformats.org/officeDocument/2006/relationships/drawing" Target="../drawings/drawing33.xml"/>
</Relationships>
</file>

<file path=xl/worksheets/_rels/sheet43.xml.rels><?xml version="1.0" encoding="UTF-8"?>
<Relationships xmlns="http://schemas.openxmlformats.org/package/2006/relationships"><Relationship Id="rId1" Type="http://schemas.openxmlformats.org/officeDocument/2006/relationships/drawing" Target="../drawings/drawing34.xml"/>
</Relationships>
</file>

<file path=xl/worksheets/_rels/sheet44.xml.rels><?xml version="1.0" encoding="UTF-8"?>
<Relationships xmlns="http://schemas.openxmlformats.org/package/2006/relationships"><Relationship Id="rId1" Type="http://schemas.openxmlformats.org/officeDocument/2006/relationships/drawing" Target="../drawings/drawing35.xml"/>
</Relationships>
</file>

<file path=xl/worksheets/_rels/sheet45.xml.rels><?xml version="1.0" encoding="UTF-8"?>
<Relationships xmlns="http://schemas.openxmlformats.org/package/2006/relationships"><Relationship Id="rId1" Type="http://schemas.openxmlformats.org/officeDocument/2006/relationships/drawing" Target="../drawings/drawing36.xml"/>
</Relationships>
</file>

<file path=xl/worksheets/_rels/sheet46.xml.rels><?xml version="1.0" encoding="UTF-8"?>
<Relationships xmlns="http://schemas.openxmlformats.org/package/2006/relationships"><Relationship Id="rId1" Type="http://schemas.openxmlformats.org/officeDocument/2006/relationships/drawing" Target="../drawings/drawing37.xml"/>
</Relationships>
</file>

<file path=xl/worksheets/_rels/sheet47.xml.rels><?xml version="1.0" encoding="UTF-8"?>
<Relationships xmlns="http://schemas.openxmlformats.org/package/2006/relationships"><Relationship Id="rId1" Type="http://schemas.openxmlformats.org/officeDocument/2006/relationships/drawing" Target="../drawings/drawing38.xml"/>
</Relationships>
</file>

<file path=xl/worksheets/_rels/sheet48.xml.rels><?xml version="1.0" encoding="UTF-8"?>
<Relationships xmlns="http://schemas.openxmlformats.org/package/2006/relationships"><Relationship Id="rId1" Type="http://schemas.openxmlformats.org/officeDocument/2006/relationships/drawing" Target="../drawings/drawing39.xml"/>
</Relationships>
</file>

<file path=xl/worksheets/_rels/sheet49.xml.rels><?xml version="1.0" encoding="UTF-8"?>
<Relationships xmlns="http://schemas.openxmlformats.org/package/2006/relationships"><Relationship Id="rId1" Type="http://schemas.openxmlformats.org/officeDocument/2006/relationships/drawing" Target="../drawings/drawing40.xml"/>
</Relationships>
</file>

<file path=xl/worksheets/_rels/sheet50.xml.rels><?xml version="1.0" encoding="UTF-8"?>
<Relationships xmlns="http://schemas.openxmlformats.org/package/2006/relationships"><Relationship Id="rId1" Type="http://schemas.openxmlformats.org/officeDocument/2006/relationships/drawing" Target="../drawings/drawing41.xml"/>
</Relationships>
</file>

<file path=xl/worksheets/_rels/sheet51.xml.rels><?xml version="1.0" encoding="UTF-8"?>
<Relationships xmlns="http://schemas.openxmlformats.org/package/2006/relationships"><Relationship Id="rId1" Type="http://schemas.openxmlformats.org/officeDocument/2006/relationships/drawing" Target="../drawings/drawing42.xml"/>
</Relationships>
</file>

<file path=xl/worksheets/_rels/sheet52.xml.rels><?xml version="1.0" encoding="UTF-8"?>
<Relationships xmlns="http://schemas.openxmlformats.org/package/2006/relationships"><Relationship Id="rId1" Type="http://schemas.openxmlformats.org/officeDocument/2006/relationships/drawing" Target="../drawings/drawing43.xml"/>
</Relationships>
</file>

<file path=xl/worksheets/_rels/sheet53.xml.rels><?xml version="1.0" encoding="UTF-8"?>
<Relationships xmlns="http://schemas.openxmlformats.org/package/2006/relationships"><Relationship Id="rId1" Type="http://schemas.openxmlformats.org/officeDocument/2006/relationships/drawing" Target="../drawings/drawing44.xml"/>
</Relationships>
</file>

<file path=xl/worksheets/_rels/sheet54.xml.rels><?xml version="1.0" encoding="UTF-8"?>
<Relationships xmlns="http://schemas.openxmlformats.org/package/2006/relationships"><Relationship Id="rId1" Type="http://schemas.openxmlformats.org/officeDocument/2006/relationships/drawing" Target="../drawings/drawing45.xml"/>
</Relationships>
</file>

<file path=xl/worksheets/_rels/sheet55.xml.rels><?xml version="1.0" encoding="UTF-8"?>
<Relationships xmlns="http://schemas.openxmlformats.org/package/2006/relationships"><Relationship Id="rId1" Type="http://schemas.openxmlformats.org/officeDocument/2006/relationships/drawing" Target="../drawings/drawing46.xml"/>
</Relationships>
</file>

<file path=xl/worksheets/_rels/sheet56.xml.rels><?xml version="1.0" encoding="UTF-8"?>
<Relationships xmlns="http://schemas.openxmlformats.org/package/2006/relationships"><Relationship Id="rId1" Type="http://schemas.openxmlformats.org/officeDocument/2006/relationships/drawing" Target="../drawings/drawing47.xml"/>
</Relationships>
</file>

<file path=xl/worksheets/_rels/sheet57.xml.rels><?xml version="1.0" encoding="UTF-8"?>
<Relationships xmlns="http://schemas.openxmlformats.org/package/2006/relationships"><Relationship Id="rId1" Type="http://schemas.openxmlformats.org/officeDocument/2006/relationships/drawing" Target="../drawings/drawing48.xml"/>
</Relationships>
</file>

<file path=xl/worksheets/_rels/sheet58.xml.rels><?xml version="1.0" encoding="UTF-8"?>
<Relationships xmlns="http://schemas.openxmlformats.org/package/2006/relationships"><Relationship Id="rId1" Type="http://schemas.openxmlformats.org/officeDocument/2006/relationships/drawing" Target="../drawings/drawing49.xml"/>
</Relationships>
</file>

<file path=xl/worksheets/_rels/sheet59.xml.rels><?xml version="1.0" encoding="UTF-8"?>
<Relationships xmlns="http://schemas.openxmlformats.org/package/2006/relationships"><Relationship Id="rId1" Type="http://schemas.openxmlformats.org/officeDocument/2006/relationships/drawing" Target="../drawings/drawing50.xml"/>
</Relationships>
</file>

<file path=xl/worksheets/_rels/sheet60.xml.rels><?xml version="1.0" encoding="UTF-8"?>
<Relationships xmlns="http://schemas.openxmlformats.org/package/2006/relationships"><Relationship Id="rId1" Type="http://schemas.openxmlformats.org/officeDocument/2006/relationships/drawing" Target="../drawings/drawing51.xml"/>
</Relationships>
</file>

<file path=xl/worksheets/_rels/sheet61.xml.rels><?xml version="1.0" encoding="UTF-8"?>
<Relationships xmlns="http://schemas.openxmlformats.org/package/2006/relationships"><Relationship Id="rId1" Type="http://schemas.openxmlformats.org/officeDocument/2006/relationships/drawing" Target="../drawings/drawing52.xml"/>
</Relationships>
</file>

<file path=xl/worksheets/_rels/sheet62.xml.rels><?xml version="1.0" encoding="UTF-8"?>
<Relationships xmlns="http://schemas.openxmlformats.org/package/2006/relationships"><Relationship Id="rId1" Type="http://schemas.openxmlformats.org/officeDocument/2006/relationships/drawing" Target="../drawings/drawing53.xml"/>
</Relationships>
</file>

<file path=xl/worksheets/_rels/sheet63.xml.rels><?xml version="1.0" encoding="UTF-8"?>
<Relationships xmlns="http://schemas.openxmlformats.org/package/2006/relationships"><Relationship Id="rId1" Type="http://schemas.openxmlformats.org/officeDocument/2006/relationships/drawing" Target="../drawings/drawing54.xml"/>
</Relationships>
</file>

<file path=xl/worksheets/_rels/sheet64.xml.rels><?xml version="1.0" encoding="UTF-8"?>
<Relationships xmlns="http://schemas.openxmlformats.org/package/2006/relationships"><Relationship Id="rId1" Type="http://schemas.openxmlformats.org/officeDocument/2006/relationships/drawing" Target="../drawings/drawing55.xml"/>
</Relationships>
</file>

<file path=xl/worksheets/_rels/sheet65.xml.rels><?xml version="1.0" encoding="UTF-8"?>
<Relationships xmlns="http://schemas.openxmlformats.org/package/2006/relationships"><Relationship Id="rId1" Type="http://schemas.openxmlformats.org/officeDocument/2006/relationships/drawing" Target="../drawings/drawing56.xml"/>
</Relationships>
</file>

<file path=xl/worksheets/_rels/sheet66.xml.rels><?xml version="1.0" encoding="UTF-8"?>
<Relationships xmlns="http://schemas.openxmlformats.org/package/2006/relationships"><Relationship Id="rId1" Type="http://schemas.openxmlformats.org/officeDocument/2006/relationships/drawing" Target="../drawings/drawing57.xml"/>
</Relationships>
</file>

<file path=xl/worksheets/_rels/sheet67.xml.rels><?xml version="1.0" encoding="UTF-8"?>
<Relationships xmlns="http://schemas.openxmlformats.org/package/2006/relationships"><Relationship Id="rId1" Type="http://schemas.openxmlformats.org/officeDocument/2006/relationships/drawing" Target="../drawings/drawing58.xml"/>
</Relationships>
</file>

<file path=xl/worksheets/_rels/sheet68.xml.rels><?xml version="1.0" encoding="UTF-8"?>
<Relationships xmlns="http://schemas.openxmlformats.org/package/2006/relationships"><Relationship Id="rId1" Type="http://schemas.openxmlformats.org/officeDocument/2006/relationships/drawing" Target="../drawings/drawing59.xml"/>
</Relationships>
</file>

<file path=xl/worksheets/_rels/sheet69.xml.rels><?xml version="1.0" encoding="UTF-8"?>
<Relationships xmlns="http://schemas.openxmlformats.org/package/2006/relationships"><Relationship Id="rId1" Type="http://schemas.openxmlformats.org/officeDocument/2006/relationships/drawing" Target="../drawings/drawing60.xml"/>
</Relationships>
</file>

<file path=xl/worksheets/_rels/sheet70.xml.rels><?xml version="1.0" encoding="UTF-8"?>
<Relationships xmlns="http://schemas.openxmlformats.org/package/2006/relationships"><Relationship Id="rId1" Type="http://schemas.openxmlformats.org/officeDocument/2006/relationships/drawing" Target="../drawings/drawing61.xml"/>
</Relationships>
</file>

<file path=xl/worksheets/_rels/sheet71.xml.rels><?xml version="1.0" encoding="UTF-8"?>
<Relationships xmlns="http://schemas.openxmlformats.org/package/2006/relationships"><Relationship Id="rId1" Type="http://schemas.openxmlformats.org/officeDocument/2006/relationships/drawing" Target="../drawings/drawing62.xml"/>
</Relationships>
</file>

<file path=xl/worksheets/_rels/sheet72.xml.rels><?xml version="1.0" encoding="UTF-8"?>
<Relationships xmlns="http://schemas.openxmlformats.org/package/2006/relationships"><Relationship Id="rId1" Type="http://schemas.openxmlformats.org/officeDocument/2006/relationships/drawing" Target="../drawings/drawing63.xml"/>
</Relationships>
</file>

<file path=xl/worksheets/_rels/sheet73.xml.rels><?xml version="1.0" encoding="UTF-8"?>
<Relationships xmlns="http://schemas.openxmlformats.org/package/2006/relationships"><Relationship Id="rId1" Type="http://schemas.openxmlformats.org/officeDocument/2006/relationships/drawing" Target="../drawings/drawing64.xml"/>
</Relationships>
</file>

<file path=xl/worksheets/_rels/sheet74.xml.rels><?xml version="1.0" encoding="UTF-8"?>
<Relationships xmlns="http://schemas.openxmlformats.org/package/2006/relationships"><Relationship Id="rId1" Type="http://schemas.openxmlformats.org/officeDocument/2006/relationships/drawing" Target="../drawings/drawing65.xml"/>
</Relationships>
</file>

<file path=xl/worksheets/_rels/sheet75.xml.rels><?xml version="1.0" encoding="UTF-8"?>
<Relationships xmlns="http://schemas.openxmlformats.org/package/2006/relationships"><Relationship Id="rId1" Type="http://schemas.openxmlformats.org/officeDocument/2006/relationships/drawing" Target="../drawings/drawing66.xml"/>
</Relationships>
</file>

<file path=xl/worksheets/_rels/sheet76.xml.rels><?xml version="1.0" encoding="UTF-8"?>
<Relationships xmlns="http://schemas.openxmlformats.org/package/2006/relationships"><Relationship Id="rId1" Type="http://schemas.openxmlformats.org/officeDocument/2006/relationships/drawing" Target="../drawings/drawing67.xml"/>
</Relationships>
</file>

<file path=xl/worksheets/_rels/sheet77.xml.rels><?xml version="1.0" encoding="UTF-8"?>
<Relationships xmlns="http://schemas.openxmlformats.org/package/2006/relationships"><Relationship Id="rId1" Type="http://schemas.openxmlformats.org/officeDocument/2006/relationships/drawing" Target="../drawings/drawing68.xml"/>
</Relationships>
</file>

<file path=xl/worksheets/_rels/sheet78.xml.rels><?xml version="1.0" encoding="UTF-8"?>
<Relationships xmlns="http://schemas.openxmlformats.org/package/2006/relationships"><Relationship Id="rId1" Type="http://schemas.openxmlformats.org/officeDocument/2006/relationships/drawing" Target="../drawings/drawing69.xml"/>
</Relationships>
</file>

<file path=xl/worksheets/_rels/sheet79.xml.rels><?xml version="1.0" encoding="UTF-8"?>
<Relationships xmlns="http://schemas.openxmlformats.org/package/2006/relationships"><Relationship Id="rId1" Type="http://schemas.openxmlformats.org/officeDocument/2006/relationships/drawing" Target="../drawings/drawing70.xml"/>
</Relationships>
</file>

<file path=xl/worksheets/_rels/sheet80.xml.rels><?xml version="1.0" encoding="UTF-8"?>
<Relationships xmlns="http://schemas.openxmlformats.org/package/2006/relationships"><Relationship Id="rId1" Type="http://schemas.openxmlformats.org/officeDocument/2006/relationships/drawing" Target="../drawings/drawing71.xml"/>
</Relationships>
</file>

<file path=xl/worksheets/_rels/sheet81.xml.rels><?xml version="1.0" encoding="UTF-8"?>
<Relationships xmlns="http://schemas.openxmlformats.org/package/2006/relationships"><Relationship Id="rId1" Type="http://schemas.openxmlformats.org/officeDocument/2006/relationships/drawing" Target="../drawings/drawing72.xml"/>
</Relationships>
</file>

<file path=xl/worksheets/_rels/sheet82.xml.rels><?xml version="1.0" encoding="UTF-8"?>
<Relationships xmlns="http://schemas.openxmlformats.org/package/2006/relationships"><Relationship Id="rId1" Type="http://schemas.openxmlformats.org/officeDocument/2006/relationships/drawing" Target="../drawings/drawing73.xml"/>
</Relationships>
</file>

<file path=xl/worksheets/_rels/sheet83.xml.rels><?xml version="1.0" encoding="UTF-8"?>
<Relationships xmlns="http://schemas.openxmlformats.org/package/2006/relationships"><Relationship Id="rId1" Type="http://schemas.openxmlformats.org/officeDocument/2006/relationships/drawing" Target="../drawings/drawing74.xml"/>
</Relationships>
</file>

<file path=xl/worksheets/_rels/sheet84.xml.rels><?xml version="1.0" encoding="UTF-8"?>
<Relationships xmlns="http://schemas.openxmlformats.org/package/2006/relationships"><Relationship Id="rId1" Type="http://schemas.openxmlformats.org/officeDocument/2006/relationships/drawing" Target="../drawings/drawing75.xml"/>
</Relationships>
</file>

<file path=xl/worksheets/_rels/sheet85.xml.rels><?xml version="1.0" encoding="UTF-8"?>
<Relationships xmlns="http://schemas.openxmlformats.org/package/2006/relationships"><Relationship Id="rId1" Type="http://schemas.openxmlformats.org/officeDocument/2006/relationships/drawing" Target="../drawings/drawing76.xml"/>
</Relationships>
</file>

<file path=xl/worksheets/_rels/sheet86.xml.rels><?xml version="1.0" encoding="UTF-8"?>
<Relationships xmlns="http://schemas.openxmlformats.org/package/2006/relationships"><Relationship Id="rId1" Type="http://schemas.openxmlformats.org/officeDocument/2006/relationships/drawing" Target="../drawings/drawing77.xml"/>
</Relationships>
</file>

<file path=xl/worksheets/_rels/sheet87.xml.rels><?xml version="1.0" encoding="UTF-8"?>
<Relationships xmlns="http://schemas.openxmlformats.org/package/2006/relationships"><Relationship Id="rId1" Type="http://schemas.openxmlformats.org/officeDocument/2006/relationships/drawing" Target="../drawings/drawing78.xml"/>
</Relationships>
</file>

<file path=xl/worksheets/_rels/sheet88.xml.rels><?xml version="1.0" encoding="UTF-8"?>
<Relationships xmlns="http://schemas.openxmlformats.org/package/2006/relationships"><Relationship Id="rId1" Type="http://schemas.openxmlformats.org/officeDocument/2006/relationships/drawing" Target="../drawings/drawing79.xml"/>
</Relationships>
</file>

<file path=xl/worksheets/_rels/sheet89.xml.rels><?xml version="1.0" encoding="UTF-8"?>
<Relationships xmlns="http://schemas.openxmlformats.org/package/2006/relationships"><Relationship Id="rId1" Type="http://schemas.openxmlformats.org/officeDocument/2006/relationships/drawing" Target="../drawings/drawing80.xml"/>
</Relationships>
</file>

<file path=xl/worksheets/_rels/sheet90.xml.rels><?xml version="1.0" encoding="UTF-8"?>
<Relationships xmlns="http://schemas.openxmlformats.org/package/2006/relationships"><Relationship Id="rId1" Type="http://schemas.openxmlformats.org/officeDocument/2006/relationships/drawing" Target="../drawings/drawing81.xml"/>
</Relationships>
</file>

<file path=xl/worksheets/_rels/sheet91.xml.rels><?xml version="1.0" encoding="UTF-8"?>
<Relationships xmlns="http://schemas.openxmlformats.org/package/2006/relationships"><Relationship Id="rId1" Type="http://schemas.openxmlformats.org/officeDocument/2006/relationships/drawing" Target="../drawings/drawing82.xml"/>
</Relationships>
</file>

<file path=xl/worksheets/_rels/sheet92.xml.rels><?xml version="1.0" encoding="UTF-8"?>
<Relationships xmlns="http://schemas.openxmlformats.org/package/2006/relationships"><Relationship Id="rId1" Type="http://schemas.openxmlformats.org/officeDocument/2006/relationships/drawing" Target="../drawings/drawing83.xml"/>
</Relationships>
</file>

<file path=xl/worksheets/_rels/sheet93.xml.rels><?xml version="1.0" encoding="UTF-8"?>
<Relationships xmlns="http://schemas.openxmlformats.org/package/2006/relationships"><Relationship Id="rId1" Type="http://schemas.openxmlformats.org/officeDocument/2006/relationships/drawing" Target="../drawings/drawing84.xml"/>
</Relationships>
</file>

<file path=xl/worksheets/_rels/sheet94.xml.rels><?xml version="1.0" encoding="UTF-8"?>
<Relationships xmlns="http://schemas.openxmlformats.org/package/2006/relationships"><Relationship Id="rId1" Type="http://schemas.openxmlformats.org/officeDocument/2006/relationships/drawing" Target="../drawings/drawing85.xml"/>
</Relationships>
</file>

<file path=xl/worksheets/_rels/sheet95.xml.rels><?xml version="1.0" encoding="UTF-8"?>
<Relationships xmlns="http://schemas.openxmlformats.org/package/2006/relationships"><Relationship Id="rId1" Type="http://schemas.openxmlformats.org/officeDocument/2006/relationships/drawing" Target="../drawings/drawing86.xml"/>
</Relationships>
</file>

<file path=xl/worksheets/_rels/sheet96.xml.rels><?xml version="1.0" encoding="UTF-8"?>
<Relationships xmlns="http://schemas.openxmlformats.org/package/2006/relationships"><Relationship Id="rId1" Type="http://schemas.openxmlformats.org/officeDocument/2006/relationships/drawing" Target="../drawings/drawing87.xml"/>
</Relationships>
</file>

<file path=xl/worksheets/_rels/sheet97.xml.rels><?xml version="1.0" encoding="UTF-8"?>
<Relationships xmlns="http://schemas.openxmlformats.org/package/2006/relationships"><Relationship Id="rId1" Type="http://schemas.openxmlformats.org/officeDocument/2006/relationships/drawing" Target="../drawings/drawing88.xml"/>
</Relationships>
</file>

<file path=xl/worksheets/_rels/sheet98.xml.rels><?xml version="1.0" encoding="UTF-8"?>
<Relationships xmlns="http://schemas.openxmlformats.org/package/2006/relationships"><Relationship Id="rId1" Type="http://schemas.openxmlformats.org/officeDocument/2006/relationships/drawing" Target="../drawings/drawing89.xml"/>
</Relationships>
</file>

<file path=xl/worksheets/_rels/sheet99.xml.rels><?xml version="1.0" encoding="UTF-8"?>
<Relationships xmlns="http://schemas.openxmlformats.org/package/2006/relationships"><Relationship Id="rId1" Type="http://schemas.openxmlformats.org/officeDocument/2006/relationships/drawing" Target="../drawings/drawing90.xml"/>
</Relationships>
</file>

<file path=xl/worksheets/_rels/sheet100.xml.rels><?xml version="1.0" encoding="UTF-8"?>
<Relationships xmlns="http://schemas.openxmlformats.org/package/2006/relationships"><Relationship Id="rId1" Type="http://schemas.openxmlformats.org/officeDocument/2006/relationships/drawing" Target="../drawings/drawing91.xml"/>
</Relationships>
</file>

<file path=xl/worksheets/_rels/sheet101.xml.rels><?xml version="1.0" encoding="UTF-8"?>
<Relationships xmlns="http://schemas.openxmlformats.org/package/2006/relationships"><Relationship Id="rId1" Type="http://schemas.openxmlformats.org/officeDocument/2006/relationships/drawing" Target="../drawings/drawing92.xml"/>
</Relationships>
</file>

<file path=xl/worksheets/_rels/sheet102.xml.rels><?xml version="1.0" encoding="UTF-8"?>
<Relationships xmlns="http://schemas.openxmlformats.org/package/2006/relationships"><Relationship Id="rId1" Type="http://schemas.openxmlformats.org/officeDocument/2006/relationships/drawing" Target="../drawings/drawing93.xml"/>
</Relationships>
</file>

<file path=xl/worksheets/_rels/sheet103.xml.rels><?xml version="1.0" encoding="UTF-8"?>
<Relationships xmlns="http://schemas.openxmlformats.org/package/2006/relationships"><Relationship Id="rId1" Type="http://schemas.openxmlformats.org/officeDocument/2006/relationships/drawing" Target="../drawings/drawing94.xml"/>
</Relationships>
</file>

<file path=xl/worksheets/_rels/sheet104.xml.rels><?xml version="1.0" encoding="UTF-8"?>
<Relationships xmlns="http://schemas.openxmlformats.org/package/2006/relationships"><Relationship Id="rId1" Type="http://schemas.openxmlformats.org/officeDocument/2006/relationships/drawing" Target="../drawings/drawing95.xml"/>
</Relationships>
</file>

<file path=xl/worksheets/_rels/sheet105.xml.rels><?xml version="1.0" encoding="UTF-8"?>
<Relationships xmlns="http://schemas.openxmlformats.org/package/2006/relationships"><Relationship Id="rId1" Type="http://schemas.openxmlformats.org/officeDocument/2006/relationships/drawing" Target="../drawings/drawing96.xml"/>
</Relationships>
</file>

<file path=xl/worksheets/_rels/sheet106.xml.rels><?xml version="1.0" encoding="UTF-8"?>
<Relationships xmlns="http://schemas.openxmlformats.org/package/2006/relationships"><Relationship Id="rId1" Type="http://schemas.openxmlformats.org/officeDocument/2006/relationships/drawing" Target="../drawings/drawing97.xml"/>
</Relationships>
</file>

<file path=xl/worksheets/_rels/sheet107.xml.rels><?xml version="1.0" encoding="UTF-8"?>
<Relationships xmlns="http://schemas.openxmlformats.org/package/2006/relationships"><Relationship Id="rId1" Type="http://schemas.openxmlformats.org/officeDocument/2006/relationships/drawing" Target="../drawings/drawing98.xml"/>
</Relationships>
</file>

<file path=xl/worksheets/_rels/sheet108.xml.rels><?xml version="1.0" encoding="UTF-8"?>
<Relationships xmlns="http://schemas.openxmlformats.org/package/2006/relationships"><Relationship Id="rId1" Type="http://schemas.openxmlformats.org/officeDocument/2006/relationships/drawing" Target="../drawings/drawing99.xml"/>
</Relationships>
</file>

<file path=xl/worksheets/_rels/sheet109.xml.rels><?xml version="1.0" encoding="UTF-8"?>
<Relationships xmlns="http://schemas.openxmlformats.org/package/2006/relationships"><Relationship Id="rId1" Type="http://schemas.openxmlformats.org/officeDocument/2006/relationships/drawing" Target="../drawings/drawing100.xml"/>
</Relationships>
</file>

<file path=xl/worksheets/_rels/sheet110.xml.rels><?xml version="1.0" encoding="UTF-8"?>
<Relationships xmlns="http://schemas.openxmlformats.org/package/2006/relationships"><Relationship Id="rId1" Type="http://schemas.openxmlformats.org/officeDocument/2006/relationships/drawing" Target="../drawings/drawing101.xml"/>
</Relationships>
</file>

<file path=xl/worksheets/_rels/sheet111.xml.rels><?xml version="1.0" encoding="UTF-8"?>
<Relationships xmlns="http://schemas.openxmlformats.org/package/2006/relationships"><Relationship Id="rId1" Type="http://schemas.openxmlformats.org/officeDocument/2006/relationships/drawing" Target="../drawings/drawing102.xml"/>
</Relationships>
</file>

<file path=xl/worksheets/_rels/sheet112.xml.rels><?xml version="1.0" encoding="UTF-8"?>
<Relationships xmlns="http://schemas.openxmlformats.org/package/2006/relationships"><Relationship Id="rId1" Type="http://schemas.openxmlformats.org/officeDocument/2006/relationships/drawing" Target="../drawings/drawing103.xml"/>
</Relationships>
</file>

<file path=xl/worksheets/_rels/sheet113.xml.rels><?xml version="1.0" encoding="UTF-8"?>
<Relationships xmlns="http://schemas.openxmlformats.org/package/2006/relationships"><Relationship Id="rId1" Type="http://schemas.openxmlformats.org/officeDocument/2006/relationships/drawing" Target="../drawings/drawing104.xml"/>
</Relationships>
</file>

<file path=xl/worksheets/_rels/sheet114.xml.rels><?xml version="1.0" encoding="UTF-8"?>
<Relationships xmlns="http://schemas.openxmlformats.org/package/2006/relationships"><Relationship Id="rId1" Type="http://schemas.openxmlformats.org/officeDocument/2006/relationships/drawing" Target="../drawings/drawing105.xml"/>
</Relationships>
</file>

<file path=xl/worksheets/_rels/sheet115.xml.rels><?xml version="1.0" encoding="UTF-8"?>
<Relationships xmlns="http://schemas.openxmlformats.org/package/2006/relationships"><Relationship Id="rId1" Type="http://schemas.openxmlformats.org/officeDocument/2006/relationships/drawing" Target="../drawings/drawing106.xml"/>
</Relationships>
</file>

<file path=xl/worksheets/_rels/sheet116.xml.rels><?xml version="1.0" encoding="UTF-8"?>
<Relationships xmlns="http://schemas.openxmlformats.org/package/2006/relationships"><Relationship Id="rId1" Type="http://schemas.openxmlformats.org/officeDocument/2006/relationships/drawing" Target="../drawings/drawing107.xml"/>
</Relationships>
</file>

<file path=xl/worksheets/_rels/sheet117.xml.rels><?xml version="1.0" encoding="UTF-8"?>
<Relationships xmlns="http://schemas.openxmlformats.org/package/2006/relationships"><Relationship Id="rId1" Type="http://schemas.openxmlformats.org/officeDocument/2006/relationships/drawing" Target="../drawings/drawing108.xml"/>
</Relationships>
</file>

<file path=xl/worksheets/_rels/sheet118.xml.rels><?xml version="1.0" encoding="UTF-8"?>
<Relationships xmlns="http://schemas.openxmlformats.org/package/2006/relationships"><Relationship Id="rId1" Type="http://schemas.openxmlformats.org/officeDocument/2006/relationships/drawing" Target="../drawings/drawing109.xml"/>
</Relationships>
</file>

<file path=xl/worksheets/_rels/sheet119.xml.rels><?xml version="1.0" encoding="UTF-8"?>
<Relationships xmlns="http://schemas.openxmlformats.org/package/2006/relationships"><Relationship Id="rId1" Type="http://schemas.openxmlformats.org/officeDocument/2006/relationships/drawing" Target="../drawings/drawing110.xml"/>
</Relationships>
</file>

<file path=xl/worksheets/_rels/sheet120.xml.rels><?xml version="1.0" encoding="UTF-8"?>
<Relationships xmlns="http://schemas.openxmlformats.org/package/2006/relationships"><Relationship Id="rId1" Type="http://schemas.openxmlformats.org/officeDocument/2006/relationships/drawing" Target="../drawings/drawing111.xml"/>
</Relationships>
</file>

<file path=xl/worksheets/_rels/sheet121.xml.rels><?xml version="1.0" encoding="UTF-8"?>
<Relationships xmlns="http://schemas.openxmlformats.org/package/2006/relationships"><Relationship Id="rId1" Type="http://schemas.openxmlformats.org/officeDocument/2006/relationships/drawing" Target="../drawings/drawing112.xml"/>
</Relationships>
</file>

<file path=xl/worksheets/_rels/sheet122.xml.rels><?xml version="1.0" encoding="UTF-8"?>
<Relationships xmlns="http://schemas.openxmlformats.org/package/2006/relationships"><Relationship Id="rId1" Type="http://schemas.openxmlformats.org/officeDocument/2006/relationships/drawing" Target="../drawings/drawing113.xml"/>
</Relationships>
</file>

<file path=xl/worksheets/_rels/sheet123.xml.rels><?xml version="1.0" encoding="UTF-8"?>
<Relationships xmlns="http://schemas.openxmlformats.org/package/2006/relationships"><Relationship Id="rId1" Type="http://schemas.openxmlformats.org/officeDocument/2006/relationships/drawing" Target="../drawings/drawing114.xml"/>
</Relationships>
</file>

<file path=xl/worksheets/_rels/sheet124.xml.rels><?xml version="1.0" encoding="UTF-8"?>
<Relationships xmlns="http://schemas.openxmlformats.org/package/2006/relationships"><Relationship Id="rId1" Type="http://schemas.openxmlformats.org/officeDocument/2006/relationships/drawing" Target="../drawings/drawing115.xml"/>
</Relationships>
</file>

<file path=xl/worksheets/_rels/sheet125.xml.rels><?xml version="1.0" encoding="UTF-8"?>
<Relationships xmlns="http://schemas.openxmlformats.org/package/2006/relationships"><Relationship Id="rId1" Type="http://schemas.openxmlformats.org/officeDocument/2006/relationships/drawing" Target="../drawings/drawing116.xml"/>
</Relationships>
</file>

<file path=xl/worksheets/_rels/sheet126.xml.rels><?xml version="1.0" encoding="UTF-8"?>
<Relationships xmlns="http://schemas.openxmlformats.org/package/2006/relationships"><Relationship Id="rId1" Type="http://schemas.openxmlformats.org/officeDocument/2006/relationships/drawing" Target="../drawings/drawing117.xml"/>
</Relationships>
</file>

<file path=xl/worksheets/_rels/sheet127.xml.rels><?xml version="1.0" encoding="UTF-8"?>
<Relationships xmlns="http://schemas.openxmlformats.org/package/2006/relationships"><Relationship Id="rId1" Type="http://schemas.openxmlformats.org/officeDocument/2006/relationships/drawing" Target="../drawings/drawing118.xml"/>
</Relationships>
</file>

<file path=xl/worksheets/_rels/sheet128.xml.rels><?xml version="1.0" encoding="UTF-8"?>
<Relationships xmlns="http://schemas.openxmlformats.org/package/2006/relationships"><Relationship Id="rId1" Type="http://schemas.openxmlformats.org/officeDocument/2006/relationships/drawing" Target="../drawings/drawing119.xml"/>
</Relationships>
</file>

<file path=xl/worksheets/_rels/sheet129.xml.rels><?xml version="1.0" encoding="UTF-8"?>
<Relationships xmlns="http://schemas.openxmlformats.org/package/2006/relationships"><Relationship Id="rId1" Type="http://schemas.openxmlformats.org/officeDocument/2006/relationships/drawing" Target="../drawings/drawing120.xml"/>
</Relationships>
</file>

<file path=xl/worksheets/_rels/sheet130.xml.rels><?xml version="1.0" encoding="UTF-8"?>
<Relationships xmlns="http://schemas.openxmlformats.org/package/2006/relationships"><Relationship Id="rId1" Type="http://schemas.openxmlformats.org/officeDocument/2006/relationships/drawing" Target="../drawings/drawing121.xml"/>
</Relationships>
</file>

<file path=xl/worksheets/_rels/sheet131.xml.rels><?xml version="1.0" encoding="UTF-8"?>
<Relationships xmlns="http://schemas.openxmlformats.org/package/2006/relationships"><Relationship Id="rId1" Type="http://schemas.openxmlformats.org/officeDocument/2006/relationships/drawing" Target="../drawings/drawing122.xml"/>
</Relationships>
</file>

<file path=xl/worksheets/_rels/sheet132.xml.rels><?xml version="1.0" encoding="UTF-8"?>
<Relationships xmlns="http://schemas.openxmlformats.org/package/2006/relationships"><Relationship Id="rId1" Type="http://schemas.openxmlformats.org/officeDocument/2006/relationships/drawing" Target="../drawings/drawing123.xml"/>
</Relationships>
</file>

<file path=xl/worksheets/_rels/sheet133.xml.rels><?xml version="1.0" encoding="UTF-8"?>
<Relationships xmlns="http://schemas.openxmlformats.org/package/2006/relationships"><Relationship Id="rId1" Type="http://schemas.openxmlformats.org/officeDocument/2006/relationships/drawing" Target="../drawings/drawing124.xml"/>
</Relationships>
</file>

<file path=xl/worksheets/_rels/sheet134.xml.rels><?xml version="1.0" encoding="UTF-8"?>
<Relationships xmlns="http://schemas.openxmlformats.org/package/2006/relationships"><Relationship Id="rId1" Type="http://schemas.openxmlformats.org/officeDocument/2006/relationships/drawing" Target="../drawings/drawing125.xml"/>
</Relationships>
</file>

<file path=xl/worksheets/_rels/sheet135.xml.rels><?xml version="1.0" encoding="UTF-8"?>
<Relationships xmlns="http://schemas.openxmlformats.org/package/2006/relationships"><Relationship Id="rId1" Type="http://schemas.openxmlformats.org/officeDocument/2006/relationships/drawing" Target="../drawings/drawing126.xml"/>
</Relationships>
</file>

<file path=xl/worksheets/_rels/sheet136.xml.rels><?xml version="1.0" encoding="UTF-8"?>
<Relationships xmlns="http://schemas.openxmlformats.org/package/2006/relationships"><Relationship Id="rId1" Type="http://schemas.openxmlformats.org/officeDocument/2006/relationships/drawing" Target="../drawings/drawing127.xml"/>
</Relationships>
</file>

<file path=xl/worksheets/_rels/sheet137.xml.rels><?xml version="1.0" encoding="UTF-8"?>
<Relationships xmlns="http://schemas.openxmlformats.org/package/2006/relationships"><Relationship Id="rId1" Type="http://schemas.openxmlformats.org/officeDocument/2006/relationships/drawing" Target="../drawings/drawing128.xml"/>
</Relationships>
</file>

<file path=xl/worksheets/_rels/sheet138.xml.rels><?xml version="1.0" encoding="UTF-8"?>
<Relationships xmlns="http://schemas.openxmlformats.org/package/2006/relationships"><Relationship Id="rId1" Type="http://schemas.openxmlformats.org/officeDocument/2006/relationships/drawing" Target="../drawings/drawing129.xml"/>
</Relationships>
</file>

<file path=xl/worksheets/_rels/sheet139.xml.rels><?xml version="1.0" encoding="UTF-8"?>
<Relationships xmlns="http://schemas.openxmlformats.org/package/2006/relationships"><Relationship Id="rId1" Type="http://schemas.openxmlformats.org/officeDocument/2006/relationships/drawing" Target="../drawings/drawing130.xml"/>
</Relationships>
</file>

<file path=xl/worksheets/_rels/sheet140.xml.rels><?xml version="1.0" encoding="UTF-8"?>
<Relationships xmlns="http://schemas.openxmlformats.org/package/2006/relationships"><Relationship Id="rId1" Type="http://schemas.openxmlformats.org/officeDocument/2006/relationships/drawing" Target="../drawings/drawing131.xml"/>
</Relationships>
</file>

<file path=xl/worksheets/_rels/sheet141.xml.rels><?xml version="1.0" encoding="UTF-8"?>
<Relationships xmlns="http://schemas.openxmlformats.org/package/2006/relationships"><Relationship Id="rId1" Type="http://schemas.openxmlformats.org/officeDocument/2006/relationships/drawing" Target="../drawings/drawing132.xml"/>
</Relationships>
</file>

<file path=xl/worksheets/_rels/sheet142.xml.rels><?xml version="1.0" encoding="UTF-8"?>
<Relationships xmlns="http://schemas.openxmlformats.org/package/2006/relationships"><Relationship Id="rId1" Type="http://schemas.openxmlformats.org/officeDocument/2006/relationships/drawing" Target="../drawings/drawing133.xml"/>
</Relationships>
</file>

<file path=xl/worksheets/_rels/sheet143.xml.rels><?xml version="1.0" encoding="UTF-8"?>
<Relationships xmlns="http://schemas.openxmlformats.org/package/2006/relationships"><Relationship Id="rId1" Type="http://schemas.openxmlformats.org/officeDocument/2006/relationships/drawing" Target="../drawings/drawing134.xml"/>
</Relationships>
</file>

<file path=xl/worksheets/_rels/sheet144.xml.rels><?xml version="1.0" encoding="UTF-8"?>
<Relationships xmlns="http://schemas.openxmlformats.org/package/2006/relationships"><Relationship Id="rId1" Type="http://schemas.openxmlformats.org/officeDocument/2006/relationships/drawing" Target="../drawings/drawing135.xml"/>
</Relationships>
</file>

<file path=xl/worksheets/_rels/sheet145.xml.rels><?xml version="1.0" encoding="UTF-8"?>
<Relationships xmlns="http://schemas.openxmlformats.org/package/2006/relationships"><Relationship Id="rId1" Type="http://schemas.openxmlformats.org/officeDocument/2006/relationships/drawing" Target="../drawings/drawing136.xml"/>
</Relationships>
</file>

<file path=xl/worksheets/_rels/sheet146.xml.rels><?xml version="1.0" encoding="UTF-8"?>
<Relationships xmlns="http://schemas.openxmlformats.org/package/2006/relationships"><Relationship Id="rId1" Type="http://schemas.openxmlformats.org/officeDocument/2006/relationships/drawing" Target="../drawings/drawing137.xml"/>
</Relationships>
</file>

<file path=xl/worksheets/_rels/sheet147.xml.rels><?xml version="1.0" encoding="UTF-8"?>
<Relationships xmlns="http://schemas.openxmlformats.org/package/2006/relationships"><Relationship Id="rId1" Type="http://schemas.openxmlformats.org/officeDocument/2006/relationships/drawing" Target="../drawings/drawing138.xml"/>
</Relationships>
</file>

<file path=xl/worksheets/_rels/sheet148.xml.rels><?xml version="1.0" encoding="UTF-8"?>
<Relationships xmlns="http://schemas.openxmlformats.org/package/2006/relationships"><Relationship Id="rId1" Type="http://schemas.openxmlformats.org/officeDocument/2006/relationships/drawing" Target="../drawings/drawing139.xml"/>
</Relationships>
</file>

<file path=xl/worksheets/_rels/sheet149.xml.rels><?xml version="1.0" encoding="UTF-8"?>
<Relationships xmlns="http://schemas.openxmlformats.org/package/2006/relationships"><Relationship Id="rId1" Type="http://schemas.openxmlformats.org/officeDocument/2006/relationships/drawing" Target="../drawings/drawing140.xml"/>
</Relationships>
</file>

<file path=xl/worksheets/_rels/sheet150.xml.rels><?xml version="1.0" encoding="UTF-8"?>
<Relationships xmlns="http://schemas.openxmlformats.org/package/2006/relationships"><Relationship Id="rId1" Type="http://schemas.openxmlformats.org/officeDocument/2006/relationships/drawing" Target="../drawings/drawing141.xml"/>
</Relationships>
</file>

<file path=xl/worksheets/_rels/sheet151.xml.rels><?xml version="1.0" encoding="UTF-8"?>
<Relationships xmlns="http://schemas.openxmlformats.org/package/2006/relationships"><Relationship Id="rId1" Type="http://schemas.openxmlformats.org/officeDocument/2006/relationships/drawing" Target="../drawings/drawing142.xml"/>
</Relationships>
</file>

<file path=xl/worksheets/_rels/sheet152.xml.rels><?xml version="1.0" encoding="UTF-8"?>
<Relationships xmlns="http://schemas.openxmlformats.org/package/2006/relationships"><Relationship Id="rId1" Type="http://schemas.openxmlformats.org/officeDocument/2006/relationships/drawing" Target="../drawings/drawing143.xml"/>
</Relationships>
</file>

<file path=xl/worksheets/_rels/sheet153.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45" hidden="false" customHeight="false" outlineLevel="0" collapsed="false">
      <c r="A63" s="8" t="s">
        <v>136</v>
      </c>
      <c r="B63" s="3"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138</v>
      </c>
    </row>
    <row r="3" customFormat="false" ht="15" hidden="false" customHeight="true" outlineLevel="0" collapsed="false">
      <c r="A3" s="9" t="s">
        <v>55</v>
      </c>
      <c r="B3" s="9" t="s">
        <v>139</v>
      </c>
      <c r="C3" s="9" t="s">
        <v>140</v>
      </c>
      <c r="D3" s="9" t="s">
        <v>141</v>
      </c>
      <c r="E3" s="9" t="s">
        <v>142</v>
      </c>
      <c r="F3" s="9" t="s">
        <v>143</v>
      </c>
    </row>
    <row r="4" customFormat="false" ht="15" hidden="false" customHeight="true" outlineLevel="0" collapsed="false">
      <c r="A4" s="10" t="s">
        <v>144</v>
      </c>
      <c r="B4" s="11"/>
      <c r="C4" s="11"/>
      <c r="D4" s="11"/>
      <c r="E4" s="11"/>
      <c r="F4" s="11"/>
    </row>
    <row r="5" customFormat="false" ht="23.25" hidden="false" customHeight="true" outlineLevel="0" collapsed="false">
      <c r="A5" s="12" t="n">
        <v>1</v>
      </c>
      <c r="B5" s="12" t="s">
        <v>145</v>
      </c>
      <c r="C5" s="12" t="s">
        <v>146</v>
      </c>
      <c r="D5" s="12" t="s">
        <v>147</v>
      </c>
      <c r="E5" s="12" t="s">
        <v>148</v>
      </c>
      <c r="F5" s="12" t="s">
        <v>149</v>
      </c>
    </row>
    <row r="6" customFormat="false" ht="23.25" hidden="false" customHeight="true" outlineLevel="0" collapsed="false">
      <c r="A6" s="12" t="n">
        <v>2</v>
      </c>
      <c r="B6" s="12" t="s">
        <v>145</v>
      </c>
      <c r="C6" s="12" t="s">
        <v>150</v>
      </c>
      <c r="D6" s="12" t="s">
        <v>151</v>
      </c>
      <c r="E6" s="12" t="s">
        <v>152</v>
      </c>
      <c r="F6" s="12" t="s">
        <v>149</v>
      </c>
    </row>
    <row r="7" customFormat="false" ht="15" hidden="false" customHeight="true" outlineLevel="0" collapsed="false">
      <c r="A7" s="12" t="n">
        <v>3</v>
      </c>
      <c r="B7" s="12" t="s">
        <v>145</v>
      </c>
      <c r="C7" s="12" t="s">
        <v>153</v>
      </c>
      <c r="D7" s="12" t="s">
        <v>154</v>
      </c>
      <c r="E7" s="12" t="s">
        <v>155</v>
      </c>
      <c r="F7" s="12" t="s">
        <v>149</v>
      </c>
    </row>
    <row r="8" customFormat="false" ht="23.25" hidden="false" customHeight="true" outlineLevel="0" collapsed="false">
      <c r="A8" s="12" t="n">
        <v>4</v>
      </c>
      <c r="B8" s="12" t="s">
        <v>145</v>
      </c>
      <c r="C8" s="12" t="s">
        <v>156</v>
      </c>
      <c r="D8" s="12" t="s">
        <v>157</v>
      </c>
      <c r="E8" s="12" t="s">
        <v>152</v>
      </c>
      <c r="F8" s="12" t="s">
        <v>149</v>
      </c>
    </row>
    <row r="9" customFormat="false" ht="23.25" hidden="false" customHeight="true" outlineLevel="0" collapsed="false">
      <c r="A9" s="12" t="n">
        <v>5</v>
      </c>
      <c r="B9" s="12" t="s">
        <v>145</v>
      </c>
      <c r="C9" s="12" t="s">
        <v>158</v>
      </c>
      <c r="D9" s="12" t="s">
        <v>159</v>
      </c>
      <c r="E9" s="12" t="s">
        <v>160</v>
      </c>
      <c r="F9" s="12" t="s">
        <v>149</v>
      </c>
    </row>
    <row r="10" customFormat="false" ht="23.25" hidden="false" customHeight="true" outlineLevel="0" collapsed="false">
      <c r="A10" s="12" t="n">
        <v>6</v>
      </c>
      <c r="B10" s="12" t="s">
        <v>145</v>
      </c>
      <c r="C10" s="12" t="s">
        <v>161</v>
      </c>
      <c r="D10" s="12" t="s">
        <v>162</v>
      </c>
      <c r="E10" s="12" t="s">
        <v>163</v>
      </c>
      <c r="F10" s="12" t="s">
        <v>149</v>
      </c>
    </row>
    <row r="11" customFormat="false" ht="23.25" hidden="false" customHeight="true" outlineLevel="0" collapsed="false">
      <c r="A11" s="12" t="n">
        <v>7</v>
      </c>
      <c r="B11" s="12" t="s">
        <v>145</v>
      </c>
      <c r="C11" s="12" t="s">
        <v>164</v>
      </c>
      <c r="D11" s="12" t="s">
        <v>165</v>
      </c>
      <c r="E11" s="12" t="s">
        <v>148</v>
      </c>
      <c r="F11" s="12" t="s">
        <v>149</v>
      </c>
    </row>
    <row r="12" customFormat="false" ht="23.25" hidden="false" customHeight="true" outlineLevel="0" collapsed="false">
      <c r="A12" s="12" t="n">
        <v>8</v>
      </c>
      <c r="B12" s="12" t="s">
        <v>145</v>
      </c>
      <c r="C12" s="12" t="s">
        <v>166</v>
      </c>
      <c r="D12" s="12" t="s">
        <v>167</v>
      </c>
      <c r="E12" s="12" t="s">
        <v>148</v>
      </c>
      <c r="F12" s="12" t="s">
        <v>149</v>
      </c>
    </row>
    <row r="13" customFormat="false" ht="23.25" hidden="false" customHeight="true" outlineLevel="0" collapsed="false">
      <c r="A13" s="12" t="n">
        <v>9</v>
      </c>
      <c r="B13" s="12" t="s">
        <v>145</v>
      </c>
      <c r="C13" s="12" t="s">
        <v>168</v>
      </c>
      <c r="D13" s="12" t="s">
        <v>169</v>
      </c>
      <c r="E13" s="12" t="s">
        <v>170</v>
      </c>
      <c r="F13" s="12" t="s">
        <v>149</v>
      </c>
    </row>
    <row r="14" customFormat="false" ht="34.5" hidden="false" customHeight="true" outlineLevel="0" collapsed="false">
      <c r="A14" s="12" t="n">
        <v>10</v>
      </c>
      <c r="B14" s="12" t="s">
        <v>145</v>
      </c>
      <c r="C14" s="12" t="s">
        <v>171</v>
      </c>
      <c r="D14" s="12" t="s">
        <v>172</v>
      </c>
      <c r="E14" s="12" t="s">
        <v>173</v>
      </c>
      <c r="F14" s="12" t="s">
        <v>149</v>
      </c>
    </row>
    <row r="15" customFormat="false" ht="23.25" hidden="false" customHeight="true" outlineLevel="0" collapsed="false">
      <c r="A15" s="12" t="n">
        <v>11</v>
      </c>
      <c r="B15" s="12" t="s">
        <v>145</v>
      </c>
      <c r="C15" s="12" t="s">
        <v>174</v>
      </c>
      <c r="D15" s="12"/>
      <c r="E15" s="12" t="s">
        <v>15</v>
      </c>
      <c r="F15" s="12" t="s">
        <v>149</v>
      </c>
    </row>
    <row r="16" customFormat="false" ht="15" hidden="false" customHeight="true" outlineLevel="0" collapsed="false">
      <c r="A16" s="10" t="s">
        <v>175</v>
      </c>
      <c r="B16" s="11"/>
      <c r="C16" s="11"/>
      <c r="D16" s="11"/>
      <c r="E16" s="11"/>
      <c r="F16" s="11"/>
    </row>
    <row r="17" customFormat="false" ht="34.5" hidden="false" customHeight="true" outlineLevel="0" collapsed="false">
      <c r="A17" s="12" t="n">
        <v>12</v>
      </c>
      <c r="B17" s="12" t="s">
        <v>176</v>
      </c>
      <c r="C17" s="12" t="s">
        <v>177</v>
      </c>
      <c r="D17" s="12" t="s">
        <v>178</v>
      </c>
      <c r="E17" s="12" t="s">
        <v>15</v>
      </c>
      <c r="F17" s="12" t="s">
        <v>149</v>
      </c>
    </row>
    <row r="18" customFormat="false" ht="45.75" hidden="false" customHeight="true" outlineLevel="0" collapsed="false">
      <c r="A18" s="12" t="n">
        <v>13</v>
      </c>
      <c r="B18" s="12" t="s">
        <v>176</v>
      </c>
      <c r="C18" s="12" t="s">
        <v>179</v>
      </c>
      <c r="D18" s="12" t="s">
        <v>180</v>
      </c>
      <c r="E18" s="12" t="s">
        <v>173</v>
      </c>
      <c r="F18" s="12" t="s">
        <v>149</v>
      </c>
    </row>
    <row r="19" customFormat="false" ht="23.25" hidden="false" customHeight="true" outlineLevel="0" collapsed="false">
      <c r="A19" s="12" t="n">
        <v>14</v>
      </c>
      <c r="B19" s="12" t="s">
        <v>176</v>
      </c>
      <c r="C19" s="12" t="s">
        <v>181</v>
      </c>
      <c r="D19" s="12" t="s">
        <v>182</v>
      </c>
      <c r="E19" s="12" t="s">
        <v>148</v>
      </c>
      <c r="F19" s="12" t="s">
        <v>149</v>
      </c>
    </row>
    <row r="20" customFormat="false" ht="34.5" hidden="false" customHeight="true" outlineLevel="0" collapsed="false">
      <c r="A20" s="12" t="n">
        <v>15</v>
      </c>
      <c r="B20" s="12" t="s">
        <v>176</v>
      </c>
      <c r="C20" s="12" t="s">
        <v>183</v>
      </c>
      <c r="D20" s="12"/>
      <c r="E20" s="12" t="s">
        <v>184</v>
      </c>
      <c r="F20" s="12" t="s">
        <v>149</v>
      </c>
    </row>
    <row r="21" customFormat="false" ht="15" hidden="false" customHeight="true" outlineLevel="0" collapsed="false">
      <c r="A21" s="12" t="n">
        <v>16</v>
      </c>
      <c r="B21" s="12" t="s">
        <v>176</v>
      </c>
      <c r="C21" s="12" t="s">
        <v>185</v>
      </c>
      <c r="D21" s="12" t="s">
        <v>186</v>
      </c>
      <c r="E21" s="12" t="s">
        <v>170</v>
      </c>
      <c r="F21" s="12" t="s">
        <v>149</v>
      </c>
    </row>
    <row r="22" customFormat="false" ht="23.25" hidden="false" customHeight="true" outlineLevel="0" collapsed="false">
      <c r="A22" s="12" t="n">
        <v>17</v>
      </c>
      <c r="B22" s="12" t="s">
        <v>176</v>
      </c>
      <c r="C22" s="12" t="s">
        <v>187</v>
      </c>
      <c r="D22" s="12" t="s">
        <v>188</v>
      </c>
      <c r="E22" s="12" t="s">
        <v>189</v>
      </c>
      <c r="F22" s="12" t="s">
        <v>149</v>
      </c>
    </row>
    <row r="23" customFormat="false" ht="15" hidden="false" customHeight="true" outlineLevel="0" collapsed="false">
      <c r="A23" s="12" t="n">
        <v>18</v>
      </c>
      <c r="B23" s="12" t="s">
        <v>176</v>
      </c>
      <c r="C23" s="12" t="s">
        <v>190</v>
      </c>
      <c r="D23" s="12" t="s">
        <v>191</v>
      </c>
      <c r="E23" s="12" t="s">
        <v>192</v>
      </c>
      <c r="F23" s="12" t="s">
        <v>149</v>
      </c>
    </row>
    <row r="24" customFormat="false" ht="23.25" hidden="false" customHeight="true" outlineLevel="0" collapsed="false">
      <c r="A24" s="12" t="n">
        <v>19</v>
      </c>
      <c r="B24" s="12" t="s">
        <v>176</v>
      </c>
      <c r="C24" s="12" t="s">
        <v>193</v>
      </c>
      <c r="D24" s="12"/>
      <c r="E24" s="12" t="s">
        <v>189</v>
      </c>
      <c r="F24" s="12" t="s">
        <v>149</v>
      </c>
    </row>
    <row r="25" customFormat="false" ht="23.25" hidden="false" customHeight="true" outlineLevel="0" collapsed="false">
      <c r="A25" s="12" t="n">
        <v>20</v>
      </c>
      <c r="B25" s="12" t="s">
        <v>176</v>
      </c>
      <c r="C25" s="12" t="s">
        <v>194</v>
      </c>
      <c r="D25" s="12" t="s">
        <v>195</v>
      </c>
      <c r="E25" s="12" t="s">
        <v>148</v>
      </c>
      <c r="F25" s="12" t="s">
        <v>149</v>
      </c>
    </row>
    <row r="26" customFormat="false" ht="23.25" hidden="false" customHeight="true" outlineLevel="0" collapsed="false">
      <c r="A26" s="12" t="n">
        <v>21</v>
      </c>
      <c r="B26" s="12" t="s">
        <v>176</v>
      </c>
      <c r="C26" s="12" t="s">
        <v>196</v>
      </c>
      <c r="D26" s="12" t="s">
        <v>197</v>
      </c>
      <c r="E26" s="12" t="s">
        <v>198</v>
      </c>
      <c r="F26" s="12" t="s">
        <v>149</v>
      </c>
    </row>
    <row r="27" customFormat="false" ht="15" hidden="false" customHeight="true" outlineLevel="0" collapsed="false">
      <c r="A27" s="10" t="s">
        <v>199</v>
      </c>
      <c r="B27" s="11"/>
      <c r="C27" s="11"/>
      <c r="D27" s="11"/>
      <c r="E27" s="11"/>
      <c r="F27" s="11"/>
    </row>
    <row r="28" customFormat="false" ht="23.25" hidden="false" customHeight="true" outlineLevel="0" collapsed="false">
      <c r="A28" s="12" t="n">
        <v>22</v>
      </c>
      <c r="B28" s="12" t="s">
        <v>200</v>
      </c>
      <c r="C28" s="12" t="s">
        <v>201</v>
      </c>
      <c r="D28" s="12" t="s">
        <v>202</v>
      </c>
      <c r="E28" s="12" t="s">
        <v>203</v>
      </c>
      <c r="F28" s="12" t="s">
        <v>149</v>
      </c>
    </row>
    <row r="29" customFormat="false" ht="23.25" hidden="false" customHeight="true" outlineLevel="0" collapsed="false">
      <c r="A29" s="12" t="n">
        <v>23</v>
      </c>
      <c r="B29" s="12" t="s">
        <v>200</v>
      </c>
      <c r="C29" s="12" t="s">
        <v>204</v>
      </c>
      <c r="D29" s="12" t="s">
        <v>205</v>
      </c>
      <c r="E29" s="12" t="s">
        <v>206</v>
      </c>
      <c r="F29" s="12" t="s">
        <v>149</v>
      </c>
    </row>
    <row r="30" customFormat="false" ht="23.25" hidden="false" customHeight="true" outlineLevel="0" collapsed="false">
      <c r="A30" s="12" t="n">
        <v>24</v>
      </c>
      <c r="B30" s="12" t="s">
        <v>200</v>
      </c>
      <c r="C30" s="12" t="s">
        <v>207</v>
      </c>
      <c r="D30" s="12" t="s">
        <v>208</v>
      </c>
      <c r="E30" s="12" t="s">
        <v>170</v>
      </c>
      <c r="F30" s="12" t="s">
        <v>149</v>
      </c>
    </row>
    <row r="31" customFormat="false" ht="23.25" hidden="false" customHeight="true" outlineLevel="0" collapsed="false">
      <c r="A31" s="12" t="n">
        <v>25</v>
      </c>
      <c r="B31" s="12" t="s">
        <v>200</v>
      </c>
      <c r="C31" s="12" t="s">
        <v>209</v>
      </c>
      <c r="D31" s="12" t="s">
        <v>210</v>
      </c>
      <c r="E31" s="12" t="s">
        <v>170</v>
      </c>
      <c r="F31" s="12" t="s">
        <v>149</v>
      </c>
    </row>
    <row r="32" customFormat="false" ht="23.25" hidden="false" customHeight="true" outlineLevel="0" collapsed="false">
      <c r="A32" s="12" t="n">
        <v>26</v>
      </c>
      <c r="B32" s="12" t="s">
        <v>200</v>
      </c>
      <c r="C32" s="12" t="s">
        <v>211</v>
      </c>
      <c r="D32" s="12" t="s">
        <v>212</v>
      </c>
      <c r="E32" s="12" t="s">
        <v>170</v>
      </c>
      <c r="F32" s="12" t="s">
        <v>149</v>
      </c>
    </row>
    <row r="33" customFormat="false" ht="23.25" hidden="false" customHeight="true" outlineLevel="0" collapsed="false">
      <c r="A33" s="13" t="n">
        <v>27</v>
      </c>
      <c r="B33" s="13" t="s">
        <v>200</v>
      </c>
      <c r="C33" s="13" t="s">
        <v>213</v>
      </c>
      <c r="D33" s="13" t="s">
        <v>214</v>
      </c>
      <c r="E33" s="13" t="s">
        <v>148</v>
      </c>
      <c r="F33" s="13" t="s">
        <v>215</v>
      </c>
    </row>
    <row r="34" customFormat="false" ht="34.5" hidden="false" customHeight="true" outlineLevel="0" collapsed="false">
      <c r="A34" s="12" t="n">
        <v>28</v>
      </c>
      <c r="B34" s="12" t="s">
        <v>200</v>
      </c>
      <c r="C34" s="12" t="s">
        <v>216</v>
      </c>
      <c r="D34" s="12"/>
      <c r="E34" s="12" t="s">
        <v>170</v>
      </c>
      <c r="F34" s="12" t="s">
        <v>149</v>
      </c>
    </row>
    <row r="35" customFormat="false" ht="23.25" hidden="false" customHeight="true" outlineLevel="0" collapsed="false">
      <c r="A35" s="12" t="n">
        <v>29</v>
      </c>
      <c r="B35" s="12" t="s">
        <v>200</v>
      </c>
      <c r="C35" s="12" t="s">
        <v>217</v>
      </c>
      <c r="D35" s="12" t="s">
        <v>218</v>
      </c>
      <c r="E35" s="12" t="s">
        <v>192</v>
      </c>
      <c r="F35" s="12" t="s">
        <v>149</v>
      </c>
    </row>
    <row r="36" customFormat="false" ht="15" hidden="false" customHeight="true" outlineLevel="0" collapsed="false">
      <c r="A36" s="10" t="s">
        <v>219</v>
      </c>
      <c r="B36" s="11"/>
      <c r="C36" s="11"/>
      <c r="D36" s="11"/>
      <c r="E36" s="11"/>
      <c r="F36" s="11"/>
    </row>
    <row r="37" customFormat="false" ht="23.25" hidden="false" customHeight="true" outlineLevel="0" collapsed="false">
      <c r="A37" s="12" t="n">
        <v>30</v>
      </c>
      <c r="B37" s="12" t="s">
        <v>220</v>
      </c>
      <c r="C37" s="12" t="s">
        <v>221</v>
      </c>
      <c r="D37" s="12" t="s">
        <v>222</v>
      </c>
      <c r="E37" s="12" t="s">
        <v>184</v>
      </c>
      <c r="F37" s="12" t="s">
        <v>149</v>
      </c>
    </row>
    <row r="38" customFormat="false" ht="23.25" hidden="false" customHeight="true" outlineLevel="0" collapsed="false">
      <c r="A38" s="12" t="n">
        <v>31</v>
      </c>
      <c r="B38" s="12" t="s">
        <v>220</v>
      </c>
      <c r="C38" s="12" t="s">
        <v>223</v>
      </c>
      <c r="D38" s="12" t="s">
        <v>224</v>
      </c>
      <c r="E38" s="12" t="s">
        <v>163</v>
      </c>
      <c r="F38" s="12" t="s">
        <v>149</v>
      </c>
    </row>
    <row r="39" customFormat="false" ht="23.25" hidden="false" customHeight="true" outlineLevel="0" collapsed="false">
      <c r="A39" s="12" t="n">
        <v>32</v>
      </c>
      <c r="B39" s="12" t="s">
        <v>220</v>
      </c>
      <c r="C39" s="12" t="s">
        <v>225</v>
      </c>
      <c r="D39" s="12" t="s">
        <v>226</v>
      </c>
      <c r="E39" s="12" t="s">
        <v>15</v>
      </c>
      <c r="F39" s="12" t="s">
        <v>149</v>
      </c>
    </row>
    <row r="40" customFormat="false" ht="34.5" hidden="false" customHeight="true" outlineLevel="0" collapsed="false">
      <c r="A40" s="12" t="n">
        <v>33</v>
      </c>
      <c r="B40" s="12" t="s">
        <v>220</v>
      </c>
      <c r="C40" s="12" t="s">
        <v>227</v>
      </c>
      <c r="D40" s="12" t="s">
        <v>228</v>
      </c>
      <c r="E40" s="12" t="s">
        <v>170</v>
      </c>
      <c r="F40" s="12" t="s">
        <v>149</v>
      </c>
    </row>
    <row r="41" customFormat="false" ht="34.5" hidden="false" customHeight="true" outlineLevel="0" collapsed="false">
      <c r="A41" s="12" t="n">
        <v>34</v>
      </c>
      <c r="B41" s="12" t="s">
        <v>220</v>
      </c>
      <c r="C41" s="12" t="s">
        <v>229</v>
      </c>
      <c r="D41" s="12" t="s">
        <v>230</v>
      </c>
      <c r="E41" s="12" t="s">
        <v>163</v>
      </c>
      <c r="F41" s="12" t="s">
        <v>149</v>
      </c>
    </row>
    <row r="42" customFormat="false" ht="15" hidden="false" customHeight="true" outlineLevel="0" collapsed="false">
      <c r="A42" s="10" t="s">
        <v>231</v>
      </c>
      <c r="B42" s="11"/>
      <c r="C42" s="11"/>
      <c r="D42" s="11"/>
      <c r="E42" s="11"/>
      <c r="F42" s="11"/>
    </row>
    <row r="43" customFormat="false" ht="15" hidden="false" customHeight="true" outlineLevel="0" collapsed="false">
      <c r="A43" s="12" t="n">
        <v>35</v>
      </c>
      <c r="B43" s="12" t="s">
        <v>232</v>
      </c>
      <c r="C43" s="12" t="s">
        <v>233</v>
      </c>
      <c r="D43" s="12" t="s">
        <v>234</v>
      </c>
      <c r="E43" s="12" t="s">
        <v>15</v>
      </c>
      <c r="F43" s="12" t="s">
        <v>149</v>
      </c>
    </row>
    <row r="44" customFormat="false" ht="23.25" hidden="false" customHeight="true" outlineLevel="0" collapsed="false">
      <c r="A44" s="12" t="n">
        <v>36</v>
      </c>
      <c r="B44" s="12" t="s">
        <v>232</v>
      </c>
      <c r="C44" s="12" t="s">
        <v>235</v>
      </c>
      <c r="D44" s="12" t="s">
        <v>236</v>
      </c>
      <c r="E44" s="12" t="s">
        <v>237</v>
      </c>
      <c r="F44" s="12" t="s">
        <v>149</v>
      </c>
    </row>
    <row r="45" customFormat="false" ht="23.25" hidden="false" customHeight="true" outlineLevel="0" collapsed="false">
      <c r="A45" s="12" t="n">
        <v>37</v>
      </c>
      <c r="B45" s="12" t="s">
        <v>232</v>
      </c>
      <c r="C45" s="12" t="s">
        <v>238</v>
      </c>
      <c r="D45" s="12" t="s">
        <v>239</v>
      </c>
      <c r="E45" s="12" t="s">
        <v>148</v>
      </c>
      <c r="F45" s="12" t="s">
        <v>149</v>
      </c>
    </row>
    <row r="46" customFormat="false" ht="23.25" hidden="false" customHeight="true" outlineLevel="0" collapsed="false">
      <c r="A46" s="12" t="n">
        <v>38</v>
      </c>
      <c r="B46" s="12" t="s">
        <v>232</v>
      </c>
      <c r="C46" s="12" t="s">
        <v>240</v>
      </c>
      <c r="D46" s="12"/>
      <c r="E46" s="12" t="s">
        <v>148</v>
      </c>
      <c r="F46" s="12" t="s">
        <v>241</v>
      </c>
    </row>
    <row r="47" customFormat="false" ht="23.25" hidden="false" customHeight="true" outlineLevel="0" collapsed="false">
      <c r="A47" s="12" t="n">
        <v>39</v>
      </c>
      <c r="B47" s="12" t="s">
        <v>232</v>
      </c>
      <c r="C47" s="12" t="s">
        <v>242</v>
      </c>
      <c r="D47" s="12" t="s">
        <v>243</v>
      </c>
      <c r="E47" s="12" t="s">
        <v>148</v>
      </c>
      <c r="F47" s="12" t="s">
        <v>149</v>
      </c>
    </row>
    <row r="48" customFormat="false" ht="15" hidden="false" customHeight="true" outlineLevel="0" collapsed="false">
      <c r="A48" s="10" t="s">
        <v>244</v>
      </c>
      <c r="B48" s="11"/>
      <c r="C48" s="11"/>
      <c r="D48" s="11"/>
      <c r="E48" s="11"/>
      <c r="F48" s="11"/>
    </row>
    <row r="49" customFormat="false" ht="15" hidden="false" customHeight="true" outlineLevel="0" collapsed="false">
      <c r="A49" s="12" t="n">
        <v>40</v>
      </c>
      <c r="B49" s="12" t="s">
        <v>245</v>
      </c>
      <c r="C49" s="12" t="s">
        <v>246</v>
      </c>
      <c r="D49" s="12" t="s">
        <v>247</v>
      </c>
      <c r="E49" s="12" t="s">
        <v>15</v>
      </c>
      <c r="F49" s="12" t="s">
        <v>149</v>
      </c>
    </row>
    <row r="50" customFormat="false" ht="23.25" hidden="false" customHeight="true" outlineLevel="0" collapsed="false">
      <c r="A50" s="12" t="n">
        <v>41</v>
      </c>
      <c r="B50" s="12" t="s">
        <v>245</v>
      </c>
      <c r="C50" s="12" t="s">
        <v>248</v>
      </c>
      <c r="D50" s="12" t="s">
        <v>249</v>
      </c>
      <c r="E50" s="12" t="s">
        <v>15</v>
      </c>
      <c r="F50" s="12" t="s">
        <v>149</v>
      </c>
    </row>
    <row r="51" customFormat="false" ht="15" hidden="false" customHeight="true" outlineLevel="0" collapsed="false">
      <c r="A51" s="12" t="n">
        <v>42</v>
      </c>
      <c r="B51" s="12" t="s">
        <v>245</v>
      </c>
      <c r="C51" s="12" t="s">
        <v>250</v>
      </c>
      <c r="D51" s="12"/>
      <c r="E51" s="12" t="s">
        <v>15</v>
      </c>
      <c r="F51" s="12" t="s">
        <v>149</v>
      </c>
    </row>
    <row r="52" customFormat="false" ht="34.5" hidden="false" customHeight="true" outlineLevel="0" collapsed="false">
      <c r="A52" s="12" t="n">
        <v>43</v>
      </c>
      <c r="B52" s="12" t="s">
        <v>245</v>
      </c>
      <c r="C52" s="12" t="s">
        <v>251</v>
      </c>
      <c r="D52" s="12" t="s">
        <v>252</v>
      </c>
      <c r="E52" s="12" t="s">
        <v>253</v>
      </c>
      <c r="F52" s="12" t="s">
        <v>149</v>
      </c>
    </row>
    <row r="53" customFormat="false" ht="15" hidden="false" customHeight="true" outlineLevel="0" collapsed="false">
      <c r="A53" s="10" t="s">
        <v>254</v>
      </c>
      <c r="B53" s="11"/>
      <c r="C53" s="11"/>
      <c r="D53" s="11"/>
      <c r="E53" s="11"/>
      <c r="F53" s="11"/>
    </row>
    <row r="54" customFormat="false" ht="15" hidden="false" customHeight="true" outlineLevel="0" collapsed="false">
      <c r="A54" s="12" t="n">
        <v>44</v>
      </c>
      <c r="B54" s="12" t="s">
        <v>255</v>
      </c>
      <c r="C54" s="12" t="s">
        <v>256</v>
      </c>
      <c r="D54" s="12"/>
      <c r="E54" s="12" t="s">
        <v>15</v>
      </c>
      <c r="F54" s="12" t="s">
        <v>149</v>
      </c>
    </row>
    <row r="55" customFormat="false" ht="34.5" hidden="false" customHeight="true" outlineLevel="0" collapsed="false">
      <c r="A55" s="12" t="n">
        <v>45</v>
      </c>
      <c r="B55" s="12" t="s">
        <v>255</v>
      </c>
      <c r="C55" s="12" t="s">
        <v>257</v>
      </c>
      <c r="D55" s="12" t="s">
        <v>258</v>
      </c>
      <c r="E55" s="12" t="s">
        <v>148</v>
      </c>
      <c r="F55" s="12" t="s">
        <v>149</v>
      </c>
    </row>
    <row r="56" customFormat="false" ht="23.25" hidden="false" customHeight="true" outlineLevel="0" collapsed="false">
      <c r="A56" s="12" t="n">
        <v>46</v>
      </c>
      <c r="B56" s="12" t="s">
        <v>255</v>
      </c>
      <c r="C56" s="12" t="s">
        <v>259</v>
      </c>
      <c r="D56" s="12" t="s">
        <v>260</v>
      </c>
      <c r="E56" s="12" t="s">
        <v>253</v>
      </c>
      <c r="F56" s="12" t="s">
        <v>149</v>
      </c>
    </row>
    <row r="57" customFormat="false" ht="15" hidden="false" customHeight="true" outlineLevel="0" collapsed="false">
      <c r="A57" s="10" t="s">
        <v>261</v>
      </c>
      <c r="B57" s="11"/>
      <c r="C57" s="11"/>
      <c r="D57" s="11"/>
      <c r="E57" s="11"/>
      <c r="F57" s="11"/>
    </row>
    <row r="58" customFormat="false" ht="23.25" hidden="false" customHeight="true" outlineLevel="0" collapsed="false">
      <c r="A58" s="12" t="n">
        <v>47</v>
      </c>
      <c r="B58" s="12" t="s">
        <v>262</v>
      </c>
      <c r="C58" s="12" t="s">
        <v>263</v>
      </c>
      <c r="D58" s="12" t="s">
        <v>264</v>
      </c>
      <c r="E58" s="12" t="s">
        <v>148</v>
      </c>
      <c r="F58" s="12" t="s">
        <v>149</v>
      </c>
    </row>
    <row r="59" customFormat="false" ht="34.5" hidden="false" customHeight="true" outlineLevel="0" collapsed="false">
      <c r="A59" s="12" t="n">
        <v>48</v>
      </c>
      <c r="B59" s="12" t="s">
        <v>262</v>
      </c>
      <c r="C59" s="12" t="s">
        <v>265</v>
      </c>
      <c r="D59" s="12" t="s">
        <v>266</v>
      </c>
      <c r="E59" s="12" t="s">
        <v>148</v>
      </c>
      <c r="F59" s="12" t="s">
        <v>149</v>
      </c>
    </row>
    <row r="60" customFormat="false" ht="45.75" hidden="false" customHeight="true" outlineLevel="0" collapsed="false">
      <c r="A60" s="12" t="n">
        <v>49</v>
      </c>
      <c r="B60" s="12" t="s">
        <v>262</v>
      </c>
      <c r="C60" s="12" t="s">
        <v>267</v>
      </c>
      <c r="D60" s="12" t="s">
        <v>268</v>
      </c>
      <c r="E60" s="12" t="s">
        <v>189</v>
      </c>
      <c r="F60" s="12" t="s">
        <v>149</v>
      </c>
    </row>
    <row r="61" customFormat="false" ht="23.25" hidden="false" customHeight="true" outlineLevel="0" collapsed="false">
      <c r="A61" s="12" t="n">
        <v>50</v>
      </c>
      <c r="B61" s="12" t="s">
        <v>262</v>
      </c>
      <c r="C61" s="12" t="s">
        <v>269</v>
      </c>
      <c r="D61" s="12"/>
      <c r="E61" s="12" t="s">
        <v>148</v>
      </c>
      <c r="F61" s="12" t="s">
        <v>149</v>
      </c>
    </row>
    <row r="62" customFormat="false" ht="34.5" hidden="false" customHeight="true" outlineLevel="0" collapsed="false">
      <c r="A62" s="12" t="n">
        <v>51</v>
      </c>
      <c r="B62" s="12" t="s">
        <v>262</v>
      </c>
      <c r="C62" s="12" t="s">
        <v>270</v>
      </c>
      <c r="D62" s="12"/>
      <c r="E62" s="12" t="s">
        <v>148</v>
      </c>
      <c r="F62" s="12" t="s">
        <v>149</v>
      </c>
    </row>
    <row r="63" customFormat="false" ht="34.5" hidden="false" customHeight="true" outlineLevel="0" collapsed="false">
      <c r="A63" s="12" t="n">
        <v>52</v>
      </c>
      <c r="B63" s="12" t="s">
        <v>262</v>
      </c>
      <c r="C63" s="12" t="s">
        <v>271</v>
      </c>
      <c r="D63" s="12" t="s">
        <v>272</v>
      </c>
      <c r="E63" s="12" t="s">
        <v>192</v>
      </c>
      <c r="F63" s="12" t="s">
        <v>149</v>
      </c>
    </row>
    <row r="64" customFormat="false" ht="23.25" hidden="false" customHeight="true" outlineLevel="0" collapsed="false">
      <c r="A64" s="12" t="n">
        <v>53</v>
      </c>
      <c r="B64" s="12" t="s">
        <v>262</v>
      </c>
      <c r="C64" s="12" t="s">
        <v>273</v>
      </c>
      <c r="D64" s="12" t="s">
        <v>274</v>
      </c>
      <c r="E64" s="12" t="s">
        <v>275</v>
      </c>
      <c r="F64" s="12" t="s">
        <v>149</v>
      </c>
    </row>
    <row r="65" customFormat="false" ht="23.25" hidden="false" customHeight="true" outlineLevel="0" collapsed="false">
      <c r="A65" s="12" t="n">
        <v>54</v>
      </c>
      <c r="B65" s="12" t="s">
        <v>262</v>
      </c>
      <c r="C65" s="12" t="s">
        <v>276</v>
      </c>
      <c r="D65" s="12" t="s">
        <v>277</v>
      </c>
      <c r="E65" s="12" t="s">
        <v>148</v>
      </c>
      <c r="F65" s="12" t="s">
        <v>149</v>
      </c>
    </row>
    <row r="66" customFormat="false" ht="23.25" hidden="false" customHeight="true" outlineLevel="0" collapsed="false">
      <c r="A66" s="12" t="n">
        <v>55</v>
      </c>
      <c r="B66" s="12" t="s">
        <v>262</v>
      </c>
      <c r="C66" s="12" t="s">
        <v>278</v>
      </c>
      <c r="D66" s="12" t="s">
        <v>279</v>
      </c>
      <c r="E66" s="12" t="s">
        <v>163</v>
      </c>
      <c r="F66" s="12" t="s">
        <v>149</v>
      </c>
    </row>
    <row r="67" customFormat="false" ht="23.25" hidden="false" customHeight="true" outlineLevel="0" collapsed="false">
      <c r="A67" s="13" t="n">
        <v>56</v>
      </c>
      <c r="B67" s="13" t="s">
        <v>262</v>
      </c>
      <c r="C67" s="13" t="s">
        <v>280</v>
      </c>
      <c r="D67" s="13" t="s">
        <v>281</v>
      </c>
      <c r="E67" s="13" t="s">
        <v>282</v>
      </c>
      <c r="F67" s="13" t="s">
        <v>283</v>
      </c>
    </row>
    <row r="68" customFormat="false" ht="23.25" hidden="false" customHeight="true" outlineLevel="0" collapsed="false">
      <c r="A68" s="12" t="n">
        <v>57</v>
      </c>
      <c r="B68" s="12" t="s">
        <v>262</v>
      </c>
      <c r="C68" s="12" t="s">
        <v>284</v>
      </c>
      <c r="D68" s="12"/>
      <c r="E68" s="12" t="s">
        <v>170</v>
      </c>
      <c r="F68" s="12" t="s">
        <v>149</v>
      </c>
    </row>
    <row r="69" customFormat="false" ht="34.5" hidden="false" customHeight="true" outlineLevel="0" collapsed="false">
      <c r="A69" s="12" t="n">
        <v>58</v>
      </c>
      <c r="B69" s="12" t="s">
        <v>262</v>
      </c>
      <c r="C69" s="12" t="s">
        <v>285</v>
      </c>
      <c r="D69" s="12" t="s">
        <v>286</v>
      </c>
      <c r="E69" s="12" t="s">
        <v>287</v>
      </c>
      <c r="F69" s="12" t="s">
        <v>149</v>
      </c>
    </row>
    <row r="70" customFormat="false" ht="23.25" hidden="false" customHeight="true" outlineLevel="0" collapsed="false">
      <c r="A70" s="12" t="n">
        <v>59</v>
      </c>
      <c r="B70" s="12" t="s">
        <v>262</v>
      </c>
      <c r="C70" s="12" t="s">
        <v>288</v>
      </c>
      <c r="D70" s="12"/>
      <c r="E70" s="12" t="s">
        <v>163</v>
      </c>
      <c r="F70" s="12" t="s">
        <v>149</v>
      </c>
    </row>
    <row r="71" customFormat="false" ht="15" hidden="false" customHeight="true" outlineLevel="0" collapsed="false">
      <c r="A71" s="10" t="s">
        <v>289</v>
      </c>
      <c r="B71" s="11"/>
      <c r="C71" s="11"/>
      <c r="D71" s="11"/>
      <c r="E71" s="11"/>
      <c r="F71" s="11"/>
    </row>
    <row r="72" customFormat="false" ht="34.5" hidden="false" customHeight="true" outlineLevel="0" collapsed="false">
      <c r="A72" s="12" t="n">
        <v>60</v>
      </c>
      <c r="B72" s="12" t="s">
        <v>290</v>
      </c>
      <c r="C72" s="12" t="s">
        <v>291</v>
      </c>
      <c r="D72" s="12" t="s">
        <v>292</v>
      </c>
      <c r="E72" s="12" t="s">
        <v>152</v>
      </c>
      <c r="F72" s="12" t="s">
        <v>149</v>
      </c>
    </row>
    <row r="73" customFormat="false" ht="34.5" hidden="false" customHeight="true" outlineLevel="0" collapsed="false">
      <c r="A73" s="12" t="n">
        <v>61</v>
      </c>
      <c r="B73" s="12" t="s">
        <v>290</v>
      </c>
      <c r="C73" s="12" t="s">
        <v>293</v>
      </c>
      <c r="D73" s="12" t="s">
        <v>294</v>
      </c>
      <c r="E73" s="12" t="s">
        <v>152</v>
      </c>
      <c r="F73" s="12" t="s">
        <v>149</v>
      </c>
    </row>
    <row r="74" customFormat="false" ht="23.25" hidden="false" customHeight="true" outlineLevel="0" collapsed="false">
      <c r="A74" s="12" t="n">
        <v>62</v>
      </c>
      <c r="B74" s="12" t="s">
        <v>220</v>
      </c>
      <c r="C74" s="12" t="s">
        <v>295</v>
      </c>
      <c r="D74" s="12" t="s">
        <v>296</v>
      </c>
      <c r="E74" s="12" t="s">
        <v>173</v>
      </c>
      <c r="F74" s="12" t="s">
        <v>149</v>
      </c>
    </row>
    <row r="75" customFormat="false" ht="34.5" hidden="false" customHeight="true" outlineLevel="0" collapsed="false">
      <c r="A75" s="12" t="n">
        <v>63</v>
      </c>
      <c r="B75" s="12" t="s">
        <v>262</v>
      </c>
      <c r="C75" s="12" t="s">
        <v>297</v>
      </c>
      <c r="D75" s="12" t="s">
        <v>298</v>
      </c>
      <c r="E75" s="12" t="s">
        <v>173</v>
      </c>
      <c r="F75" s="12" t="s">
        <v>149</v>
      </c>
    </row>
    <row r="76" customFormat="false" ht="23.25" hidden="false" customHeight="true" outlineLevel="0" collapsed="false">
      <c r="A76" s="12" t="n">
        <v>64</v>
      </c>
      <c r="B76" s="12" t="s">
        <v>299</v>
      </c>
      <c r="C76" s="12" t="s">
        <v>300</v>
      </c>
      <c r="D76" s="12" t="s">
        <v>301</v>
      </c>
      <c r="E76" s="12" t="s">
        <v>173</v>
      </c>
      <c r="F76" s="12" t="s">
        <v>149</v>
      </c>
    </row>
    <row r="77" customFormat="false" ht="23.25" hidden="false" customHeight="true" outlineLevel="0" collapsed="false">
      <c r="A77" s="12" t="n">
        <v>65</v>
      </c>
      <c r="B77" s="12" t="s">
        <v>302</v>
      </c>
      <c r="C77" s="12" t="s">
        <v>303</v>
      </c>
      <c r="D77" s="12" t="s">
        <v>304</v>
      </c>
      <c r="E77" s="12" t="s">
        <v>173</v>
      </c>
      <c r="F77" s="12" t="s">
        <v>149</v>
      </c>
    </row>
    <row r="78" customFormat="false" ht="23.25" hidden="false" customHeight="true" outlineLevel="0" collapsed="false">
      <c r="A78" s="12" t="n">
        <v>66</v>
      </c>
      <c r="B78" s="12" t="s">
        <v>262</v>
      </c>
      <c r="C78" s="12" t="s">
        <v>305</v>
      </c>
      <c r="D78" s="12" t="s">
        <v>306</v>
      </c>
      <c r="E78" s="12" t="s">
        <v>173</v>
      </c>
      <c r="F78" s="12" t="s">
        <v>149</v>
      </c>
    </row>
    <row r="79" customFormat="false" ht="15" hidden="false" customHeight="true" outlineLevel="0" collapsed="false">
      <c r="A79" s="10" t="s">
        <v>307</v>
      </c>
      <c r="B79" s="11"/>
      <c r="C79" s="11"/>
      <c r="D79" s="11"/>
      <c r="E79" s="11"/>
      <c r="F79" s="11"/>
    </row>
    <row r="80" customFormat="false" ht="45.75" hidden="false" customHeight="true" outlineLevel="0" collapsed="false">
      <c r="A80" s="12" t="n">
        <v>67</v>
      </c>
      <c r="B80" s="12" t="s">
        <v>145</v>
      </c>
      <c r="C80" s="12" t="s">
        <v>308</v>
      </c>
      <c r="D80" s="12" t="s">
        <v>309</v>
      </c>
      <c r="E80" s="12" t="s">
        <v>173</v>
      </c>
      <c r="F80" s="12" t="s">
        <v>149</v>
      </c>
    </row>
    <row r="81" customFormat="false" ht="45.75" hidden="false" customHeight="true" outlineLevel="0" collapsed="false">
      <c r="A81" s="12" t="n">
        <v>68</v>
      </c>
      <c r="B81" s="12" t="s">
        <v>176</v>
      </c>
      <c r="C81" s="12" t="s">
        <v>310</v>
      </c>
      <c r="D81" s="12" t="s">
        <v>311</v>
      </c>
      <c r="E81" s="12" t="s">
        <v>173</v>
      </c>
      <c r="F81" s="12" t="s">
        <v>149</v>
      </c>
    </row>
    <row r="82" customFormat="false" ht="34.5" hidden="false" customHeight="true" outlineLevel="0" collapsed="false">
      <c r="A82" s="12" t="n">
        <v>69</v>
      </c>
      <c r="B82" s="12" t="s">
        <v>176</v>
      </c>
      <c r="C82" s="12" t="s">
        <v>312</v>
      </c>
      <c r="D82" s="12" t="s">
        <v>313</v>
      </c>
      <c r="E82" s="12" t="s">
        <v>173</v>
      </c>
      <c r="F82" s="12" t="s">
        <v>149</v>
      </c>
    </row>
    <row r="83" customFormat="false" ht="23.25" hidden="false" customHeight="true" outlineLevel="0" collapsed="false">
      <c r="A83" s="12" t="n">
        <v>70</v>
      </c>
      <c r="B83" s="12" t="s">
        <v>176</v>
      </c>
      <c r="C83" s="12" t="s">
        <v>314</v>
      </c>
      <c r="D83" s="12" t="s">
        <v>315</v>
      </c>
      <c r="E83" s="12" t="s">
        <v>173</v>
      </c>
      <c r="F83" s="12" t="s">
        <v>149</v>
      </c>
    </row>
    <row r="84" customFormat="false" ht="34.5" hidden="false" customHeight="true" outlineLevel="0" collapsed="false">
      <c r="A84" s="12" t="n">
        <v>71</v>
      </c>
      <c r="B84" s="12" t="s">
        <v>220</v>
      </c>
      <c r="C84" s="12" t="s">
        <v>316</v>
      </c>
      <c r="D84" s="12" t="s">
        <v>317</v>
      </c>
      <c r="E84" s="12" t="s">
        <v>173</v>
      </c>
      <c r="F84" s="12" t="s">
        <v>149</v>
      </c>
    </row>
    <row r="85" customFormat="false" ht="23.25" hidden="false" customHeight="true" outlineLevel="0" collapsed="false">
      <c r="A85" s="12" t="n">
        <v>72</v>
      </c>
      <c r="B85" s="12" t="s">
        <v>220</v>
      </c>
      <c r="C85" s="12" t="s">
        <v>318</v>
      </c>
      <c r="D85" s="12" t="s">
        <v>319</v>
      </c>
      <c r="E85" s="12" t="s">
        <v>173</v>
      </c>
      <c r="F85" s="12" t="s">
        <v>149</v>
      </c>
    </row>
    <row r="86" customFormat="false" ht="23.25" hidden="false" customHeight="true" outlineLevel="0" collapsed="false">
      <c r="A86" s="12" t="n">
        <v>73</v>
      </c>
      <c r="B86" s="12" t="s">
        <v>262</v>
      </c>
      <c r="C86" s="12" t="s">
        <v>320</v>
      </c>
      <c r="D86" s="12" t="s">
        <v>321</v>
      </c>
      <c r="E86" s="12" t="s">
        <v>173</v>
      </c>
      <c r="F86" s="12" t="s">
        <v>149</v>
      </c>
    </row>
    <row r="87" customFormat="false" ht="34.5" hidden="false" customHeight="true" outlineLevel="0" collapsed="false">
      <c r="A87" s="12" t="n">
        <v>74</v>
      </c>
      <c r="B87" s="12" t="s">
        <v>262</v>
      </c>
      <c r="C87" s="12" t="s">
        <v>322</v>
      </c>
      <c r="D87" s="12" t="s">
        <v>323</v>
      </c>
      <c r="E87" s="12" t="s">
        <v>173</v>
      </c>
      <c r="F87" s="12" t="s">
        <v>149</v>
      </c>
    </row>
    <row r="88" customFormat="false" ht="23.25" hidden="false" customHeight="true" outlineLevel="0" collapsed="false">
      <c r="A88" s="12" t="n">
        <v>75</v>
      </c>
      <c r="B88" s="12" t="s">
        <v>262</v>
      </c>
      <c r="C88" s="12" t="s">
        <v>324</v>
      </c>
      <c r="D88" s="12" t="s">
        <v>325</v>
      </c>
      <c r="E88" s="12" t="s">
        <v>173</v>
      </c>
      <c r="F88" s="12" t="s">
        <v>149</v>
      </c>
    </row>
    <row r="89" customFormat="false" ht="34.5" hidden="false" customHeight="true" outlineLevel="0" collapsed="false">
      <c r="A89" s="12" t="n">
        <v>76</v>
      </c>
      <c r="B89" s="12" t="s">
        <v>262</v>
      </c>
      <c r="C89" s="12" t="s">
        <v>326</v>
      </c>
      <c r="D89" s="12" t="s">
        <v>327</v>
      </c>
      <c r="E89" s="12" t="s">
        <v>173</v>
      </c>
      <c r="F89" s="12" t="s">
        <v>149</v>
      </c>
    </row>
    <row r="90" customFormat="false" ht="34.5" hidden="false" customHeight="true" outlineLevel="0" collapsed="false">
      <c r="A90" s="12" t="n">
        <v>77</v>
      </c>
      <c r="B90" s="12" t="s">
        <v>262</v>
      </c>
      <c r="C90" s="12" t="s">
        <v>328</v>
      </c>
      <c r="D90" s="12" t="s">
        <v>329</v>
      </c>
      <c r="E90" s="12" t="s">
        <v>173</v>
      </c>
      <c r="F90" s="12" t="s">
        <v>149</v>
      </c>
    </row>
    <row r="91" customFormat="false" ht="23.25" hidden="false" customHeight="true" outlineLevel="0" collapsed="false">
      <c r="A91" s="12" t="n">
        <v>78</v>
      </c>
      <c r="B91" s="12" t="s">
        <v>176</v>
      </c>
      <c r="C91" s="12" t="s">
        <v>330</v>
      </c>
      <c r="D91" s="12" t="s">
        <v>331</v>
      </c>
      <c r="E91" s="12" t="s">
        <v>332</v>
      </c>
      <c r="F91" s="12" t="s">
        <v>333</v>
      </c>
    </row>
    <row r="92" customFormat="false" ht="15" hidden="false" customHeight="true" outlineLevel="0" collapsed="false">
      <c r="A92" s="12" t="n">
        <v>79</v>
      </c>
      <c r="B92" s="12" t="s">
        <v>232</v>
      </c>
      <c r="C92" s="12" t="s">
        <v>334</v>
      </c>
      <c r="D92" s="12" t="s">
        <v>335</v>
      </c>
      <c r="E92" s="12" t="s">
        <v>332</v>
      </c>
      <c r="F92" s="12" t="s">
        <v>336</v>
      </c>
    </row>
    <row r="93" customFormat="false" ht="34.5" hidden="false" customHeight="true" outlineLevel="0" collapsed="false">
      <c r="A93" s="12" t="n">
        <v>80</v>
      </c>
      <c r="B93" s="12" t="s">
        <v>262</v>
      </c>
      <c r="C93" s="12" t="s">
        <v>337</v>
      </c>
      <c r="D93" s="12" t="s">
        <v>338</v>
      </c>
      <c r="E93" s="12" t="s">
        <v>339</v>
      </c>
      <c r="F93" s="12" t="s">
        <v>333</v>
      </c>
    </row>
    <row r="94" customFormat="false" ht="23.25" hidden="false" customHeight="true" outlineLevel="0" collapsed="false">
      <c r="A94" s="12" t="n">
        <v>81</v>
      </c>
      <c r="B94" s="12" t="s">
        <v>262</v>
      </c>
      <c r="C94" s="12" t="s">
        <v>340</v>
      </c>
      <c r="D94" s="12" t="s">
        <v>341</v>
      </c>
      <c r="E94" s="12" t="s">
        <v>342</v>
      </c>
      <c r="F94" s="12" t="s">
        <v>343</v>
      </c>
    </row>
    <row r="95" customFormat="false" ht="23.25" hidden="false" customHeight="true" outlineLevel="0" collapsed="false">
      <c r="A95" s="12" t="n">
        <v>82</v>
      </c>
      <c r="B95" s="12" t="s">
        <v>262</v>
      </c>
      <c r="C95" s="12" t="s">
        <v>344</v>
      </c>
      <c r="D95" s="12" t="s">
        <v>345</v>
      </c>
      <c r="E95" s="12" t="s">
        <v>332</v>
      </c>
      <c r="F95" s="12" t="s">
        <v>333</v>
      </c>
    </row>
    <row r="96" customFormat="false" ht="34.5" hidden="false" customHeight="true" outlineLevel="0" collapsed="false">
      <c r="A96" s="12" t="n">
        <v>83</v>
      </c>
      <c r="B96" s="12" t="s">
        <v>232</v>
      </c>
      <c r="C96" s="12" t="s">
        <v>346</v>
      </c>
      <c r="D96" s="12" t="s">
        <v>347</v>
      </c>
      <c r="E96" s="12" t="s">
        <v>348</v>
      </c>
      <c r="F96" s="12" t="s">
        <v>149</v>
      </c>
    </row>
    <row r="97" customFormat="false" ht="23.25" hidden="false" customHeight="true" outlineLevel="0" collapsed="false">
      <c r="A97" s="12" t="n">
        <v>84</v>
      </c>
      <c r="B97" s="12" t="s">
        <v>262</v>
      </c>
      <c r="C97" s="12" t="s">
        <v>349</v>
      </c>
      <c r="D97" s="12" t="s">
        <v>350</v>
      </c>
      <c r="E97" s="12" t="s">
        <v>173</v>
      </c>
      <c r="F97" s="12" t="s">
        <v>149</v>
      </c>
    </row>
    <row r="98" customFormat="false" ht="23.25" hidden="false" customHeight="true" outlineLevel="0" collapsed="false">
      <c r="A98" s="12" t="n">
        <v>85</v>
      </c>
      <c r="B98" s="12" t="s">
        <v>145</v>
      </c>
      <c r="C98" s="12" t="s">
        <v>351</v>
      </c>
      <c r="D98" s="12" t="s">
        <v>352</v>
      </c>
      <c r="E98" s="12" t="s">
        <v>353</v>
      </c>
      <c r="F98" s="12" t="s">
        <v>354</v>
      </c>
    </row>
    <row r="99" customFormat="false" ht="23.25" hidden="false" customHeight="true" outlineLevel="0" collapsed="false">
      <c r="A99" s="12" t="n">
        <v>86</v>
      </c>
      <c r="B99" s="12" t="s">
        <v>176</v>
      </c>
      <c r="C99" s="12" t="s">
        <v>355</v>
      </c>
      <c r="D99" s="12" t="s">
        <v>356</v>
      </c>
      <c r="E99" s="12" t="s">
        <v>357</v>
      </c>
      <c r="F99" s="12" t="s">
        <v>354</v>
      </c>
    </row>
    <row r="100" customFormat="false" ht="23.25" hidden="false" customHeight="true" outlineLevel="0" collapsed="false">
      <c r="A100" s="12" t="n">
        <v>87</v>
      </c>
      <c r="B100" s="12" t="s">
        <v>262</v>
      </c>
      <c r="C100" s="12" t="s">
        <v>358</v>
      </c>
      <c r="D100" s="12" t="s">
        <v>359</v>
      </c>
      <c r="E100" s="12" t="s">
        <v>360</v>
      </c>
      <c r="F100" s="12" t="s">
        <v>361</v>
      </c>
    </row>
    <row r="101" customFormat="false" ht="23.25" hidden="false" customHeight="true" outlineLevel="0" collapsed="false">
      <c r="A101" s="12" t="n">
        <v>88</v>
      </c>
      <c r="B101" s="12" t="s">
        <v>262</v>
      </c>
      <c r="C101" s="12" t="s">
        <v>362</v>
      </c>
      <c r="D101" s="12" t="s">
        <v>363</v>
      </c>
      <c r="E101" s="12" t="s">
        <v>332</v>
      </c>
      <c r="F101" s="12" t="s">
        <v>354</v>
      </c>
    </row>
    <row r="102" customFormat="false" ht="34.5" hidden="false" customHeight="true" outlineLevel="0" collapsed="false">
      <c r="A102" s="12" t="n">
        <v>89</v>
      </c>
      <c r="B102" s="12" t="s">
        <v>220</v>
      </c>
      <c r="C102" s="12" t="s">
        <v>364</v>
      </c>
      <c r="D102" s="12" t="s">
        <v>365</v>
      </c>
      <c r="E102" s="12" t="s">
        <v>366</v>
      </c>
      <c r="F102" s="12" t="s">
        <v>354</v>
      </c>
    </row>
    <row r="103" customFormat="false" ht="45.75" hidden="false" customHeight="true" outlineLevel="0" collapsed="false">
      <c r="A103" s="12" t="n">
        <v>90</v>
      </c>
      <c r="B103" s="12" t="s">
        <v>232</v>
      </c>
      <c r="C103" s="12" t="s">
        <v>367</v>
      </c>
      <c r="D103" s="12" t="s">
        <v>368</v>
      </c>
      <c r="E103" s="12" t="s">
        <v>173</v>
      </c>
      <c r="F103" s="12" t="s">
        <v>149</v>
      </c>
    </row>
    <row r="104" customFormat="false" ht="46.25" hidden="false" customHeight="false" outlineLevel="0" collapsed="false">
      <c r="A104" s="12" t="n">
        <v>91</v>
      </c>
      <c r="B104" s="12" t="s">
        <v>145</v>
      </c>
      <c r="C104" s="12" t="s">
        <v>369</v>
      </c>
      <c r="D104" s="12" t="s">
        <v>370</v>
      </c>
      <c r="E104" s="12" t="s">
        <v>173</v>
      </c>
      <c r="F104" s="12" t="s">
        <v>149</v>
      </c>
    </row>
    <row r="105" customFormat="false" ht="35.05" hidden="false" customHeight="false" outlineLevel="0" collapsed="false">
      <c r="A105" s="12" t="n">
        <v>92</v>
      </c>
      <c r="B105" s="12" t="s">
        <v>176</v>
      </c>
      <c r="C105" s="12" t="s">
        <v>371</v>
      </c>
      <c r="D105" s="12" t="s">
        <v>372</v>
      </c>
      <c r="E105" s="12" t="s">
        <v>173</v>
      </c>
      <c r="F105" s="12" t="s">
        <v>149</v>
      </c>
    </row>
    <row r="106" customFormat="false" ht="46.25" hidden="false" customHeight="false" outlineLevel="0" collapsed="false">
      <c r="A106" s="12" t="n">
        <v>93</v>
      </c>
      <c r="B106" s="12" t="s">
        <v>176</v>
      </c>
      <c r="C106" s="12" t="s">
        <v>373</v>
      </c>
      <c r="D106" s="12" t="s">
        <v>374</v>
      </c>
      <c r="E106" s="12" t="s">
        <v>173</v>
      </c>
      <c r="F106" s="12" t="s">
        <v>149</v>
      </c>
    </row>
    <row r="107" customFormat="false" ht="46.25" hidden="false" customHeight="false" outlineLevel="0" collapsed="false">
      <c r="A107" s="12" t="n">
        <v>94</v>
      </c>
      <c r="B107" s="12" t="s">
        <v>302</v>
      </c>
      <c r="C107" s="12" t="s">
        <v>375</v>
      </c>
      <c r="D107" s="12" t="s">
        <v>376</v>
      </c>
      <c r="E107" s="12" t="s">
        <v>173</v>
      </c>
      <c r="F107" s="12" t="s">
        <v>377</v>
      </c>
    </row>
    <row r="108" customFormat="false" ht="23.85" hidden="false" customHeight="false" outlineLevel="0" collapsed="false">
      <c r="A108" s="12" t="n">
        <v>95</v>
      </c>
      <c r="B108" s="12" t="s">
        <v>145</v>
      </c>
      <c r="C108" s="12" t="s">
        <v>378</v>
      </c>
      <c r="D108" s="12" t="s">
        <v>379</v>
      </c>
      <c r="E108" s="12" t="s">
        <v>173</v>
      </c>
      <c r="F108" s="12" t="s">
        <v>380</v>
      </c>
    </row>
    <row r="109" customFormat="false" ht="46.25" hidden="false" customHeight="false" outlineLevel="0" collapsed="false">
      <c r="A109" s="12" t="n">
        <v>96</v>
      </c>
      <c r="B109" s="12" t="s">
        <v>145</v>
      </c>
      <c r="C109" s="12" t="s">
        <v>381</v>
      </c>
      <c r="D109" s="12" t="s">
        <v>382</v>
      </c>
      <c r="E109" s="12" t="s">
        <v>173</v>
      </c>
      <c r="F109" s="12"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175</v>
      </c>
      <c r="B1" s="14"/>
      <c r="C1" s="14"/>
    </row>
    <row r="2" customFormat="false" ht="15" hidden="false" customHeight="true" outlineLevel="0" collapsed="false">
      <c r="A2" s="14" t="s">
        <v>383</v>
      </c>
      <c r="B2" s="14" t="s">
        <v>384</v>
      </c>
      <c r="C2" s="14" t="s">
        <v>385</v>
      </c>
    </row>
    <row r="3" customFormat="false" ht="15" hidden="false" customHeight="true" outlineLevel="0" collapsed="false">
      <c r="A3" s="3" t="s">
        <v>386</v>
      </c>
      <c r="B3" s="3" t="s">
        <v>387</v>
      </c>
      <c r="C3" s="3" t="s">
        <v>388</v>
      </c>
    </row>
    <row r="4" customFormat="false" ht="23.25" hidden="false" customHeight="true" outlineLevel="0" collapsed="false">
      <c r="A4" s="3" t="s">
        <v>389</v>
      </c>
      <c r="B4" s="3" t="s">
        <v>390</v>
      </c>
      <c r="C4" s="3" t="s">
        <v>391</v>
      </c>
    </row>
    <row r="5" customFormat="false" ht="15" hidden="false" customHeight="true" outlineLevel="0" collapsed="false">
      <c r="A5" s="3" t="s">
        <v>392</v>
      </c>
      <c r="B5" s="3" t="s">
        <v>393</v>
      </c>
      <c r="C5" s="3" t="s">
        <v>394</v>
      </c>
    </row>
    <row r="6" customFormat="false" ht="15" hidden="false" customHeight="true" outlineLevel="0" collapsed="false">
      <c r="A6" s="3" t="s">
        <v>395</v>
      </c>
      <c r="B6" s="3" t="s">
        <v>396</v>
      </c>
      <c r="C6" s="3" t="s">
        <v>397</v>
      </c>
    </row>
    <row r="7" customFormat="false" ht="23.25" hidden="false" customHeight="true" outlineLevel="0" collapsed="false">
      <c r="A7" s="3" t="s">
        <v>398</v>
      </c>
      <c r="B7" s="3" t="s">
        <v>399</v>
      </c>
      <c r="C7" s="3" t="s">
        <v>400</v>
      </c>
    </row>
    <row r="8" customFormat="false" ht="23.25" hidden="false" customHeight="true" outlineLevel="0" collapsed="false">
      <c r="A8" s="3" t="s">
        <v>401</v>
      </c>
      <c r="B8" s="3" t="s">
        <v>402</v>
      </c>
      <c r="C8" s="3" t="s">
        <v>403</v>
      </c>
    </row>
    <row r="9" customFormat="false" ht="15" hidden="false" customHeight="true" outlineLevel="0" collapsed="false">
      <c r="A9" s="3" t="s">
        <v>404</v>
      </c>
      <c r="B9" s="3" t="s">
        <v>405</v>
      </c>
      <c r="C9" s="3" t="s">
        <v>406</v>
      </c>
    </row>
    <row r="10" customFormat="false" ht="15" hidden="false" customHeight="true" outlineLevel="0" collapsed="false">
      <c r="A10" s="3" t="s">
        <v>407</v>
      </c>
      <c r="B10" s="3" t="s">
        <v>408</v>
      </c>
      <c r="C10" s="3" t="s">
        <v>409</v>
      </c>
    </row>
    <row r="11" customFormat="false" ht="15" hidden="false" customHeight="true" outlineLevel="0" collapsed="false">
      <c r="A11" s="14" t="s">
        <v>410</v>
      </c>
      <c r="B11" s="3" t="s">
        <v>411</v>
      </c>
      <c r="C11" s="3" t="s">
        <v>412</v>
      </c>
    </row>
    <row r="12" customFormat="false" ht="34.5" hidden="false" customHeight="true" outlineLevel="0" collapsed="false">
      <c r="A12" s="14" t="s">
        <v>413</v>
      </c>
      <c r="B12" s="3" t="s">
        <v>414</v>
      </c>
      <c r="C12" s="3" t="s">
        <v>415</v>
      </c>
    </row>
    <row r="13" customFormat="false" ht="23.25" hidden="false" customHeight="true" outlineLevel="0" collapsed="false">
      <c r="A13" s="14" t="s">
        <v>416</v>
      </c>
      <c r="B13" s="3" t="s">
        <v>417</v>
      </c>
      <c r="C13" s="3" t="s">
        <v>418</v>
      </c>
    </row>
    <row r="14" customFormat="false" ht="15" hidden="false" customHeight="true" outlineLevel="0" collapsed="false">
      <c r="A14" s="14" t="s">
        <v>419</v>
      </c>
      <c r="B14" s="3" t="s">
        <v>420</v>
      </c>
      <c r="C14" s="3" t="s">
        <v>421</v>
      </c>
    </row>
    <row r="15" customFormat="false" ht="15" hidden="false" customHeight="true" outlineLevel="0" collapsed="false">
      <c r="A15" s="3"/>
      <c r="B15" s="3"/>
      <c r="C15" s="3"/>
    </row>
    <row r="16" customFormat="false" ht="23.25" hidden="false" customHeight="true" outlineLevel="0" collapsed="false">
      <c r="A16" s="3" t="s">
        <v>422</v>
      </c>
      <c r="B16" s="3" t="s">
        <v>423</v>
      </c>
      <c r="C16" s="3" t="s">
        <v>424</v>
      </c>
    </row>
    <row r="17" customFormat="false" ht="15" hidden="false" customHeight="true" outlineLevel="0" collapsed="false">
      <c r="A17" s="3" t="s">
        <v>422</v>
      </c>
      <c r="B17" s="3" t="s">
        <v>425</v>
      </c>
      <c r="C17" s="3" t="s">
        <v>426</v>
      </c>
    </row>
    <row r="18" customFormat="false" ht="15" hidden="false" customHeight="true" outlineLevel="0" collapsed="false">
      <c r="A18" s="3" t="s">
        <v>422</v>
      </c>
      <c r="B18" s="3" t="s">
        <v>427</v>
      </c>
      <c r="C18" s="3" t="s">
        <v>428</v>
      </c>
    </row>
    <row r="19" customFormat="false" ht="23.25" hidden="false" customHeight="true" outlineLevel="0" collapsed="false">
      <c r="A19" s="3"/>
      <c r="B19" s="3"/>
      <c r="C19" s="3"/>
    </row>
    <row r="20" customFormat="false" ht="15" hidden="false" customHeight="true" outlineLevel="0" collapsed="false">
      <c r="A20" s="14" t="s">
        <v>429</v>
      </c>
      <c r="B20" s="14"/>
      <c r="C20" s="14"/>
    </row>
    <row r="21" customFormat="false" ht="15" hidden="false" customHeight="true" outlineLevel="0" collapsed="false">
      <c r="A21" s="3" t="s">
        <v>430</v>
      </c>
      <c r="B21" s="3" t="s">
        <v>431</v>
      </c>
      <c r="C21" s="3" t="s">
        <v>432</v>
      </c>
    </row>
    <row r="22" customFormat="false" ht="23.25" hidden="false" customHeight="true" outlineLevel="0" collapsed="false">
      <c r="A22" s="3" t="s">
        <v>430</v>
      </c>
      <c r="B22" s="3" t="s">
        <v>433</v>
      </c>
      <c r="C22" s="3"/>
    </row>
    <row r="23" customFormat="false" ht="15" hidden="false" customHeight="true" outlineLevel="0" collapsed="false">
      <c r="A23" s="3" t="s">
        <v>434</v>
      </c>
      <c r="B23" s="3" t="s">
        <v>435</v>
      </c>
      <c r="C23" s="3" t="s">
        <v>436</v>
      </c>
    </row>
    <row r="24" customFormat="false" ht="45.75" hidden="false" customHeight="true" outlineLevel="0" collapsed="false">
      <c r="A24" s="3" t="s">
        <v>434</v>
      </c>
      <c r="B24" s="3" t="s">
        <v>437</v>
      </c>
      <c r="C24" s="3"/>
    </row>
    <row r="25" customFormat="false" ht="15" hidden="false" customHeight="true" outlineLevel="0" collapsed="false">
      <c r="A25" s="3" t="s">
        <v>434</v>
      </c>
      <c r="B25" s="3" t="s">
        <v>438</v>
      </c>
      <c r="C25" s="3"/>
    </row>
    <row r="26" customFormat="false" ht="23.25" hidden="false" customHeight="true" outlineLevel="0" collapsed="false">
      <c r="A26" s="3" t="s">
        <v>434</v>
      </c>
      <c r="B26" s="3" t="s">
        <v>439</v>
      </c>
      <c r="C26" s="3"/>
    </row>
    <row r="27" customFormat="false" ht="15" hidden="false" customHeight="true" outlineLevel="0" collapsed="false">
      <c r="A27" s="3" t="s">
        <v>440</v>
      </c>
      <c r="B27" s="3" t="s">
        <v>441</v>
      </c>
      <c r="C27" s="3" t="s">
        <v>442</v>
      </c>
    </row>
    <row r="28" customFormat="false" ht="23.25" hidden="false" customHeight="true" outlineLevel="0" collapsed="false">
      <c r="A28" s="3" t="s">
        <v>443</v>
      </c>
      <c r="B28" s="3" t="s">
        <v>444</v>
      </c>
      <c r="C28" s="3" t="s">
        <v>445</v>
      </c>
    </row>
    <row r="29" customFormat="false" ht="14.25" hidden="false" customHeight="true" outlineLevel="0" collapsed="false">
      <c r="A29" s="3" t="s">
        <v>446</v>
      </c>
      <c r="B29" s="3" t="s">
        <v>447</v>
      </c>
      <c r="C29" s="3" t="s">
        <v>448</v>
      </c>
    </row>
    <row r="30" customFormat="false" ht="34.5" hidden="false" customHeight="true" outlineLevel="0" collapsed="false">
      <c r="A30" s="3" t="s">
        <v>449</v>
      </c>
      <c r="B30" s="3" t="s">
        <v>450</v>
      </c>
      <c r="C30" s="3" t="s">
        <v>451</v>
      </c>
    </row>
    <row r="31" customFormat="false" ht="23.25" hidden="false" customHeight="true" outlineLevel="0" collapsed="false">
      <c r="A31" s="3"/>
      <c r="B31" s="3"/>
      <c r="C31" s="3"/>
    </row>
    <row r="32" customFormat="false" ht="23.25" hidden="false" customHeight="true" outlineLevel="0" collapsed="false">
      <c r="A32" s="14" t="s">
        <v>452</v>
      </c>
      <c r="B32" s="14" t="s">
        <v>453</v>
      </c>
      <c r="C32" s="14"/>
    </row>
    <row r="33" customFormat="false" ht="15" hidden="false" customHeight="true" outlineLevel="0" collapsed="false"/>
    <row r="34" customFormat="false" ht="15" hidden="false" customHeight="true" outlineLevel="0" collapsed="false">
      <c r="A34" s="14" t="s">
        <v>454</v>
      </c>
      <c r="B34" s="14"/>
      <c r="C34" s="14"/>
    </row>
    <row r="35" customFormat="false" ht="23.25" hidden="false" customHeight="true" outlineLevel="0" collapsed="false">
      <c r="A35" s="3" t="s">
        <v>455</v>
      </c>
      <c r="B35" s="3" t="s">
        <v>456</v>
      </c>
      <c r="C35" s="3" t="s">
        <v>457</v>
      </c>
    </row>
    <row r="36" customFormat="false" ht="34.5" hidden="false" customHeight="true" outlineLevel="0" collapsed="false">
      <c r="A36" s="3" t="s">
        <v>37</v>
      </c>
      <c r="B36" s="3" t="s">
        <v>458</v>
      </c>
      <c r="C36" s="3" t="s">
        <v>459</v>
      </c>
    </row>
    <row r="37" customFormat="false" ht="34.5" hidden="false" customHeight="true" outlineLevel="0" collapsed="false">
      <c r="A37" s="3" t="s">
        <v>33</v>
      </c>
      <c r="B37" s="3" t="s">
        <v>460</v>
      </c>
      <c r="C37" s="3" t="s">
        <v>461</v>
      </c>
    </row>
    <row r="38" customFormat="false" ht="15" hidden="false" customHeight="true" outlineLevel="0" collapsed="false">
      <c r="A38" s="3" t="s">
        <v>39</v>
      </c>
      <c r="B38" s="3" t="s">
        <v>462</v>
      </c>
      <c r="C38" s="3" t="s">
        <v>463</v>
      </c>
    </row>
    <row r="39" customFormat="false" ht="34.5" hidden="false" customHeight="true" outlineLevel="0" collapsed="false"/>
    <row r="40" customFormat="false" ht="23.25" hidden="false" customHeight="true" outlineLevel="0" collapsed="false">
      <c r="A40" s="14" t="s">
        <v>464</v>
      </c>
      <c r="B40" s="14"/>
      <c r="C40" s="14"/>
    </row>
    <row r="41" customFormat="false" ht="45.75" hidden="false" customHeight="true" outlineLevel="0" collapsed="false">
      <c r="A41" s="3" t="s">
        <v>140</v>
      </c>
      <c r="B41" s="3" t="s">
        <v>465</v>
      </c>
      <c r="C41" s="3" t="s">
        <v>466</v>
      </c>
    </row>
    <row r="42" customFormat="false" ht="34.5" hidden="false" customHeight="true" outlineLevel="0" collapsed="false">
      <c r="A42" s="3" t="s">
        <v>467</v>
      </c>
      <c r="B42" s="3" t="s">
        <v>468</v>
      </c>
      <c r="C42" s="3" t="s">
        <v>469</v>
      </c>
    </row>
    <row r="43" customFormat="false" ht="34.5" hidden="false" customHeight="true" outlineLevel="0" collapsed="false">
      <c r="A43" s="3" t="s">
        <v>470</v>
      </c>
      <c r="B43" s="3" t="s">
        <v>471</v>
      </c>
      <c r="C43" s="3" t="s">
        <v>472</v>
      </c>
    </row>
    <row r="44" customFormat="false" ht="34.5" hidden="false" customHeight="true" outlineLevel="0" collapsed="false"/>
    <row r="45" customFormat="false" ht="34.5" hidden="false" customHeight="true" outlineLevel="0" collapsed="false">
      <c r="A45" s="15" t="s">
        <v>473</v>
      </c>
      <c r="B45" s="14"/>
      <c r="C45" s="14"/>
    </row>
    <row r="46" customFormat="false" ht="45.75" hidden="false" customHeight="true" outlineLevel="0" collapsed="false">
      <c r="A46" s="3" t="s">
        <v>474</v>
      </c>
      <c r="B46" s="3" t="s">
        <v>475</v>
      </c>
      <c r="C46" s="3" t="s">
        <v>476</v>
      </c>
    </row>
    <row r="47" customFormat="false" ht="34.5" hidden="false" customHeight="true" outlineLevel="0" collapsed="false">
      <c r="A47" s="3" t="s">
        <v>149</v>
      </c>
      <c r="B47" s="3" t="s">
        <v>477</v>
      </c>
      <c r="C47" s="3" t="s">
        <v>478</v>
      </c>
    </row>
    <row r="48" customFormat="false" ht="23.25" hidden="false" customHeight="true" outlineLevel="0" collapsed="false">
      <c r="A48" s="3" t="s">
        <v>479</v>
      </c>
      <c r="B48" s="3" t="s">
        <v>480</v>
      </c>
      <c r="C48" s="3" t="s">
        <v>481</v>
      </c>
    </row>
    <row r="49" customFormat="false" ht="34.5" hidden="false" customHeight="true" outlineLevel="0" collapsed="false"/>
    <row r="50" customFormat="false" ht="34.5" hidden="false" customHeight="true" outlineLevel="0" collapsed="false">
      <c r="A50" s="14" t="s">
        <v>482</v>
      </c>
      <c r="B50" s="14"/>
      <c r="C50" s="14"/>
    </row>
    <row r="51" customFormat="false" ht="23.25" hidden="false" customHeight="true" outlineLevel="0" collapsed="false">
      <c r="A51" s="3" t="s">
        <v>483</v>
      </c>
      <c r="B51" s="3" t="s">
        <v>484</v>
      </c>
      <c r="C51" s="3" t="s">
        <v>485</v>
      </c>
    </row>
    <row r="52" customFormat="false" ht="23.25" hidden="false" customHeight="true" outlineLevel="0" collapsed="false">
      <c r="A52" s="3" t="s">
        <v>486</v>
      </c>
      <c r="B52" s="3" t="s">
        <v>487</v>
      </c>
      <c r="C52" s="3" t="s">
        <v>488</v>
      </c>
    </row>
    <row r="53" customFormat="false" ht="23.25" hidden="false" customHeight="true" outlineLevel="0" collapsed="false">
      <c r="A53" s="3" t="s">
        <v>489</v>
      </c>
      <c r="B53" s="3" t="s">
        <v>490</v>
      </c>
      <c r="C53" s="3" t="s">
        <v>491</v>
      </c>
    </row>
    <row r="54" customFormat="false" ht="34.5" hidden="false" customHeight="true" outlineLevel="0" collapsed="false"/>
    <row r="55" customFormat="false" ht="23.25" hidden="false" customHeight="true" outlineLevel="0" collapsed="false">
      <c r="A55" s="14" t="s">
        <v>492</v>
      </c>
      <c r="B55" s="14"/>
      <c r="C55" s="14"/>
    </row>
    <row r="56" customFormat="false" ht="45.75" hidden="false" customHeight="true" outlineLevel="0" collapsed="false">
      <c r="A56" s="3" t="s">
        <v>493</v>
      </c>
      <c r="B56" s="3" t="s">
        <v>494</v>
      </c>
      <c r="C56" s="3" t="s">
        <v>495</v>
      </c>
    </row>
    <row r="57" customFormat="false" ht="34.5" hidden="false" customHeight="true" outlineLevel="0" collapsed="false">
      <c r="A57" s="3" t="s">
        <v>496</v>
      </c>
      <c r="B57" s="3" t="s">
        <v>497</v>
      </c>
      <c r="C57" s="3" t="s">
        <v>498</v>
      </c>
    </row>
    <row r="58" customFormat="false" ht="23.25" hidden="false" customHeight="true" outlineLevel="0" collapsed="false">
      <c r="A58" s="3" t="s">
        <v>499</v>
      </c>
      <c r="B58" s="3" t="s">
        <v>500</v>
      </c>
      <c r="C58" s="3" t="s">
        <v>501</v>
      </c>
    </row>
    <row r="59" customFormat="false" ht="45.75" hidden="false" customHeight="true" outlineLevel="0" collapsed="false"/>
    <row r="60" customFormat="false" ht="34.5" hidden="false" customHeight="true" outlineLevel="0" collapsed="false">
      <c r="A60" s="14" t="s">
        <v>502</v>
      </c>
      <c r="B60" s="14"/>
      <c r="C60" s="14"/>
    </row>
    <row r="61" customFormat="false" ht="34.5" hidden="false" customHeight="true" outlineLevel="0" collapsed="false">
      <c r="A61" s="3" t="s">
        <v>503</v>
      </c>
      <c r="B61" s="3" t="s">
        <v>504</v>
      </c>
      <c r="C61" s="3" t="s">
        <v>505</v>
      </c>
    </row>
    <row r="62" customFormat="false" ht="45.75" hidden="false" customHeight="true" outlineLevel="0" collapsed="false">
      <c r="A62" s="3" t="s">
        <v>506</v>
      </c>
      <c r="B62" s="3" t="s">
        <v>507</v>
      </c>
      <c r="C62" s="3" t="s">
        <v>508</v>
      </c>
    </row>
    <row r="63" customFormat="false" ht="57" hidden="false" customHeight="true" outlineLevel="0" collapsed="false">
      <c r="A63" s="3" t="s">
        <v>509</v>
      </c>
      <c r="B63" s="3" t="s">
        <v>510</v>
      </c>
      <c r="C63" s="3" t="s">
        <v>511</v>
      </c>
    </row>
    <row r="65" customFormat="false" ht="15" hidden="false" customHeight="true" outlineLevel="0" collapsed="false">
      <c r="A65" s="14" t="s">
        <v>512</v>
      </c>
      <c r="B65" s="14"/>
      <c r="C65" s="14"/>
    </row>
    <row r="66" customFormat="false" ht="15" hidden="false" customHeight="true" outlineLevel="0" collapsed="false">
      <c r="A66" s="3" t="s">
        <v>513</v>
      </c>
      <c r="B66" s="3" t="s">
        <v>514</v>
      </c>
      <c r="C66" s="3" t="s">
        <v>515</v>
      </c>
    </row>
    <row r="67" customFormat="false" ht="15" hidden="false" customHeight="true" outlineLevel="0" collapsed="false">
      <c r="A67" s="3" t="s">
        <v>516</v>
      </c>
      <c r="B67" s="3" t="s">
        <v>517</v>
      </c>
      <c r="C67" s="3" t="s">
        <v>518</v>
      </c>
    </row>
    <row r="69" customFormat="false" ht="15" hidden="false" customHeight="true" outlineLevel="0" collapsed="false">
      <c r="A69" s="16" t="s">
        <v>519</v>
      </c>
    </row>
    <row r="70" customFormat="false" ht="15" hidden="false" customHeight="true" outlineLevel="0" collapsed="false">
      <c r="A70" s="4" t="s">
        <v>520</v>
      </c>
      <c r="B70" s="5" t="s">
        <v>521</v>
      </c>
      <c r="C70" s="5" t="s">
        <v>522</v>
      </c>
    </row>
    <row r="71" customFormat="false" ht="15" hidden="false" customHeight="true" outlineLevel="0" collapsed="false">
      <c r="A71" s="4" t="s">
        <v>523</v>
      </c>
      <c r="B71" s="5" t="s">
        <v>524</v>
      </c>
      <c r="C71" s="5" t="s">
        <v>525</v>
      </c>
    </row>
    <row r="73" customFormat="false" ht="15" hidden="false" customHeight="true" outlineLevel="0" collapsed="false">
      <c r="A73" s="16" t="s">
        <v>526</v>
      </c>
    </row>
    <row r="74" customFormat="false" ht="15" hidden="false" customHeight="true" outlineLevel="0" collapsed="false">
      <c r="A74" s="4" t="s">
        <v>527</v>
      </c>
      <c r="B74" s="5" t="s">
        <v>528</v>
      </c>
      <c r="C74" s="5" t="s">
        <v>529</v>
      </c>
    </row>
    <row r="75" customFormat="false" ht="15" hidden="false" customHeight="true" outlineLevel="0" collapsed="false">
      <c r="A75" s="4" t="s">
        <v>530</v>
      </c>
      <c r="B75" s="5" t="s">
        <v>531</v>
      </c>
      <c r="C75" s="5" t="s">
        <v>532</v>
      </c>
    </row>
    <row r="76" customFormat="false" ht="15" hidden="false" customHeight="true" outlineLevel="0" collapsed="false"/>
    <row r="77" customFormat="false" ht="14.25" hidden="false" customHeight="true" outlineLevel="0" collapsed="false">
      <c r="A77" s="17" t="s">
        <v>533</v>
      </c>
      <c r="B77" s="17"/>
      <c r="C77" s="17"/>
    </row>
    <row r="78" customFormat="false" ht="14.25" hidden="false" customHeight="true" outlineLevel="0" collapsed="false">
      <c r="A78" s="18" t="s">
        <v>140</v>
      </c>
      <c r="B78" s="5" t="s">
        <v>534</v>
      </c>
      <c r="C78" s="5" t="s">
        <v>535</v>
      </c>
    </row>
    <row r="79" customFormat="false" ht="14.25" hidden="false" customHeight="true" outlineLevel="0" collapsed="false">
      <c r="A79" s="18" t="s">
        <v>536</v>
      </c>
      <c r="B79" s="5" t="s">
        <v>537</v>
      </c>
      <c r="C79" s="5" t="s">
        <v>538</v>
      </c>
    </row>
    <row r="80" customFormat="false" ht="14.25" hidden="false" customHeight="true" outlineLevel="0" collapsed="false">
      <c r="A80" s="18" t="s">
        <v>539</v>
      </c>
      <c r="B80" s="5" t="s">
        <v>540</v>
      </c>
      <c r="C80" s="5" t="s">
        <v>541</v>
      </c>
    </row>
    <row r="82" customFormat="false" ht="14.25" hidden="false" customHeight="true" outlineLevel="0" collapsed="false">
      <c r="A82" s="17" t="s">
        <v>542</v>
      </c>
      <c r="B82" s="17"/>
      <c r="C82" s="17"/>
    </row>
    <row r="83" customFormat="false" ht="14.25" hidden="false" customHeight="true" outlineLevel="0" collapsed="false">
      <c r="A83" s="18" t="s">
        <v>543</v>
      </c>
      <c r="B83" s="5" t="s">
        <v>544</v>
      </c>
      <c r="C83" s="5" t="s">
        <v>545</v>
      </c>
    </row>
    <row r="84" customFormat="false" ht="14.25" hidden="false" customHeight="true" outlineLevel="0" collapsed="false">
      <c r="A84" s="18" t="s">
        <v>546</v>
      </c>
      <c r="B84" s="5" t="s">
        <v>547</v>
      </c>
      <c r="C84" s="5" t="s">
        <v>548</v>
      </c>
    </row>
    <row r="85" customFormat="false" ht="14.25" hidden="false" customHeight="true" outlineLevel="0" collapsed="false">
      <c r="A85" s="18" t="s">
        <v>549</v>
      </c>
      <c r="B85" s="5" t="s">
        <v>550</v>
      </c>
      <c r="C85" s="5" t="s">
        <v>551</v>
      </c>
    </row>
    <row r="86" customFormat="false" ht="14.25" hidden="false" customHeight="true" outlineLevel="0" collapsed="false">
      <c r="A86" s="18" t="s">
        <v>552</v>
      </c>
      <c r="B86" s="5" t="s">
        <v>553</v>
      </c>
      <c r="C86" s="5" t="s">
        <v>554</v>
      </c>
    </row>
    <row r="87" customFormat="false" ht="14.25" hidden="false" customHeight="true" outlineLevel="0" collapsed="false">
      <c r="A87" s="18" t="s">
        <v>555</v>
      </c>
      <c r="B87" s="5" t="s">
        <v>556</v>
      </c>
      <c r="C87" s="5" t="s">
        <v>557</v>
      </c>
    </row>
    <row r="88" customFormat="false" ht="14.25" hidden="false" customHeight="true" outlineLevel="0" collapsed="false">
      <c r="A88" s="18" t="s">
        <v>558</v>
      </c>
      <c r="B88" s="5" t="s">
        <v>559</v>
      </c>
      <c r="C88" s="5" t="s">
        <v>560</v>
      </c>
    </row>
    <row r="89" customFormat="false" ht="14.25" hidden="false" customHeight="true" outlineLevel="0" collapsed="false">
      <c r="A89" s="18" t="s">
        <v>561</v>
      </c>
      <c r="B89" s="5" t="s">
        <v>562</v>
      </c>
      <c r="C89" s="5"/>
    </row>
    <row r="90" customFormat="false" ht="14.25" hidden="false" customHeight="true" outlineLevel="0" collapsed="false">
      <c r="A90" s="18" t="s">
        <v>563</v>
      </c>
      <c r="B90" s="5" t="s">
        <v>564</v>
      </c>
      <c r="C90" s="5" t="s">
        <v>565</v>
      </c>
    </row>
    <row r="91" customFormat="false" ht="14.25" hidden="false" customHeight="true" outlineLevel="0" collapsed="false">
      <c r="A91" s="18" t="s">
        <v>566</v>
      </c>
      <c r="B91" s="5" t="s">
        <v>567</v>
      </c>
      <c r="C91" s="5" t="s">
        <v>568</v>
      </c>
    </row>
    <row r="92" customFormat="false" ht="14.25" hidden="false" customHeight="true" outlineLevel="0" collapsed="false">
      <c r="A92" s="18" t="s">
        <v>569</v>
      </c>
      <c r="B92" s="5" t="s">
        <v>570</v>
      </c>
      <c r="C92" s="5" t="s">
        <v>571</v>
      </c>
    </row>
    <row r="93" customFormat="false" ht="14.25" hidden="false" customHeight="true" outlineLevel="0" collapsed="false">
      <c r="A93" s="18" t="s">
        <v>572</v>
      </c>
      <c r="B93" s="5" t="s">
        <v>573</v>
      </c>
      <c r="C93" s="5" t="s">
        <v>574</v>
      </c>
    </row>
    <row r="94" customFormat="false" ht="14.25" hidden="false" customHeight="true" outlineLevel="0" collapsed="false">
      <c r="A94" s="18" t="s">
        <v>575</v>
      </c>
      <c r="B94" s="5" t="s">
        <v>576</v>
      </c>
      <c r="C94" s="5" t="s">
        <v>577</v>
      </c>
    </row>
    <row r="95" customFormat="false" ht="14.25" hidden="false" customHeight="true" outlineLevel="0" collapsed="false">
      <c r="A95" s="18" t="s">
        <v>578</v>
      </c>
      <c r="B95" s="5" t="s">
        <v>579</v>
      </c>
      <c r="C95" s="5"/>
    </row>
    <row r="96" customFormat="false" ht="14.25" hidden="false" customHeight="true" outlineLevel="0" collapsed="false">
      <c r="A96" s="18" t="s">
        <v>580</v>
      </c>
      <c r="B96" s="5" t="s">
        <v>581</v>
      </c>
      <c r="C96" s="5" t="s">
        <v>582</v>
      </c>
    </row>
    <row r="97" customFormat="false" ht="14.25" hidden="false" customHeight="true" outlineLevel="0" collapsed="false">
      <c r="A97" s="18" t="s">
        <v>583</v>
      </c>
      <c r="B97" s="5" t="s">
        <v>584</v>
      </c>
      <c r="C97" s="5" t="s">
        <v>585</v>
      </c>
    </row>
    <row r="98" customFormat="false" ht="14.25" hidden="false" customHeight="true" outlineLevel="0" collapsed="false">
      <c r="A98" s="18" t="s">
        <v>586</v>
      </c>
      <c r="B98" s="5" t="s">
        <v>587</v>
      </c>
      <c r="C98" s="5"/>
    </row>
    <row r="99" customFormat="false" ht="14.25" hidden="false" customHeight="true" outlineLevel="0" collapsed="false">
      <c r="A99" s="18" t="s">
        <v>588</v>
      </c>
      <c r="B99" s="5" t="s">
        <v>589</v>
      </c>
      <c r="C99" s="5" t="s">
        <v>590</v>
      </c>
    </row>
    <row r="100" customFormat="false" ht="14.25" hidden="false" customHeight="true" outlineLevel="0" collapsed="false">
      <c r="A100" s="18" t="s">
        <v>591</v>
      </c>
      <c r="B100" s="5" t="s">
        <v>592</v>
      </c>
      <c r="C100" s="5"/>
    </row>
    <row r="101" customFormat="false" ht="14.25" hidden="false" customHeight="true" outlineLevel="0" collapsed="false">
      <c r="A101" s="18" t="s">
        <v>593</v>
      </c>
      <c r="B101" s="5" t="s">
        <v>594</v>
      </c>
      <c r="C101" s="5" t="s">
        <v>595</v>
      </c>
    </row>
    <row r="102" customFormat="false" ht="14.25" hidden="false" customHeight="true" outlineLevel="0" collapsed="false">
      <c r="A102" s="18" t="s">
        <v>596</v>
      </c>
      <c r="B102" s="5" t="s">
        <v>597</v>
      </c>
      <c r="C102" s="5"/>
    </row>
    <row r="103" customFormat="false" ht="14.25" hidden="false" customHeight="true" outlineLevel="0" collapsed="false">
      <c r="A103" s="18" t="s">
        <v>598</v>
      </c>
      <c r="B103" s="5" t="s">
        <v>599</v>
      </c>
      <c r="C103" s="5" t="s">
        <v>600</v>
      </c>
    </row>
    <row r="104" customFormat="false" ht="14.25" hidden="false" customHeight="true" outlineLevel="0" collapsed="false">
      <c r="A104" s="18" t="s">
        <v>601</v>
      </c>
      <c r="B104" s="5" t="s">
        <v>602</v>
      </c>
      <c r="C104" s="5" t="s">
        <v>603</v>
      </c>
    </row>
    <row r="105" customFormat="false" ht="14.25" hidden="false" customHeight="true" outlineLevel="0" collapsed="false">
      <c r="A105" s="18" t="s">
        <v>604</v>
      </c>
      <c r="B105" s="5" t="s">
        <v>605</v>
      </c>
      <c r="C105" s="5" t="s">
        <v>606</v>
      </c>
    </row>
    <row r="106" customFormat="false" ht="14.25" hidden="false" customHeight="true" outlineLevel="0" collapsed="false">
      <c r="A106" s="18" t="s">
        <v>607</v>
      </c>
      <c r="B106" s="5" t="s">
        <v>608</v>
      </c>
      <c r="C106" s="5" t="s">
        <v>609</v>
      </c>
    </row>
    <row r="107" customFormat="false" ht="14.25" hidden="false" customHeight="true" outlineLevel="0" collapsed="false">
      <c r="A107" s="18" t="s">
        <v>610</v>
      </c>
      <c r="B107" s="5" t="s">
        <v>611</v>
      </c>
      <c r="C107" s="5" t="s">
        <v>612</v>
      </c>
    </row>
    <row r="108" customFormat="false" ht="14.25" hidden="false" customHeight="true" outlineLevel="0" collapsed="false">
      <c r="A108" s="18" t="s">
        <v>613</v>
      </c>
      <c r="B108" s="5" t="s">
        <v>614</v>
      </c>
      <c r="C108" s="5" t="s">
        <v>615</v>
      </c>
    </row>
    <row r="109" customFormat="false" ht="14.25" hidden="false" customHeight="true" outlineLevel="0" collapsed="false">
      <c r="A109" s="18" t="s">
        <v>616</v>
      </c>
      <c r="B109" s="5" t="s">
        <v>617</v>
      </c>
      <c r="C109" s="5" t="s">
        <v>618</v>
      </c>
    </row>
    <row r="110" customFormat="false" ht="14.25" hidden="false" customHeight="true" outlineLevel="0" collapsed="false">
      <c r="A110" s="18" t="s">
        <v>619</v>
      </c>
      <c r="B110" s="5" t="s">
        <v>620</v>
      </c>
      <c r="C110" s="5" t="s">
        <v>621</v>
      </c>
    </row>
    <row r="111" customFormat="false" ht="14.25" hidden="false" customHeight="true" outlineLevel="0" collapsed="false">
      <c r="A111" s="18" t="s">
        <v>622</v>
      </c>
      <c r="B111" s="5" t="s">
        <v>623</v>
      </c>
      <c r="C111" s="5" t="s">
        <v>624</v>
      </c>
    </row>
    <row r="112" customFormat="false" ht="14.25" hidden="false" customHeight="true" outlineLevel="0" collapsed="false">
      <c r="A112" s="18" t="s">
        <v>625</v>
      </c>
      <c r="B112" s="5" t="s">
        <v>626</v>
      </c>
      <c r="C112" s="5" t="s">
        <v>627</v>
      </c>
    </row>
    <row r="113" customFormat="false" ht="14.25" hidden="false" customHeight="true" outlineLevel="0" collapsed="false">
      <c r="A113" s="18" t="s">
        <v>628</v>
      </c>
      <c r="B113" s="5" t="s">
        <v>629</v>
      </c>
      <c r="C113" s="5" t="s">
        <v>630</v>
      </c>
    </row>
    <row r="114" customFormat="false" ht="14.25" hidden="false" customHeight="true" outlineLevel="0" collapsed="false">
      <c r="A114" s="18" t="s">
        <v>631</v>
      </c>
      <c r="B114" s="5" t="s">
        <v>632</v>
      </c>
      <c r="C114" s="5" t="s">
        <v>633</v>
      </c>
    </row>
    <row r="115" customFormat="false" ht="14.25" hidden="false" customHeight="true" outlineLevel="0" collapsed="false">
      <c r="A115" s="18" t="s">
        <v>122</v>
      </c>
      <c r="B115" s="5" t="s">
        <v>634</v>
      </c>
      <c r="C115" s="5" t="s">
        <v>635</v>
      </c>
    </row>
    <row r="116" customFormat="false" ht="14.25" hidden="false" customHeight="true" outlineLevel="0" collapsed="false">
      <c r="A116" s="18" t="s">
        <v>636</v>
      </c>
      <c r="B116" s="5" t="s">
        <v>637</v>
      </c>
      <c r="C116" s="5" t="s">
        <v>638</v>
      </c>
    </row>
    <row r="117" customFormat="false" ht="14.25" hidden="false" customHeight="true" outlineLevel="0" collapsed="false">
      <c r="A117" s="18" t="s">
        <v>639</v>
      </c>
      <c r="B117" s="5" t="s">
        <v>640</v>
      </c>
      <c r="C117" s="5" t="s">
        <v>641</v>
      </c>
    </row>
    <row r="118" customFormat="false" ht="14.25" hidden="false" customHeight="true" outlineLevel="0" collapsed="false">
      <c r="A118" s="18" t="s">
        <v>642</v>
      </c>
      <c r="B118" s="5" t="s">
        <v>643</v>
      </c>
      <c r="C118" s="5" t="s">
        <v>644</v>
      </c>
    </row>
    <row r="119" customFormat="false" ht="14.25" hidden="false" customHeight="true" outlineLevel="0" collapsed="false">
      <c r="A119" s="18" t="s">
        <v>645</v>
      </c>
      <c r="B119" s="5" t="s">
        <v>646</v>
      </c>
      <c r="C119" s="5" t="s">
        <v>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648</v>
      </c>
      <c r="B1" s="19" t="s">
        <v>649</v>
      </c>
      <c r="C1" s="19" t="s">
        <v>650</v>
      </c>
      <c r="D1" s="19" t="s">
        <v>651</v>
      </c>
      <c r="E1" s="19" t="s">
        <v>652</v>
      </c>
      <c r="F1" s="19" t="s">
        <v>653</v>
      </c>
    </row>
    <row r="2" customFormat="false" ht="23.25" hidden="false" customHeight="true" outlineLevel="0" collapsed="false">
      <c r="A2" s="3" t="s">
        <v>37</v>
      </c>
      <c r="B2" s="3" t="s">
        <v>654</v>
      </c>
      <c r="C2" s="3" t="s">
        <v>655</v>
      </c>
      <c r="D2" s="3" t="s">
        <v>656</v>
      </c>
      <c r="E2" s="3" t="s">
        <v>657</v>
      </c>
      <c r="F2" s="3" t="s">
        <v>658</v>
      </c>
    </row>
    <row r="3" customFormat="false" ht="23.25" hidden="false" customHeight="true" outlineLevel="0" collapsed="false">
      <c r="A3" s="3" t="s">
        <v>35</v>
      </c>
      <c r="B3" s="3" t="s">
        <v>659</v>
      </c>
      <c r="C3" s="3" t="s">
        <v>660</v>
      </c>
      <c r="D3" s="3" t="s">
        <v>661</v>
      </c>
      <c r="E3" s="3" t="s">
        <v>662</v>
      </c>
      <c r="F3" s="3" t="s">
        <v>663</v>
      </c>
    </row>
    <row r="4" customFormat="false" ht="23.25" hidden="false" customHeight="true" outlineLevel="0" collapsed="false">
      <c r="A4" s="3" t="s">
        <v>664</v>
      </c>
      <c r="B4" s="3" t="s">
        <v>665</v>
      </c>
      <c r="C4" s="3" t="s">
        <v>666</v>
      </c>
      <c r="D4" s="3" t="s">
        <v>667</v>
      </c>
      <c r="E4" s="3" t="s">
        <v>668</v>
      </c>
      <c r="F4" s="3" t="s">
        <v>669</v>
      </c>
    </row>
    <row r="5" customFormat="false" ht="23.25" hidden="false" customHeight="true" outlineLevel="0" collapsed="false">
      <c r="A5" s="3" t="s">
        <v>670</v>
      </c>
      <c r="B5" s="3" t="s">
        <v>671</v>
      </c>
      <c r="C5" s="3" t="s">
        <v>672</v>
      </c>
      <c r="D5" s="3" t="s">
        <v>673</v>
      </c>
      <c r="E5" s="3" t="s">
        <v>674</v>
      </c>
      <c r="F5" s="3" t="s">
        <v>675</v>
      </c>
    </row>
    <row r="6" customFormat="false" ht="15" hidden="false" customHeight="true" outlineLevel="0" collapsed="false">
      <c r="A6" s="3" t="s">
        <v>676</v>
      </c>
      <c r="B6" s="3" t="s">
        <v>677</v>
      </c>
      <c r="C6" s="3" t="s">
        <v>678</v>
      </c>
      <c r="D6" s="3" t="s">
        <v>667</v>
      </c>
      <c r="E6" s="3" t="s">
        <v>679</v>
      </c>
      <c r="F6" s="3"/>
    </row>
    <row r="7" customFormat="false" ht="23.25" hidden="false" customHeight="true" outlineLevel="0" collapsed="false">
      <c r="A7" s="3" t="s">
        <v>680</v>
      </c>
      <c r="B7" s="3" t="s">
        <v>681</v>
      </c>
      <c r="C7" s="3" t="s">
        <v>682</v>
      </c>
      <c r="D7" s="3" t="s">
        <v>656</v>
      </c>
      <c r="E7" s="3" t="s">
        <v>683</v>
      </c>
      <c r="F7" s="3"/>
    </row>
    <row r="8" customFormat="false" ht="23.25" hidden="false" customHeight="true" outlineLevel="0" collapsed="false">
      <c r="A8" s="3" t="s">
        <v>684</v>
      </c>
      <c r="B8" s="3" t="s">
        <v>685</v>
      </c>
      <c r="C8" s="3" t="s">
        <v>686</v>
      </c>
      <c r="D8" s="3" t="s">
        <v>687</v>
      </c>
      <c r="E8" s="3" t="s">
        <v>688</v>
      </c>
      <c r="F8" s="3" t="s">
        <v>689</v>
      </c>
    </row>
    <row r="9" customFormat="false" ht="15" hidden="false" customHeight="true" outlineLevel="0" collapsed="false">
      <c r="A9" s="3" t="s">
        <v>690</v>
      </c>
      <c r="B9" s="3" t="s">
        <v>691</v>
      </c>
      <c r="C9" s="3" t="s">
        <v>692</v>
      </c>
      <c r="D9" s="3" t="s">
        <v>693</v>
      </c>
      <c r="E9" s="3" t="s">
        <v>694</v>
      </c>
      <c r="F9" s="3" t="s">
        <v>695</v>
      </c>
    </row>
    <row r="10" customFormat="false" ht="15" hidden="false" customHeight="true" outlineLevel="0" collapsed="false">
      <c r="A10" s="3" t="s">
        <v>696</v>
      </c>
      <c r="B10" s="3" t="s">
        <v>697</v>
      </c>
      <c r="C10" s="3" t="s">
        <v>698</v>
      </c>
      <c r="D10" s="3" t="s">
        <v>699</v>
      </c>
      <c r="E10" s="3" t="s">
        <v>700</v>
      </c>
      <c r="F10" s="3"/>
    </row>
    <row r="11" customFormat="false" ht="15" hidden="false" customHeight="true" outlineLevel="0" collapsed="false">
      <c r="A11" s="3" t="s">
        <v>701</v>
      </c>
      <c r="B11" s="3" t="s">
        <v>702</v>
      </c>
      <c r="C11" s="3" t="s">
        <v>703</v>
      </c>
      <c r="D11" s="3" t="s">
        <v>704</v>
      </c>
      <c r="E11" s="3" t="s">
        <v>705</v>
      </c>
      <c r="F11" s="3" t="s">
        <v>706</v>
      </c>
    </row>
    <row r="12" customFormat="false" ht="15" hidden="false" customHeight="true" outlineLevel="0" collapsed="false">
      <c r="A12" s="3" t="s">
        <v>707</v>
      </c>
      <c r="B12" s="3" t="s">
        <v>708</v>
      </c>
      <c r="C12" s="3" t="s">
        <v>709</v>
      </c>
      <c r="D12" s="3" t="s">
        <v>656</v>
      </c>
      <c r="E12" s="3" t="s">
        <v>710</v>
      </c>
      <c r="F12" s="3" t="s">
        <v>706</v>
      </c>
    </row>
    <row r="13" customFormat="false" ht="15" hidden="false" customHeight="true" outlineLevel="0" collapsed="false">
      <c r="A13" s="3" t="s">
        <v>711</v>
      </c>
      <c r="B13" s="3" t="s">
        <v>712</v>
      </c>
      <c r="C13" s="3" t="s">
        <v>713</v>
      </c>
      <c r="D13" s="3" t="s">
        <v>656</v>
      </c>
      <c r="E13" s="3" t="s">
        <v>714</v>
      </c>
      <c r="F13" s="3" t="s">
        <v>706</v>
      </c>
    </row>
    <row r="14" customFormat="false" ht="15" hidden="false" customHeight="true" outlineLevel="0" collapsed="false">
      <c r="A14" s="3" t="s">
        <v>715</v>
      </c>
      <c r="B14" s="3" t="s">
        <v>716</v>
      </c>
      <c r="C14" s="3" t="s">
        <v>717</v>
      </c>
      <c r="D14" s="3" t="s">
        <v>656</v>
      </c>
      <c r="E14" s="3" t="s">
        <v>718</v>
      </c>
      <c r="F14" s="3" t="s">
        <v>706</v>
      </c>
    </row>
    <row r="15" customFormat="false" ht="15" hidden="false" customHeight="true" outlineLevel="0" collapsed="false">
      <c r="A15" s="3" t="s">
        <v>719</v>
      </c>
      <c r="B15" s="3" t="s">
        <v>720</v>
      </c>
      <c r="C15" s="3" t="s">
        <v>721</v>
      </c>
      <c r="D15" s="3" t="s">
        <v>722</v>
      </c>
      <c r="E15" s="3" t="s">
        <v>723</v>
      </c>
      <c r="F15" s="3" t="s">
        <v>724</v>
      </c>
    </row>
    <row r="16" customFormat="false" ht="23.25" hidden="false" customHeight="true" outlineLevel="0" collapsed="false">
      <c r="A16" s="3" t="s">
        <v>725</v>
      </c>
      <c r="B16" s="3" t="s">
        <v>726</v>
      </c>
      <c r="C16" s="3" t="s">
        <v>727</v>
      </c>
      <c r="D16" s="3" t="s">
        <v>728</v>
      </c>
      <c r="E16" s="3" t="s">
        <v>729</v>
      </c>
      <c r="F16" s="3" t="s">
        <v>675</v>
      </c>
    </row>
    <row r="17" customFormat="false" ht="15" hidden="false" customHeight="true" outlineLevel="0" collapsed="false">
      <c r="A17" s="3" t="s">
        <v>730</v>
      </c>
      <c r="B17" s="3" t="s">
        <v>731</v>
      </c>
      <c r="C17" s="3" t="s">
        <v>732</v>
      </c>
      <c r="D17" s="3" t="s">
        <v>733</v>
      </c>
      <c r="E17" s="3" t="s">
        <v>734</v>
      </c>
      <c r="F17" s="3" t="s">
        <v>735</v>
      </c>
    </row>
    <row r="18" customFormat="false" ht="15" hidden="false" customHeight="true" outlineLevel="0" collapsed="false">
      <c r="A18" s="3" t="s">
        <v>736</v>
      </c>
      <c r="B18" s="3" t="s">
        <v>737</v>
      </c>
      <c r="C18" s="3" t="s">
        <v>738</v>
      </c>
      <c r="D18" s="3" t="s">
        <v>704</v>
      </c>
      <c r="E18" s="3" t="s">
        <v>739</v>
      </c>
      <c r="F18" s="3" t="s">
        <v>740</v>
      </c>
    </row>
    <row r="19" customFormat="false" ht="15" hidden="false" customHeight="true" outlineLevel="0" collapsed="false">
      <c r="A19" s="3" t="s">
        <v>741</v>
      </c>
      <c r="B19" s="3" t="s">
        <v>742</v>
      </c>
      <c r="C19" s="3" t="s">
        <v>743</v>
      </c>
      <c r="D19" s="3" t="s">
        <v>667</v>
      </c>
      <c r="E19" s="3" t="s">
        <v>744</v>
      </c>
      <c r="F19" s="3"/>
    </row>
    <row r="20" customFormat="false" ht="23.25" hidden="false" customHeight="true" outlineLevel="0" collapsed="false">
      <c r="A20" s="3" t="s">
        <v>745</v>
      </c>
      <c r="B20" s="3" t="s">
        <v>746</v>
      </c>
      <c r="C20" s="3" t="s">
        <v>747</v>
      </c>
      <c r="D20" s="3" t="s">
        <v>748</v>
      </c>
      <c r="E20" s="3" t="s">
        <v>749</v>
      </c>
      <c r="F20" s="3"/>
    </row>
    <row r="21" customFormat="false" ht="15" hidden="false" customHeight="true" outlineLevel="0" collapsed="false">
      <c r="A21" s="3" t="s">
        <v>750</v>
      </c>
      <c r="B21" s="3" t="s">
        <v>751</v>
      </c>
      <c r="C21" s="3" t="s">
        <v>752</v>
      </c>
      <c r="D21" s="3" t="s">
        <v>753</v>
      </c>
      <c r="E21" s="3" t="s">
        <v>754</v>
      </c>
      <c r="F21" s="3" t="s">
        <v>755</v>
      </c>
    </row>
    <row r="22" customFormat="false" ht="15" hidden="false" customHeight="true" outlineLevel="0" collapsed="false">
      <c r="A22" s="3" t="s">
        <v>756</v>
      </c>
      <c r="B22" s="3" t="s">
        <v>757</v>
      </c>
      <c r="C22" s="3" t="s">
        <v>758</v>
      </c>
      <c r="D22" s="3" t="s">
        <v>687</v>
      </c>
      <c r="E22" s="3" t="s">
        <v>759</v>
      </c>
      <c r="F22" s="3"/>
    </row>
    <row r="23" customFormat="false" ht="15" hidden="false" customHeight="true" outlineLevel="0" collapsed="false">
      <c r="A23" s="3" t="s">
        <v>760</v>
      </c>
      <c r="B23" s="3" t="s">
        <v>761</v>
      </c>
      <c r="C23" s="3" t="s">
        <v>762</v>
      </c>
      <c r="D23" s="3" t="s">
        <v>763</v>
      </c>
      <c r="E23" s="3" t="s">
        <v>764</v>
      </c>
      <c r="F23" s="3"/>
    </row>
    <row r="24" customFormat="false" ht="23.25" hidden="false" customHeight="true" outlineLevel="0" collapsed="false">
      <c r="A24" s="3" t="s">
        <v>765</v>
      </c>
      <c r="B24" s="3" t="s">
        <v>766</v>
      </c>
      <c r="C24" s="3" t="s">
        <v>767</v>
      </c>
      <c r="D24" s="3" t="s">
        <v>753</v>
      </c>
      <c r="E24" s="3" t="s">
        <v>768</v>
      </c>
      <c r="F24" s="3" t="s">
        <v>769</v>
      </c>
    </row>
    <row r="25" customFormat="false" ht="23.25" hidden="false" customHeight="true" outlineLevel="0" collapsed="false">
      <c r="A25" s="3" t="s">
        <v>770</v>
      </c>
      <c r="B25" s="3" t="s">
        <v>771</v>
      </c>
      <c r="C25" s="3" t="s">
        <v>772</v>
      </c>
      <c r="D25" s="3" t="s">
        <v>773</v>
      </c>
      <c r="E25" s="3" t="s">
        <v>774</v>
      </c>
      <c r="F25" s="3" t="s">
        <v>769</v>
      </c>
    </row>
    <row r="26" customFormat="false" ht="23.25" hidden="false" customHeight="true" outlineLevel="0" collapsed="false">
      <c r="A26" s="3" t="s">
        <v>775</v>
      </c>
      <c r="B26" s="3" t="s">
        <v>776</v>
      </c>
      <c r="C26" s="3" t="s">
        <v>777</v>
      </c>
      <c r="D26" s="3" t="s">
        <v>748</v>
      </c>
      <c r="E26" s="3" t="s">
        <v>778</v>
      </c>
      <c r="F26" s="3" t="s">
        <v>769</v>
      </c>
    </row>
    <row r="27" customFormat="false" ht="15" hidden="false" customHeight="true" outlineLevel="0" collapsed="false">
      <c r="A27" s="3" t="s">
        <v>779</v>
      </c>
      <c r="B27" s="3" t="s">
        <v>780</v>
      </c>
      <c r="C27" s="3" t="s">
        <v>781</v>
      </c>
      <c r="D27" s="3" t="s">
        <v>782</v>
      </c>
      <c r="E27" s="3" t="s">
        <v>783</v>
      </c>
      <c r="F27" s="3" t="s">
        <v>769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784</v>
      </c>
      <c r="G1" s="20" t="s">
        <v>785</v>
      </c>
      <c r="H1" s="20" t="s">
        <v>60</v>
      </c>
      <c r="I1" s="20" t="s">
        <v>61</v>
      </c>
      <c r="J1" s="20" t="s">
        <v>62</v>
      </c>
      <c r="K1" s="20" t="s">
        <v>63</v>
      </c>
      <c r="L1" s="20" t="s">
        <v>786</v>
      </c>
      <c r="M1" s="20" t="s">
        <v>787</v>
      </c>
      <c r="N1" s="20" t="s">
        <v>788</v>
      </c>
      <c r="O1" s="20" t="s">
        <v>64</v>
      </c>
      <c r="P1" s="20" t="s">
        <v>789</v>
      </c>
      <c r="Q1" s="20" t="s">
        <v>65</v>
      </c>
      <c r="R1" s="20" t="s">
        <v>790</v>
      </c>
      <c r="S1" s="20" t="s">
        <v>66</v>
      </c>
      <c r="T1" s="20" t="s">
        <v>67</v>
      </c>
      <c r="U1" s="20" t="s">
        <v>791</v>
      </c>
      <c r="V1" s="21" t="s">
        <v>792</v>
      </c>
      <c r="W1" s="21" t="s">
        <v>793</v>
      </c>
      <c r="X1" s="21" t="s">
        <v>73</v>
      </c>
      <c r="Y1" s="21" t="s">
        <v>75</v>
      </c>
      <c r="Z1" s="21" t="s">
        <v>794</v>
      </c>
      <c r="AA1" s="21" t="s">
        <v>795</v>
      </c>
      <c r="AB1" s="21" t="s">
        <v>796</v>
      </c>
      <c r="AC1" s="21" t="s">
        <v>797</v>
      </c>
      <c r="AD1" s="21" t="s">
        <v>798</v>
      </c>
      <c r="AE1" s="21" t="s">
        <v>799</v>
      </c>
      <c r="AF1" s="21" t="s">
        <v>74</v>
      </c>
      <c r="AG1" s="22" t="s">
        <v>800</v>
      </c>
      <c r="AH1" s="22" t="s">
        <v>801</v>
      </c>
      <c r="AI1" s="22" t="s">
        <v>802</v>
      </c>
      <c r="AJ1" s="22" t="s">
        <v>803</v>
      </c>
      <c r="AK1" s="22" t="s">
        <v>804</v>
      </c>
      <c r="AL1" s="22" t="s">
        <v>805</v>
      </c>
      <c r="AM1" s="22" t="s">
        <v>806</v>
      </c>
      <c r="AN1" s="22" t="s">
        <v>807</v>
      </c>
      <c r="AO1" s="22" t="s">
        <v>808</v>
      </c>
      <c r="AP1" s="22" t="s">
        <v>809</v>
      </c>
      <c r="AQ1" s="22" t="s">
        <v>810</v>
      </c>
      <c r="AR1" s="22" t="s">
        <v>811</v>
      </c>
    </row>
    <row r="2" customFormat="false" ht="15" hidden="false" customHeight="true" outlineLevel="0" collapsed="false">
      <c r="A2" s="5" t="n">
        <v>164</v>
      </c>
      <c r="B2" s="5" t="n">
        <v>164</v>
      </c>
      <c r="C2" s="5" t="s">
        <v>812</v>
      </c>
      <c r="D2" s="5" t="n">
        <v>2000</v>
      </c>
      <c r="E2" s="5" t="s">
        <v>813</v>
      </c>
      <c r="F2" s="5" t="s">
        <v>814</v>
      </c>
      <c r="G2" s="5" t="s">
        <v>815</v>
      </c>
      <c r="H2" s="5" t="s">
        <v>816</v>
      </c>
      <c r="I2" s="5" t="s">
        <v>817</v>
      </c>
      <c r="J2" s="5"/>
      <c r="K2" s="5"/>
      <c r="L2" s="5"/>
      <c r="M2" s="5"/>
      <c r="N2" s="5" t="s">
        <v>818</v>
      </c>
      <c r="O2" s="5" t="s">
        <v>819</v>
      </c>
      <c r="P2" s="5" t="s">
        <v>820</v>
      </c>
      <c r="Q2" s="5" t="s">
        <v>821</v>
      </c>
      <c r="R2" s="5" t="s">
        <v>822</v>
      </c>
      <c r="S2" s="5" t="s">
        <v>823</v>
      </c>
      <c r="T2" s="5"/>
      <c r="U2" s="5"/>
      <c r="V2" s="5"/>
      <c r="W2" s="5"/>
      <c r="X2" s="5"/>
      <c r="Y2" s="5"/>
      <c r="Z2" s="5"/>
      <c r="AA2" s="5"/>
      <c r="AB2" s="5"/>
      <c r="AC2" s="5"/>
      <c r="AD2" s="5"/>
      <c r="AE2" s="5"/>
      <c r="AF2" s="5"/>
      <c r="AG2" s="5" t="s">
        <v>824</v>
      </c>
      <c r="AH2" s="5"/>
      <c r="AI2" s="5"/>
      <c r="AJ2" s="5" t="s">
        <v>825</v>
      </c>
      <c r="AK2" s="5" t="n">
        <v>26</v>
      </c>
      <c r="AL2" s="5" t="n">
        <v>33</v>
      </c>
      <c r="AM2" s="5" t="s">
        <v>826</v>
      </c>
      <c r="AN2" s="5" t="s">
        <v>827</v>
      </c>
      <c r="AO2" s="5" t="s">
        <v>828</v>
      </c>
      <c r="AP2" s="5" t="s">
        <v>829</v>
      </c>
      <c r="AQ2" s="5" t="s">
        <v>830</v>
      </c>
      <c r="AR2" s="23" t="s">
        <v>831</v>
      </c>
    </row>
    <row r="3" customFormat="false" ht="15" hidden="false" customHeight="true" outlineLevel="0" collapsed="false">
      <c r="A3" s="5" t="n">
        <v>165</v>
      </c>
      <c r="B3" s="5" t="n">
        <v>165</v>
      </c>
      <c r="C3" s="5" t="s">
        <v>832</v>
      </c>
      <c r="D3" s="5" t="n">
        <v>2012</v>
      </c>
      <c r="E3" s="5" t="s">
        <v>833</v>
      </c>
      <c r="F3" s="5" t="s">
        <v>834</v>
      </c>
      <c r="G3" s="5" t="s">
        <v>835</v>
      </c>
      <c r="H3" s="5" t="s">
        <v>836</v>
      </c>
      <c r="I3" s="5" t="s">
        <v>837</v>
      </c>
      <c r="J3" s="5" t="n">
        <v>28.633</v>
      </c>
      <c r="K3" s="5" t="n">
        <v>77.183</v>
      </c>
      <c r="L3" s="5" t="s">
        <v>838</v>
      </c>
      <c r="M3" s="5" t="s">
        <v>839</v>
      </c>
      <c r="N3" s="5" t="s">
        <v>840</v>
      </c>
      <c r="O3" s="5" t="s">
        <v>83</v>
      </c>
      <c r="P3" s="5" t="n">
        <v>2006</v>
      </c>
      <c r="Q3" s="5" t="s">
        <v>841</v>
      </c>
      <c r="R3" s="5" t="n">
        <v>2</v>
      </c>
      <c r="S3" s="5" t="s">
        <v>842</v>
      </c>
      <c r="T3" s="5" t="s">
        <v>85</v>
      </c>
      <c r="U3" s="5" t="s">
        <v>843</v>
      </c>
      <c r="V3" s="5" t="n">
        <v>52.06</v>
      </c>
      <c r="W3" s="5" t="n">
        <v>22.54</v>
      </c>
      <c r="X3" s="5" t="n">
        <v>25.4</v>
      </c>
      <c r="Y3" s="5" t="n">
        <v>8.16</v>
      </c>
      <c r="Z3" s="5" t="n">
        <v>5.2</v>
      </c>
      <c r="AA3" s="5" t="n">
        <v>1.5</v>
      </c>
      <c r="AB3" s="5"/>
      <c r="AC3" s="5"/>
      <c r="AD3" s="5"/>
      <c r="AE3" s="5"/>
      <c r="AF3" s="5"/>
      <c r="AG3" s="5" t="s">
        <v>844</v>
      </c>
      <c r="AH3" s="5" t="s">
        <v>845</v>
      </c>
      <c r="AI3" s="5" t="s">
        <v>846</v>
      </c>
      <c r="AJ3" s="5" t="s">
        <v>847</v>
      </c>
      <c r="AK3" s="5"/>
      <c r="AL3" s="5"/>
      <c r="AM3" s="5" t="s">
        <v>848</v>
      </c>
      <c r="AN3" s="5" t="s">
        <v>849</v>
      </c>
      <c r="AO3" s="5" t="s">
        <v>850</v>
      </c>
      <c r="AP3" s="5" t="s">
        <v>851</v>
      </c>
      <c r="AQ3" s="5" t="s">
        <v>830</v>
      </c>
      <c r="AR3" s="23" t="s">
        <v>852</v>
      </c>
    </row>
    <row r="4" customFormat="false" ht="15" hidden="false" customHeight="true" outlineLevel="0" collapsed="false">
      <c r="A4" s="5" t="n">
        <v>166</v>
      </c>
      <c r="B4" s="5" t="n">
        <v>166</v>
      </c>
      <c r="C4" s="5" t="s">
        <v>853</v>
      </c>
      <c r="D4" s="5" t="n">
        <v>2014</v>
      </c>
      <c r="E4" s="5" t="s">
        <v>854</v>
      </c>
      <c r="F4" s="5" t="s">
        <v>855</v>
      </c>
      <c r="G4" s="5" t="s">
        <v>856</v>
      </c>
      <c r="H4" s="5" t="s">
        <v>857</v>
      </c>
      <c r="I4" s="5" t="s">
        <v>858</v>
      </c>
      <c r="J4" s="5" t="n">
        <v>29.067</v>
      </c>
      <c r="K4" s="5" t="n">
        <v>77.767</v>
      </c>
      <c r="L4" s="5" t="s">
        <v>859</v>
      </c>
      <c r="M4" s="5" t="s">
        <v>860</v>
      </c>
      <c r="N4" s="5" t="s">
        <v>840</v>
      </c>
      <c r="O4" s="5" t="s">
        <v>83</v>
      </c>
      <c r="P4" s="5" t="n">
        <v>1993</v>
      </c>
      <c r="Q4" s="5" t="n">
        <v>2011</v>
      </c>
      <c r="R4" s="5" t="s">
        <v>861</v>
      </c>
      <c r="S4" s="5" t="s">
        <v>823</v>
      </c>
      <c r="T4" s="5" t="s">
        <v>85</v>
      </c>
      <c r="U4" s="5" t="s">
        <v>862</v>
      </c>
      <c r="V4" s="5" t="n">
        <v>55</v>
      </c>
      <c r="W4" s="5" t="n">
        <v>18</v>
      </c>
      <c r="X4" s="5" t="n">
        <v>27</v>
      </c>
      <c r="Y4" s="5" t="n">
        <v>7.98</v>
      </c>
      <c r="Z4" s="5" t="n">
        <v>4.1</v>
      </c>
      <c r="AA4" s="5" t="n">
        <v>1.55</v>
      </c>
      <c r="AB4" s="5" t="n">
        <v>5</v>
      </c>
      <c r="AC4" s="5" t="n">
        <v>45.5</v>
      </c>
      <c r="AD4" s="5"/>
      <c r="AE4" s="5"/>
      <c r="AF4" s="5" t="n">
        <v>863</v>
      </c>
      <c r="AG4" s="5" t="s">
        <v>863</v>
      </c>
      <c r="AH4" s="5" t="s">
        <v>864</v>
      </c>
      <c r="AI4" s="5" t="s">
        <v>865</v>
      </c>
      <c r="AJ4" s="5" t="s">
        <v>866</v>
      </c>
      <c r="AK4" s="5" t="n">
        <v>26</v>
      </c>
      <c r="AL4" s="5" t="n">
        <v>33</v>
      </c>
      <c r="AM4" s="5" t="s">
        <v>867</v>
      </c>
      <c r="AN4" s="5" t="s">
        <v>868</v>
      </c>
      <c r="AO4" s="5" t="s">
        <v>869</v>
      </c>
      <c r="AP4" s="5" t="s">
        <v>870</v>
      </c>
      <c r="AQ4" s="5" t="s">
        <v>830</v>
      </c>
      <c r="AR4" s="23" t="s">
        <v>871</v>
      </c>
    </row>
    <row r="5" customFormat="false" ht="15" hidden="false" customHeight="true" outlineLevel="0" collapsed="false">
      <c r="A5" s="5" t="n">
        <v>167</v>
      </c>
      <c r="B5" s="5" t="n">
        <v>167</v>
      </c>
      <c r="C5" s="5" t="s">
        <v>872</v>
      </c>
      <c r="D5" s="5" t="n">
        <v>2023</v>
      </c>
      <c r="E5" s="5" t="s">
        <v>873</v>
      </c>
      <c r="F5" s="5" t="s">
        <v>874</v>
      </c>
      <c r="G5" s="5" t="s">
        <v>875</v>
      </c>
      <c r="H5" s="5" t="s">
        <v>876</v>
      </c>
      <c r="I5" s="5" t="s">
        <v>877</v>
      </c>
      <c r="J5" s="5"/>
      <c r="K5" s="5"/>
      <c r="L5" s="5"/>
      <c r="M5" s="5"/>
      <c r="N5" s="5"/>
      <c r="O5" s="5"/>
      <c r="P5" s="5" t="n">
        <v>2015</v>
      </c>
      <c r="Q5" s="5" t="s">
        <v>878</v>
      </c>
      <c r="R5" s="5"/>
      <c r="S5" s="5"/>
      <c r="T5" s="5"/>
      <c r="U5" s="5"/>
      <c r="V5" s="5"/>
      <c r="W5" s="5"/>
      <c r="X5" s="5"/>
      <c r="Y5" s="5"/>
      <c r="Z5" s="5"/>
      <c r="AA5" s="5"/>
      <c r="AB5" s="5"/>
      <c r="AC5" s="5"/>
      <c r="AD5" s="5"/>
      <c r="AE5" s="5"/>
      <c r="AF5" s="5"/>
      <c r="AG5" s="5" t="s">
        <v>879</v>
      </c>
      <c r="AH5" s="5"/>
      <c r="AI5" s="5"/>
      <c r="AJ5" s="5"/>
      <c r="AK5" s="5"/>
      <c r="AL5" s="5"/>
      <c r="AM5" s="5"/>
      <c r="AN5" s="5"/>
      <c r="AO5" s="5" t="s">
        <v>880</v>
      </c>
      <c r="AP5" s="5" t="s">
        <v>881</v>
      </c>
      <c r="AQ5" s="5" t="s">
        <v>830</v>
      </c>
      <c r="AR5" s="23" t="s">
        <v>882</v>
      </c>
    </row>
    <row r="6" customFormat="false" ht="15" hidden="false" customHeight="true" outlineLevel="0" collapsed="false">
      <c r="A6" s="5" t="n">
        <v>168</v>
      </c>
      <c r="B6" s="5" t="n">
        <v>168</v>
      </c>
      <c r="C6" s="5" t="s">
        <v>883</v>
      </c>
      <c r="D6" s="5" t="n">
        <v>2020</v>
      </c>
      <c r="E6" s="5" t="s">
        <v>884</v>
      </c>
      <c r="F6" s="5" t="s">
        <v>885</v>
      </c>
      <c r="G6" s="5" t="s">
        <v>886</v>
      </c>
      <c r="H6" s="5" t="s">
        <v>887</v>
      </c>
      <c r="I6" s="5" t="s">
        <v>888</v>
      </c>
      <c r="J6" s="5" t="n">
        <v>30.933</v>
      </c>
      <c r="K6" s="5" t="n">
        <v>75.867</v>
      </c>
      <c r="L6" s="5" t="s">
        <v>889</v>
      </c>
      <c r="M6" s="5" t="s">
        <v>890</v>
      </c>
      <c r="N6" s="5" t="s">
        <v>840</v>
      </c>
      <c r="O6" s="5" t="s">
        <v>891</v>
      </c>
      <c r="P6" s="5" t="n">
        <v>2011</v>
      </c>
      <c r="Q6" s="5" t="n">
        <v>2016</v>
      </c>
      <c r="R6" s="5" t="n">
        <v>1</v>
      </c>
      <c r="S6" s="5" t="s">
        <v>84</v>
      </c>
      <c r="T6" s="5" t="s">
        <v>85</v>
      </c>
      <c r="U6" s="5" t="s">
        <v>892</v>
      </c>
      <c r="V6" s="5"/>
      <c r="W6" s="5"/>
      <c r="X6" s="5"/>
      <c r="Y6" s="5" t="n">
        <v>7.4</v>
      </c>
      <c r="Z6" s="5"/>
      <c r="AA6" s="5"/>
      <c r="AB6" s="5"/>
      <c r="AC6" s="5"/>
      <c r="AD6" s="5"/>
      <c r="AE6" s="5"/>
      <c r="AF6" s="5" t="n">
        <v>734</v>
      </c>
      <c r="AG6" s="5" t="s">
        <v>893</v>
      </c>
      <c r="AH6" s="5" t="s">
        <v>894</v>
      </c>
      <c r="AI6" s="5" t="s">
        <v>895</v>
      </c>
      <c r="AJ6" s="5"/>
      <c r="AK6" s="5"/>
      <c r="AL6" s="5"/>
      <c r="AM6" s="5" t="s">
        <v>896</v>
      </c>
      <c r="AN6" s="5" t="s">
        <v>897</v>
      </c>
      <c r="AO6" s="5" t="s">
        <v>898</v>
      </c>
      <c r="AP6" s="5" t="s">
        <v>899</v>
      </c>
      <c r="AQ6" s="5" t="s">
        <v>830</v>
      </c>
      <c r="AR6" s="23" t="s">
        <v>900</v>
      </c>
    </row>
    <row r="7" customFormat="false" ht="15" hidden="false" customHeight="true" outlineLevel="0" collapsed="false">
      <c r="A7" s="5" t="n">
        <v>169</v>
      </c>
      <c r="B7" s="5" t="n">
        <v>169</v>
      </c>
      <c r="C7" s="5" t="s">
        <v>901</v>
      </c>
      <c r="D7" s="5" t="n">
        <v>2005</v>
      </c>
      <c r="E7" s="5" t="s">
        <v>813</v>
      </c>
      <c r="F7" s="5" t="s">
        <v>902</v>
      </c>
      <c r="G7" s="5" t="s">
        <v>903</v>
      </c>
      <c r="H7" s="5" t="s">
        <v>857</v>
      </c>
      <c r="I7" s="5" t="s">
        <v>904</v>
      </c>
      <c r="J7" s="5"/>
      <c r="K7" s="5"/>
      <c r="L7" s="5"/>
      <c r="M7" s="5"/>
      <c r="N7" s="5"/>
      <c r="O7" s="5"/>
      <c r="P7" s="5"/>
      <c r="Q7" s="5"/>
      <c r="R7" s="5"/>
      <c r="S7" s="5"/>
      <c r="T7" s="5"/>
      <c r="U7" s="5"/>
      <c r="V7" s="5"/>
      <c r="W7" s="5"/>
      <c r="X7" s="5"/>
      <c r="Y7" s="5"/>
      <c r="Z7" s="5"/>
      <c r="AA7" s="5"/>
      <c r="AB7" s="5"/>
      <c r="AC7" s="5"/>
      <c r="AD7" s="5"/>
      <c r="AE7" s="5"/>
      <c r="AF7" s="5"/>
      <c r="AG7" s="5" t="s">
        <v>905</v>
      </c>
      <c r="AH7" s="5"/>
      <c r="AI7" s="5"/>
      <c r="AJ7" s="5"/>
      <c r="AK7" s="5"/>
      <c r="AL7" s="5"/>
      <c r="AM7" s="5"/>
      <c r="AN7" s="5"/>
      <c r="AO7" s="5" t="s">
        <v>906</v>
      </c>
      <c r="AP7" s="5" t="s">
        <v>881</v>
      </c>
      <c r="AQ7" s="5" t="s">
        <v>830</v>
      </c>
      <c r="AR7" s="23" t="s">
        <v>907</v>
      </c>
    </row>
    <row r="8" customFormat="false" ht="15" hidden="false" customHeight="true" outlineLevel="0" collapsed="false">
      <c r="A8" s="5" t="s">
        <v>908</v>
      </c>
      <c r="B8" s="5" t="s">
        <v>908</v>
      </c>
      <c r="C8" s="5" t="s">
        <v>909</v>
      </c>
      <c r="D8" s="5" t="n">
        <v>2019</v>
      </c>
      <c r="E8" s="5" t="s">
        <v>854</v>
      </c>
      <c r="F8" s="5" t="s">
        <v>910</v>
      </c>
      <c r="G8" s="5" t="s">
        <v>911</v>
      </c>
      <c r="H8" s="5" t="s">
        <v>912</v>
      </c>
      <c r="I8" s="5" t="s">
        <v>913</v>
      </c>
      <c r="J8" s="5" t="n">
        <v>29.7</v>
      </c>
      <c r="K8" s="5" t="n">
        <v>76.96</v>
      </c>
      <c r="L8" s="5" t="s">
        <v>914</v>
      </c>
      <c r="M8" s="5" t="s">
        <v>915</v>
      </c>
      <c r="N8" s="5" t="s">
        <v>916</v>
      </c>
      <c r="O8" s="5" t="s">
        <v>83</v>
      </c>
      <c r="P8" s="5" t="n">
        <v>2009</v>
      </c>
      <c r="Q8" s="5" t="s">
        <v>917</v>
      </c>
      <c r="R8" s="5" t="s">
        <v>918</v>
      </c>
      <c r="S8" s="5" t="s">
        <v>84</v>
      </c>
      <c r="T8" s="5" t="s">
        <v>85</v>
      </c>
      <c r="U8" s="5" t="s">
        <v>919</v>
      </c>
      <c r="V8" s="5"/>
      <c r="W8" s="5"/>
      <c r="X8" s="5"/>
      <c r="Y8" s="5"/>
      <c r="Z8" s="5"/>
      <c r="AA8" s="5"/>
      <c r="AB8" s="5" t="n">
        <v>2</v>
      </c>
      <c r="AC8" s="5" t="n">
        <v>42.5</v>
      </c>
      <c r="AD8" s="5"/>
      <c r="AE8" s="5"/>
      <c r="AF8" s="5" t="n">
        <v>700</v>
      </c>
      <c r="AG8" s="5" t="s">
        <v>920</v>
      </c>
      <c r="AH8" s="5"/>
      <c r="AI8" s="5"/>
      <c r="AJ8" s="5"/>
      <c r="AK8" s="5"/>
      <c r="AL8" s="5"/>
      <c r="AM8" s="5" t="s">
        <v>921</v>
      </c>
      <c r="AN8" s="5"/>
      <c r="AO8" s="5" t="s">
        <v>922</v>
      </c>
      <c r="AP8" s="5" t="s">
        <v>923</v>
      </c>
      <c r="AQ8" s="5" t="s">
        <v>830</v>
      </c>
      <c r="AR8" s="23" t="s">
        <v>924</v>
      </c>
    </row>
    <row r="9" customFormat="false" ht="15" hidden="false" customHeight="true" outlineLevel="0" collapsed="false">
      <c r="A9" s="5" t="s">
        <v>925</v>
      </c>
      <c r="B9" s="5" t="s">
        <v>925</v>
      </c>
      <c r="C9" s="5" t="s">
        <v>926</v>
      </c>
      <c r="D9" s="5" t="n">
        <v>2019</v>
      </c>
      <c r="E9" s="5" t="s">
        <v>927</v>
      </c>
      <c r="F9" s="5" t="s">
        <v>928</v>
      </c>
      <c r="G9" s="5" t="s">
        <v>929</v>
      </c>
      <c r="H9" s="5" t="s">
        <v>912</v>
      </c>
      <c r="I9" s="5" t="s">
        <v>913</v>
      </c>
      <c r="J9" s="5" t="n">
        <v>29.7</v>
      </c>
      <c r="K9" s="5" t="n">
        <v>76.95</v>
      </c>
      <c r="L9" s="5"/>
      <c r="M9" s="5"/>
      <c r="N9" s="5" t="s">
        <v>840</v>
      </c>
      <c r="O9" s="5" t="s">
        <v>83</v>
      </c>
      <c r="P9" s="5" t="n">
        <v>2009</v>
      </c>
      <c r="Q9" s="5" t="n">
        <v>2013</v>
      </c>
      <c r="R9" s="5" t="n">
        <v>1</v>
      </c>
      <c r="S9" s="5" t="s">
        <v>84</v>
      </c>
      <c r="T9" s="5" t="s">
        <v>85</v>
      </c>
      <c r="U9" s="5" t="s">
        <v>930</v>
      </c>
      <c r="V9" s="5"/>
      <c r="W9" s="5"/>
      <c r="X9" s="5"/>
      <c r="Y9" s="5"/>
      <c r="Z9" s="5" t="n">
        <v>4.5</v>
      </c>
      <c r="AA9" s="5"/>
      <c r="AB9" s="5" t="n">
        <v>11.62</v>
      </c>
      <c r="AC9" s="5" t="n">
        <v>31.68</v>
      </c>
      <c r="AD9" s="5"/>
      <c r="AE9" s="5"/>
      <c r="AF9" s="5" t="n">
        <v>670</v>
      </c>
      <c r="AG9" s="5" t="s">
        <v>920</v>
      </c>
      <c r="AH9" s="5"/>
      <c r="AI9" s="5"/>
      <c r="AJ9" s="5"/>
      <c r="AK9" s="5"/>
      <c r="AL9" s="5"/>
      <c r="AM9" s="5" t="s">
        <v>931</v>
      </c>
      <c r="AN9" s="5"/>
      <c r="AO9" s="5" t="s">
        <v>932</v>
      </c>
      <c r="AP9" s="5" t="s">
        <v>933</v>
      </c>
      <c r="AQ9" s="5" t="s">
        <v>830</v>
      </c>
      <c r="AR9" s="23" t="s">
        <v>934</v>
      </c>
    </row>
    <row r="10" customFormat="false" ht="15" hidden="false" customHeight="true" outlineLevel="0" collapsed="false">
      <c r="A10" s="5" t="s">
        <v>935</v>
      </c>
      <c r="B10" s="5" t="s">
        <v>935</v>
      </c>
      <c r="C10" s="5" t="s">
        <v>936</v>
      </c>
      <c r="D10" s="5" t="n">
        <v>2020</v>
      </c>
      <c r="E10" s="5" t="s">
        <v>937</v>
      </c>
      <c r="F10" s="5" t="s">
        <v>938</v>
      </c>
      <c r="G10" s="5" t="s">
        <v>939</v>
      </c>
      <c r="H10" s="5" t="s">
        <v>836</v>
      </c>
      <c r="I10" s="5" t="s">
        <v>940</v>
      </c>
      <c r="J10" s="5" t="n">
        <v>28.4</v>
      </c>
      <c r="K10" s="5" t="n">
        <v>77.1</v>
      </c>
      <c r="L10" s="5" t="s">
        <v>941</v>
      </c>
      <c r="M10" s="5" t="s">
        <v>942</v>
      </c>
      <c r="N10" s="5" t="s">
        <v>840</v>
      </c>
      <c r="O10" s="5" t="s">
        <v>83</v>
      </c>
      <c r="P10" s="5" t="n">
        <v>2003</v>
      </c>
      <c r="Q10" s="5" t="s">
        <v>943</v>
      </c>
      <c r="R10" s="5"/>
      <c r="S10" s="5" t="s">
        <v>823</v>
      </c>
      <c r="T10" s="5" t="s">
        <v>85</v>
      </c>
      <c r="U10" s="5" t="s">
        <v>843</v>
      </c>
      <c r="V10" s="5" t="n">
        <v>52.1</v>
      </c>
      <c r="W10" s="5" t="n">
        <v>22.5</v>
      </c>
      <c r="X10" s="5" t="n">
        <v>25.4</v>
      </c>
      <c r="Y10" s="5" t="n">
        <v>8.45</v>
      </c>
      <c r="Z10" s="5" t="n">
        <v>5.1</v>
      </c>
      <c r="AA10" s="5" t="n">
        <v>1.5</v>
      </c>
      <c r="AB10" s="5" t="n">
        <v>18</v>
      </c>
      <c r="AC10" s="5" t="n">
        <v>35.2</v>
      </c>
      <c r="AD10" s="5"/>
      <c r="AE10" s="5"/>
      <c r="AF10" s="5" t="n">
        <v>750</v>
      </c>
      <c r="AG10" s="5" t="s">
        <v>944</v>
      </c>
      <c r="AH10" s="5" t="s">
        <v>945</v>
      </c>
      <c r="AI10" s="5" t="s">
        <v>946</v>
      </c>
      <c r="AJ10" s="5" t="s">
        <v>947</v>
      </c>
      <c r="AK10" s="5"/>
      <c r="AL10" s="5"/>
      <c r="AM10" s="5" t="s">
        <v>948</v>
      </c>
      <c r="AN10" s="5"/>
      <c r="AO10" s="5" t="s">
        <v>949</v>
      </c>
      <c r="AP10" s="5" t="s">
        <v>950</v>
      </c>
      <c r="AQ10" s="5" t="s">
        <v>830</v>
      </c>
      <c r="AR10" s="23" t="s">
        <v>951</v>
      </c>
    </row>
    <row r="11" customFormat="false" ht="15" hidden="false" customHeight="true" outlineLevel="0" collapsed="false">
      <c r="A11" s="5" t="s">
        <v>952</v>
      </c>
      <c r="B11" s="5" t="s">
        <v>952</v>
      </c>
      <c r="C11" s="5" t="s">
        <v>953</v>
      </c>
      <c r="D11" s="5" t="n">
        <v>2023</v>
      </c>
      <c r="E11" s="5" t="s">
        <v>954</v>
      </c>
      <c r="F11" s="5" t="s">
        <v>955</v>
      </c>
      <c r="G11" s="5" t="s">
        <v>956</v>
      </c>
      <c r="H11" s="5" t="s">
        <v>957</v>
      </c>
      <c r="I11" s="5" t="s">
        <v>958</v>
      </c>
      <c r="J11" s="5" t="n">
        <v>35.27</v>
      </c>
      <c r="K11" s="5" t="n">
        <v>119.38</v>
      </c>
      <c r="L11" s="5"/>
      <c r="M11" s="5"/>
      <c r="N11" s="5" t="s">
        <v>959</v>
      </c>
      <c r="O11" s="5" t="s">
        <v>891</v>
      </c>
      <c r="P11" s="5" t="n">
        <v>2017</v>
      </c>
      <c r="Q11" s="5" t="s">
        <v>960</v>
      </c>
      <c r="R11" s="5" t="s">
        <v>961</v>
      </c>
      <c r="S11" s="5" t="s">
        <v>842</v>
      </c>
      <c r="T11" s="5"/>
      <c r="U11" s="5" t="s">
        <v>962</v>
      </c>
      <c r="V11" s="5"/>
      <c r="W11" s="5"/>
      <c r="X11" s="5"/>
      <c r="Y11" s="5" t="n">
        <v>6.8</v>
      </c>
      <c r="Z11" s="5" t="n">
        <v>5.75</v>
      </c>
      <c r="AA11" s="5" t="n">
        <v>1.423</v>
      </c>
      <c r="AB11" s="5"/>
      <c r="AC11" s="5"/>
      <c r="AD11" s="5" t="n">
        <v>12.6</v>
      </c>
      <c r="AE11" s="5"/>
      <c r="AF11" s="5" t="n">
        <v>916</v>
      </c>
      <c r="AG11" s="5" t="s">
        <v>963</v>
      </c>
      <c r="AH11" s="5" t="s">
        <v>964</v>
      </c>
      <c r="AI11" s="5" t="s">
        <v>965</v>
      </c>
      <c r="AJ11" s="5" t="s">
        <v>966</v>
      </c>
      <c r="AK11" s="5"/>
      <c r="AL11" s="5"/>
      <c r="AM11" s="5" t="s">
        <v>967</v>
      </c>
      <c r="AN11" s="5"/>
      <c r="AO11" s="5" t="s">
        <v>968</v>
      </c>
      <c r="AP11" s="5" t="s">
        <v>969</v>
      </c>
      <c r="AQ11" s="5" t="s">
        <v>830</v>
      </c>
      <c r="AR11" s="23" t="s">
        <v>970</v>
      </c>
    </row>
    <row r="12" customFormat="false" ht="15" hidden="false" customHeight="true" outlineLevel="0" collapsed="false">
      <c r="A12" s="24" t="n">
        <v>170</v>
      </c>
      <c r="B12" s="24" t="n">
        <v>170</v>
      </c>
      <c r="C12" s="24" t="s">
        <v>971</v>
      </c>
      <c r="D12" s="24" t="n">
        <v>2003</v>
      </c>
      <c r="E12" s="24" t="s">
        <v>854</v>
      </c>
      <c r="F12" s="24" t="s">
        <v>972</v>
      </c>
      <c r="G12" s="24" t="s">
        <v>973</v>
      </c>
      <c r="H12" s="24" t="s">
        <v>887</v>
      </c>
      <c r="I12" s="24" t="s">
        <v>974</v>
      </c>
      <c r="J12" s="24" t="n">
        <v>30.933</v>
      </c>
      <c r="K12" s="24" t="n">
        <v>75.867</v>
      </c>
      <c r="L12" s="24" t="s">
        <v>975</v>
      </c>
      <c r="M12" s="24" t="s">
        <v>976</v>
      </c>
      <c r="N12" s="24" t="s">
        <v>840</v>
      </c>
      <c r="O12" s="24" t="s">
        <v>891</v>
      </c>
      <c r="P12" s="24" t="n">
        <v>1994</v>
      </c>
      <c r="Q12" s="24" t="s">
        <v>977</v>
      </c>
      <c r="R12" s="24" t="n">
        <v>3</v>
      </c>
      <c r="S12" s="24" t="s">
        <v>842</v>
      </c>
      <c r="T12" s="24" t="s">
        <v>978</v>
      </c>
      <c r="U12" s="24" t="s">
        <v>979</v>
      </c>
      <c r="V12" s="24" t="n">
        <v>71</v>
      </c>
      <c r="W12" s="24" t="n">
        <v>17</v>
      </c>
      <c r="X12" s="24" t="n">
        <v>12</v>
      </c>
      <c r="Y12" s="24"/>
      <c r="Z12" s="24" t="n">
        <v>3.3</v>
      </c>
      <c r="AA12" s="24"/>
      <c r="AB12" s="24"/>
      <c r="AC12" s="24"/>
      <c r="AD12" s="24"/>
      <c r="AE12" s="24"/>
      <c r="AF12" s="24"/>
      <c r="AG12" s="24" t="s">
        <v>863</v>
      </c>
      <c r="AH12" s="24" t="s">
        <v>980</v>
      </c>
      <c r="AI12" s="24" t="s">
        <v>981</v>
      </c>
      <c r="AJ12" s="24" t="s">
        <v>982</v>
      </c>
      <c r="AK12" s="24" t="s">
        <v>983</v>
      </c>
      <c r="AL12" s="24"/>
      <c r="AM12" s="24"/>
      <c r="AN12" s="24"/>
      <c r="AO12" s="24" t="s">
        <v>984</v>
      </c>
      <c r="AP12" s="24" t="s">
        <v>985</v>
      </c>
      <c r="AQ12" s="24" t="s">
        <v>986</v>
      </c>
      <c r="AR12" s="25" t="s">
        <v>987</v>
      </c>
    </row>
    <row r="13" customFormat="false" ht="15" hidden="false" customHeight="true" outlineLevel="0" collapsed="false">
      <c r="A13" s="24" t="s">
        <v>988</v>
      </c>
      <c r="B13" s="24" t="s">
        <v>988</v>
      </c>
      <c r="C13" s="24" t="s">
        <v>989</v>
      </c>
      <c r="D13" s="24" t="n">
        <v>2011</v>
      </c>
      <c r="E13" s="24" t="s">
        <v>990</v>
      </c>
      <c r="F13" s="24" t="s">
        <v>991</v>
      </c>
      <c r="G13" s="24" t="s">
        <v>992</v>
      </c>
      <c r="H13" s="24" t="s">
        <v>857</v>
      </c>
      <c r="I13" s="24" t="s">
        <v>993</v>
      </c>
      <c r="J13" s="24" t="n">
        <v>29.017</v>
      </c>
      <c r="K13" s="24" t="n">
        <v>77.75</v>
      </c>
      <c r="L13" s="24" t="s">
        <v>994</v>
      </c>
      <c r="M13" s="24" t="s">
        <v>995</v>
      </c>
      <c r="N13" s="24" t="s">
        <v>996</v>
      </c>
      <c r="O13" s="24" t="s">
        <v>83</v>
      </c>
      <c r="P13" s="24" t="n">
        <v>2002</v>
      </c>
      <c r="Q13" s="24" t="s">
        <v>997</v>
      </c>
      <c r="R13" s="24" t="s">
        <v>998</v>
      </c>
      <c r="S13" s="24" t="s">
        <v>999</v>
      </c>
      <c r="T13" s="24" t="s">
        <v>85</v>
      </c>
      <c r="U13" s="24" t="s">
        <v>1000</v>
      </c>
      <c r="V13" s="24" t="n">
        <v>55</v>
      </c>
      <c r="W13" s="24" t="n">
        <v>26</v>
      </c>
      <c r="X13" s="24" t="n">
        <v>19</v>
      </c>
      <c r="Y13" s="24" t="n">
        <v>8.1</v>
      </c>
      <c r="Z13" s="24"/>
      <c r="AA13" s="24"/>
      <c r="AB13" s="24" t="n">
        <v>2</v>
      </c>
      <c r="AC13" s="24" t="n">
        <v>43</v>
      </c>
      <c r="AD13" s="24"/>
      <c r="AE13" s="24"/>
      <c r="AF13" s="24" t="n">
        <v>800</v>
      </c>
      <c r="AG13" s="24" t="s">
        <v>863</v>
      </c>
      <c r="AH13" s="24" t="s">
        <v>1001</v>
      </c>
      <c r="AI13" s="24" t="s">
        <v>1002</v>
      </c>
      <c r="AJ13" s="24" t="s">
        <v>1003</v>
      </c>
      <c r="AK13" s="24" t="s">
        <v>1004</v>
      </c>
      <c r="AL13" s="24" t="s">
        <v>1005</v>
      </c>
      <c r="AM13" s="24" t="s">
        <v>1006</v>
      </c>
      <c r="AN13" s="24" t="s">
        <v>1007</v>
      </c>
      <c r="AO13" s="24" t="s">
        <v>1008</v>
      </c>
      <c r="AP13" s="24" t="s">
        <v>1009</v>
      </c>
      <c r="AQ13" s="24" t="s">
        <v>830</v>
      </c>
      <c r="AR13" s="25" t="s">
        <v>1010</v>
      </c>
    </row>
    <row r="14" customFormat="false" ht="15" hidden="false" customHeight="true" outlineLevel="0" collapsed="false">
      <c r="A14" s="24" t="s">
        <v>1011</v>
      </c>
      <c r="B14" s="24" t="s">
        <v>1011</v>
      </c>
      <c r="C14" s="24" t="s">
        <v>1012</v>
      </c>
      <c r="D14" s="24" t="n">
        <v>2022</v>
      </c>
      <c r="E14" s="24" t="s">
        <v>813</v>
      </c>
      <c r="F14" s="24" t="s">
        <v>1013</v>
      </c>
      <c r="G14" s="24" t="s">
        <v>1014</v>
      </c>
      <c r="H14" s="24" t="s">
        <v>1015</v>
      </c>
      <c r="I14" s="24" t="s">
        <v>1016</v>
      </c>
      <c r="J14" s="24" t="n">
        <v>24.724</v>
      </c>
      <c r="K14" s="24" t="n">
        <v>90.437</v>
      </c>
      <c r="L14" s="24" t="s">
        <v>1017</v>
      </c>
      <c r="M14" s="24" t="s">
        <v>1018</v>
      </c>
      <c r="N14" s="24" t="s">
        <v>840</v>
      </c>
      <c r="O14" s="24" t="s">
        <v>83</v>
      </c>
      <c r="P14" s="24" t="n">
        <v>2012</v>
      </c>
      <c r="Q14" s="24" t="s">
        <v>1019</v>
      </c>
      <c r="R14" s="24" t="s">
        <v>1020</v>
      </c>
      <c r="S14" s="24" t="s">
        <v>999</v>
      </c>
      <c r="T14" s="24" t="s">
        <v>85</v>
      </c>
      <c r="U14" s="24" t="s">
        <v>1021</v>
      </c>
      <c r="V14" s="24" t="n">
        <v>11</v>
      </c>
      <c r="W14" s="24" t="n">
        <v>76</v>
      </c>
      <c r="X14" s="24" t="n">
        <v>13</v>
      </c>
      <c r="Y14" s="24" t="n">
        <v>6.92</v>
      </c>
      <c r="Z14" s="24" t="n">
        <v>13.2</v>
      </c>
      <c r="AA14" s="24" t="n">
        <v>1.58</v>
      </c>
      <c r="AB14" s="24"/>
      <c r="AC14" s="24"/>
      <c r="AD14" s="24"/>
      <c r="AE14" s="24"/>
      <c r="AF14" s="24" t="n">
        <v>2400</v>
      </c>
      <c r="AG14" s="24" t="s">
        <v>1022</v>
      </c>
      <c r="AH14" s="24" t="s">
        <v>1023</v>
      </c>
      <c r="AI14" s="24" t="s">
        <v>1024</v>
      </c>
      <c r="AJ14" s="24" t="s">
        <v>1025</v>
      </c>
      <c r="AK14" s="24" t="s">
        <v>1026</v>
      </c>
      <c r="AL14" s="24" t="s">
        <v>1027</v>
      </c>
      <c r="AM14" s="24" t="s">
        <v>1028</v>
      </c>
      <c r="AN14" s="24" t="s">
        <v>1029</v>
      </c>
      <c r="AO14" s="24" t="s">
        <v>1030</v>
      </c>
      <c r="AP14" s="24" t="s">
        <v>1031</v>
      </c>
      <c r="AQ14" s="24" t="s">
        <v>1032</v>
      </c>
      <c r="AR14" s="25" t="s">
        <v>1033</v>
      </c>
    </row>
    <row r="15" customFormat="false" ht="15" hidden="false" customHeight="true" outlineLevel="0" collapsed="false">
      <c r="A15" s="24" t="s">
        <v>1034</v>
      </c>
      <c r="B15" s="24" t="s">
        <v>1034</v>
      </c>
      <c r="C15" s="24" t="s">
        <v>1035</v>
      </c>
      <c r="D15" s="24" t="n">
        <v>2022</v>
      </c>
      <c r="E15" s="24" t="s">
        <v>80</v>
      </c>
      <c r="F15" s="24" t="s">
        <v>1036</v>
      </c>
      <c r="G15" s="24" t="s">
        <v>1037</v>
      </c>
      <c r="H15" s="24" t="s">
        <v>912</v>
      </c>
      <c r="I15" s="24" t="s">
        <v>913</v>
      </c>
      <c r="J15" s="24" t="n">
        <v>29.706</v>
      </c>
      <c r="K15" s="24" t="n">
        <v>76.956</v>
      </c>
      <c r="L15" s="24" t="s">
        <v>1038</v>
      </c>
      <c r="M15" s="24" t="s">
        <v>1039</v>
      </c>
      <c r="N15" s="24" t="s">
        <v>840</v>
      </c>
      <c r="O15" s="24" t="s">
        <v>83</v>
      </c>
      <c r="P15" s="24" t="n">
        <v>2009</v>
      </c>
      <c r="Q15" s="24" t="n">
        <v>2019</v>
      </c>
      <c r="R15" s="24" t="s">
        <v>1040</v>
      </c>
      <c r="S15" s="24" t="s">
        <v>84</v>
      </c>
      <c r="T15" s="24" t="s">
        <v>85</v>
      </c>
      <c r="U15" s="24" t="s">
        <v>1041</v>
      </c>
      <c r="V15" s="24"/>
      <c r="W15" s="24"/>
      <c r="X15" s="24"/>
      <c r="Y15" s="24"/>
      <c r="Z15" s="24"/>
      <c r="AA15" s="24"/>
      <c r="AB15" s="24"/>
      <c r="AC15" s="24"/>
      <c r="AD15" s="24"/>
      <c r="AE15" s="24"/>
      <c r="AF15" s="24" t="n">
        <v>670</v>
      </c>
      <c r="AG15" s="24" t="s">
        <v>920</v>
      </c>
      <c r="AH15" s="24"/>
      <c r="AI15" s="24"/>
      <c r="AJ15" s="24" t="s">
        <v>1042</v>
      </c>
      <c r="AK15" s="24" t="s">
        <v>1043</v>
      </c>
      <c r="AL15" s="24" t="s">
        <v>1044</v>
      </c>
      <c r="AM15" s="24" t="s">
        <v>1045</v>
      </c>
      <c r="AN15" s="24"/>
      <c r="AO15" s="24" t="s">
        <v>1046</v>
      </c>
      <c r="AP15" s="24" t="s">
        <v>1047</v>
      </c>
      <c r="AQ15" s="24" t="s">
        <v>830</v>
      </c>
      <c r="AR15" s="25" t="s">
        <v>1048</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1049</v>
      </c>
    </row>
    <row r="3" customFormat="false" ht="34.5" hidden="false" customHeight="true" outlineLevel="0" collapsed="false">
      <c r="A3" s="9" t="s">
        <v>55</v>
      </c>
      <c r="B3" s="9" t="s">
        <v>1050</v>
      </c>
      <c r="C3" s="9" t="s">
        <v>57</v>
      </c>
      <c r="D3" s="9" t="s">
        <v>58</v>
      </c>
      <c r="E3" s="9" t="s">
        <v>59</v>
      </c>
      <c r="F3" s="9" t="s">
        <v>143</v>
      </c>
      <c r="G3" s="9" t="s">
        <v>1051</v>
      </c>
      <c r="H3" s="9" t="s">
        <v>1052</v>
      </c>
      <c r="I3" s="9" t="s">
        <v>1053</v>
      </c>
      <c r="J3" s="9" t="s">
        <v>1054</v>
      </c>
    </row>
    <row r="4" customFormat="false" ht="15" hidden="false" customHeight="true" outlineLevel="0" collapsed="false">
      <c r="A4" s="24" t="n">
        <v>1</v>
      </c>
      <c r="B4" s="24" t="n">
        <v>164</v>
      </c>
      <c r="C4" s="24" t="s">
        <v>812</v>
      </c>
      <c r="D4" s="24" t="n">
        <v>2000</v>
      </c>
      <c r="E4" s="24" t="s">
        <v>813</v>
      </c>
      <c r="F4" s="24" t="s">
        <v>1055</v>
      </c>
      <c r="G4" s="24" t="n">
        <v>120</v>
      </c>
      <c r="H4" s="24" t="n">
        <v>5</v>
      </c>
      <c r="I4" s="24" t="s">
        <v>1056</v>
      </c>
      <c r="J4" s="24" t="s">
        <v>829</v>
      </c>
    </row>
    <row r="5" customFormat="false" ht="15" hidden="false" customHeight="true" outlineLevel="0" collapsed="false">
      <c r="A5" s="24" t="n">
        <v>2</v>
      </c>
      <c r="B5" s="24" t="n">
        <v>165</v>
      </c>
      <c r="C5" s="24" t="s">
        <v>832</v>
      </c>
      <c r="D5" s="24" t="n">
        <v>2012</v>
      </c>
      <c r="E5" s="24" t="s">
        <v>833</v>
      </c>
      <c r="F5" s="24" t="s">
        <v>1055</v>
      </c>
      <c r="G5" s="24" t="n">
        <v>38</v>
      </c>
      <c r="H5" s="24" t="n">
        <v>14</v>
      </c>
      <c r="I5" s="24" t="s">
        <v>1057</v>
      </c>
      <c r="J5" s="24" t="s">
        <v>851</v>
      </c>
    </row>
    <row r="6" customFormat="false" ht="15" hidden="false" customHeight="true" outlineLevel="0" collapsed="false">
      <c r="A6" s="24" t="n">
        <v>3</v>
      </c>
      <c r="B6" s="24" t="n">
        <v>166</v>
      </c>
      <c r="C6" s="24" t="s">
        <v>853</v>
      </c>
      <c r="D6" s="24" t="n">
        <v>2014</v>
      </c>
      <c r="E6" s="24" t="s">
        <v>854</v>
      </c>
      <c r="F6" s="24" t="s">
        <v>1055</v>
      </c>
      <c r="G6" s="24" t="n">
        <v>53</v>
      </c>
      <c r="H6" s="24" t="n">
        <v>13</v>
      </c>
      <c r="I6" s="24" t="s">
        <v>1058</v>
      </c>
      <c r="J6" s="24" t="s">
        <v>870</v>
      </c>
    </row>
    <row r="7" customFormat="false" ht="15" hidden="false" customHeight="true" outlineLevel="0" collapsed="false">
      <c r="A7" s="24" t="n">
        <v>4</v>
      </c>
      <c r="B7" s="24" t="n">
        <v>167</v>
      </c>
      <c r="C7" s="24" t="s">
        <v>872</v>
      </c>
      <c r="D7" s="24" t="n">
        <v>2023</v>
      </c>
      <c r="E7" s="24" t="s">
        <v>873</v>
      </c>
      <c r="F7" s="24" t="s">
        <v>455</v>
      </c>
      <c r="G7" s="24" t="n">
        <v>0</v>
      </c>
      <c r="H7" s="24" t="n">
        <v>0</v>
      </c>
      <c r="I7" s="24" t="s">
        <v>656</v>
      </c>
      <c r="J7" s="24" t="s">
        <v>881</v>
      </c>
    </row>
    <row r="8" customFormat="false" ht="15" hidden="false" customHeight="true" outlineLevel="0" collapsed="false">
      <c r="A8" s="24" t="n">
        <v>5</v>
      </c>
      <c r="B8" s="24" t="n">
        <v>168</v>
      </c>
      <c r="C8" s="24" t="s">
        <v>883</v>
      </c>
      <c r="D8" s="24" t="n">
        <v>2020</v>
      </c>
      <c r="E8" s="24" t="s">
        <v>884</v>
      </c>
      <c r="F8" s="24" t="s">
        <v>1055</v>
      </c>
      <c r="G8" s="24" t="n">
        <v>27</v>
      </c>
      <c r="H8" s="24" t="n">
        <v>19</v>
      </c>
      <c r="I8" s="24" t="s">
        <v>1059</v>
      </c>
      <c r="J8" s="24" t="s">
        <v>899</v>
      </c>
    </row>
    <row r="9" customFormat="false" ht="15" hidden="false" customHeight="true" outlineLevel="0" collapsed="false">
      <c r="A9" s="24" t="n">
        <v>6</v>
      </c>
      <c r="B9" s="24" t="n">
        <v>169</v>
      </c>
      <c r="C9" s="24" t="s">
        <v>901</v>
      </c>
      <c r="D9" s="24" t="n">
        <v>2005</v>
      </c>
      <c r="E9" s="24" t="s">
        <v>813</v>
      </c>
      <c r="F9" s="24" t="s">
        <v>455</v>
      </c>
      <c r="G9" s="24" t="n">
        <v>0</v>
      </c>
      <c r="H9" s="24" t="n">
        <v>0</v>
      </c>
      <c r="I9" s="24" t="s">
        <v>656</v>
      </c>
      <c r="J9" s="24" t="s">
        <v>881</v>
      </c>
    </row>
    <row r="10" customFormat="false" ht="15" hidden="false" customHeight="true" outlineLevel="0" collapsed="false">
      <c r="A10" s="24" t="n">
        <v>7</v>
      </c>
      <c r="B10" s="24" t="s">
        <v>908</v>
      </c>
      <c r="C10" s="24" t="s">
        <v>909</v>
      </c>
      <c r="D10" s="24" t="n">
        <v>2019</v>
      </c>
      <c r="E10" s="24" t="s">
        <v>854</v>
      </c>
      <c r="F10" s="24" t="s">
        <v>1055</v>
      </c>
      <c r="G10" s="24" t="n">
        <v>46</v>
      </c>
      <c r="H10" s="24" t="n">
        <v>11</v>
      </c>
      <c r="I10" s="24" t="s">
        <v>1060</v>
      </c>
      <c r="J10" s="24" t="s">
        <v>923</v>
      </c>
    </row>
    <row r="11" customFormat="false" ht="15" hidden="false" customHeight="true" outlineLevel="0" collapsed="false">
      <c r="A11" s="24" t="n">
        <v>8</v>
      </c>
      <c r="B11" s="24" t="s">
        <v>925</v>
      </c>
      <c r="C11" s="24" t="s">
        <v>926</v>
      </c>
      <c r="D11" s="24" t="n">
        <v>2019</v>
      </c>
      <c r="E11" s="24" t="s">
        <v>927</v>
      </c>
      <c r="F11" s="24" t="s">
        <v>1055</v>
      </c>
      <c r="G11" s="24" t="n">
        <v>25</v>
      </c>
      <c r="H11" s="24" t="n">
        <v>13</v>
      </c>
      <c r="I11" s="24" t="s">
        <v>1061</v>
      </c>
      <c r="J11" s="24" t="s">
        <v>933</v>
      </c>
    </row>
    <row r="12" customFormat="false" ht="15" hidden="false" customHeight="true" outlineLevel="0" collapsed="false">
      <c r="A12" s="24" t="n">
        <v>9</v>
      </c>
      <c r="B12" s="24" t="s">
        <v>935</v>
      </c>
      <c r="C12" s="24" t="s">
        <v>936</v>
      </c>
      <c r="D12" s="24" t="n">
        <v>2020</v>
      </c>
      <c r="E12" s="24" t="s">
        <v>937</v>
      </c>
      <c r="F12" s="24" t="s">
        <v>1055</v>
      </c>
      <c r="G12" s="24" t="n">
        <v>136</v>
      </c>
      <c r="H12" s="24" t="n">
        <v>17</v>
      </c>
      <c r="I12" s="24" t="s">
        <v>1062</v>
      </c>
      <c r="J12" s="24" t="s">
        <v>950</v>
      </c>
    </row>
    <row r="13" customFormat="false" ht="15" hidden="false" customHeight="true" outlineLevel="0" collapsed="false">
      <c r="A13" s="24" t="n">
        <v>10</v>
      </c>
      <c r="B13" s="24" t="s">
        <v>952</v>
      </c>
      <c r="C13" s="24" t="s">
        <v>953</v>
      </c>
      <c r="D13" s="24" t="n">
        <v>2023</v>
      </c>
      <c r="E13" s="24" t="s">
        <v>954</v>
      </c>
      <c r="F13" s="24" t="s">
        <v>1055</v>
      </c>
      <c r="G13" s="24" t="n">
        <v>50</v>
      </c>
      <c r="H13" s="24" t="n">
        <v>16</v>
      </c>
      <c r="I13" s="24" t="s">
        <v>1063</v>
      </c>
      <c r="J13" s="24" t="s">
        <v>969</v>
      </c>
    </row>
    <row r="14" customFormat="false" ht="15" hidden="false" customHeight="false" outlineLevel="0" collapsed="false">
      <c r="A14" s="24" t="n">
        <v>11</v>
      </c>
      <c r="B14" s="24" t="n">
        <v>170</v>
      </c>
      <c r="C14" s="24" t="s">
        <v>971</v>
      </c>
      <c r="D14" s="24" t="n">
        <v>2003</v>
      </c>
      <c r="E14" s="24" t="s">
        <v>854</v>
      </c>
      <c r="F14" s="24" t="s">
        <v>1055</v>
      </c>
      <c r="G14" s="24" t="n">
        <v>49</v>
      </c>
      <c r="H14" s="24" t="n">
        <v>3</v>
      </c>
      <c r="I14" s="24" t="s">
        <v>1064</v>
      </c>
      <c r="J14" s="24" t="s">
        <v>985</v>
      </c>
    </row>
    <row r="15" customFormat="false" ht="15" hidden="false" customHeight="false" outlineLevel="0" collapsed="false">
      <c r="A15" s="24" t="n">
        <v>12</v>
      </c>
      <c r="B15" s="24" t="s">
        <v>988</v>
      </c>
      <c r="C15" s="24" t="s">
        <v>989</v>
      </c>
      <c r="D15" s="24" t="n">
        <v>2011</v>
      </c>
      <c r="E15" s="24" t="s">
        <v>990</v>
      </c>
      <c r="F15" s="24" t="s">
        <v>1055</v>
      </c>
      <c r="G15" s="24" t="n">
        <v>124</v>
      </c>
      <c r="H15" s="24" t="n">
        <v>12</v>
      </c>
      <c r="I15" s="24" t="s">
        <v>1065</v>
      </c>
      <c r="J15" s="24" t="s">
        <v>1009</v>
      </c>
    </row>
    <row r="16" customFormat="false" ht="15" hidden="false" customHeight="false" outlineLevel="0" collapsed="false">
      <c r="A16" s="24" t="n">
        <v>13</v>
      </c>
      <c r="B16" s="24" t="s">
        <v>1011</v>
      </c>
      <c r="C16" s="24" t="s">
        <v>1012</v>
      </c>
      <c r="D16" s="24" t="n">
        <v>2022</v>
      </c>
      <c r="E16" s="24" t="s">
        <v>813</v>
      </c>
      <c r="F16" s="24" t="s">
        <v>1055</v>
      </c>
      <c r="G16" s="24" t="n">
        <v>47</v>
      </c>
      <c r="H16" s="24" t="n">
        <v>10</v>
      </c>
      <c r="I16" s="24" t="s">
        <v>1066</v>
      </c>
      <c r="J16" s="24" t="s">
        <v>1031</v>
      </c>
    </row>
    <row r="17" customFormat="false" ht="15" hidden="false" customHeight="false" outlineLevel="0" collapsed="false">
      <c r="A17" s="24" t="n">
        <v>14</v>
      </c>
      <c r="B17" s="24" t="s">
        <v>1034</v>
      </c>
      <c r="C17" s="24" t="s">
        <v>1035</v>
      </c>
      <c r="D17" s="24" t="n">
        <v>2022</v>
      </c>
      <c r="E17" s="24" t="s">
        <v>80</v>
      </c>
      <c r="F17" s="24" t="s">
        <v>1055</v>
      </c>
      <c r="G17" s="24" t="n">
        <v>70</v>
      </c>
      <c r="H17" s="24" t="n">
        <v>22</v>
      </c>
      <c r="I17" s="24" t="s">
        <v>1067</v>
      </c>
      <c r="J17" s="24" t="s">
        <v>1047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1068</v>
      </c>
    </row>
    <row r="3" customFormat="false" ht="23.25" hidden="false" customHeight="true" outlineLevel="0" collapsed="false">
      <c r="A3" s="9" t="s">
        <v>55</v>
      </c>
      <c r="B3" s="9" t="s">
        <v>1069</v>
      </c>
      <c r="C3" s="9" t="s">
        <v>651</v>
      </c>
      <c r="D3" s="9" t="s">
        <v>1051</v>
      </c>
      <c r="E3" s="9" t="s">
        <v>1070</v>
      </c>
      <c r="F3" s="9" t="s">
        <v>1071</v>
      </c>
    </row>
    <row r="4" customFormat="false" ht="15" hidden="false" customHeight="true" outlineLevel="0" collapsed="false">
      <c r="A4" s="26" t="n">
        <v>1</v>
      </c>
      <c r="B4" s="26" t="s">
        <v>1072</v>
      </c>
      <c r="C4" s="26" t="s">
        <v>89</v>
      </c>
      <c r="D4" s="26" t="n">
        <v>52</v>
      </c>
      <c r="E4" s="26" t="n">
        <v>8</v>
      </c>
      <c r="F4" s="12" t="s">
        <v>1073</v>
      </c>
    </row>
    <row r="5" customFormat="false" ht="15" hidden="false" customHeight="true" outlineLevel="0" collapsed="false">
      <c r="A5" s="26" t="n">
        <v>2</v>
      </c>
      <c r="B5" s="26" t="s">
        <v>1074</v>
      </c>
      <c r="C5" s="26" t="s">
        <v>89</v>
      </c>
      <c r="D5" s="26" t="n">
        <v>0</v>
      </c>
      <c r="E5" s="26" t="n">
        <v>0</v>
      </c>
      <c r="F5" s="12" t="s">
        <v>1075</v>
      </c>
    </row>
    <row r="6" customFormat="false" ht="15" hidden="false" customHeight="true" outlineLevel="0" collapsed="false">
      <c r="A6" s="26" t="n">
        <v>3</v>
      </c>
      <c r="B6" s="26" t="s">
        <v>1076</v>
      </c>
      <c r="C6" s="26" t="s">
        <v>763</v>
      </c>
      <c r="D6" s="26" t="n">
        <v>50</v>
      </c>
      <c r="E6" s="26" t="n">
        <v>8</v>
      </c>
      <c r="F6" s="12" t="s">
        <v>1077</v>
      </c>
    </row>
    <row r="7" customFormat="false" ht="15" hidden="false" customHeight="true" outlineLevel="0" collapsed="false">
      <c r="A7" s="26" t="n">
        <v>4</v>
      </c>
      <c r="B7" s="26" t="s">
        <v>1078</v>
      </c>
      <c r="C7" s="26" t="s">
        <v>763</v>
      </c>
      <c r="D7" s="26" t="n">
        <v>0</v>
      </c>
      <c r="E7" s="26" t="n">
        <v>0</v>
      </c>
      <c r="F7" s="12" t="s">
        <v>1075</v>
      </c>
    </row>
    <row r="8" customFormat="false" ht="15" hidden="false" customHeight="true" outlineLevel="0" collapsed="false">
      <c r="A8" s="26" t="n">
        <v>5</v>
      </c>
      <c r="B8" s="26" t="s">
        <v>1079</v>
      </c>
      <c r="C8" s="26" t="s">
        <v>763</v>
      </c>
      <c r="D8" s="26" t="n">
        <v>0</v>
      </c>
      <c r="E8" s="26" t="n">
        <v>0</v>
      </c>
      <c r="F8" s="12" t="s">
        <v>1075</v>
      </c>
    </row>
    <row r="9" customFormat="false" ht="15" hidden="false" customHeight="true" outlineLevel="0" collapsed="false">
      <c r="A9" s="26" t="n">
        <v>6</v>
      </c>
      <c r="B9" s="26" t="s">
        <v>1080</v>
      </c>
      <c r="C9" s="26" t="s">
        <v>763</v>
      </c>
      <c r="D9" s="26" t="n">
        <v>0</v>
      </c>
      <c r="E9" s="26" t="n">
        <v>0</v>
      </c>
      <c r="F9" s="12" t="s">
        <v>1075</v>
      </c>
    </row>
    <row r="10" customFormat="false" ht="15" hidden="false" customHeight="true" outlineLevel="0" collapsed="false">
      <c r="A10" s="26" t="n">
        <v>7</v>
      </c>
      <c r="B10" s="26" t="s">
        <v>1081</v>
      </c>
      <c r="C10" s="26" t="s">
        <v>1082</v>
      </c>
      <c r="D10" s="26" t="n">
        <v>25</v>
      </c>
      <c r="E10" s="26" t="n">
        <v>6</v>
      </c>
      <c r="F10" s="12" t="s">
        <v>1083</v>
      </c>
    </row>
    <row r="11" customFormat="false" ht="15" hidden="false" customHeight="true" outlineLevel="0" collapsed="false">
      <c r="A11" s="26" t="n">
        <v>8</v>
      </c>
      <c r="B11" s="26" t="s">
        <v>1084</v>
      </c>
      <c r="C11" s="26" t="s">
        <v>1085</v>
      </c>
      <c r="D11" s="26" t="n">
        <v>3</v>
      </c>
      <c r="E11" s="26" t="n">
        <v>1</v>
      </c>
      <c r="F11" s="12" t="s">
        <v>1086</v>
      </c>
    </row>
    <row r="12" customFormat="false" ht="15" hidden="false" customHeight="true" outlineLevel="0" collapsed="false">
      <c r="A12" s="26" t="n">
        <v>9</v>
      </c>
      <c r="B12" s="26" t="s">
        <v>1087</v>
      </c>
      <c r="C12" s="26" t="s">
        <v>1088</v>
      </c>
      <c r="D12" s="26" t="n">
        <v>12</v>
      </c>
      <c r="E12" s="26" t="n">
        <v>2</v>
      </c>
      <c r="F12" s="12" t="s">
        <v>1089</v>
      </c>
    </row>
    <row r="13" customFormat="false" ht="15" hidden="false" customHeight="true" outlineLevel="0" collapsed="false">
      <c r="A13" s="26" t="n">
        <v>10</v>
      </c>
      <c r="B13" s="26" t="s">
        <v>1090</v>
      </c>
      <c r="C13" s="26" t="s">
        <v>1091</v>
      </c>
      <c r="D13" s="26" t="n">
        <v>9</v>
      </c>
      <c r="E13" s="26" t="n">
        <v>3</v>
      </c>
      <c r="F13" s="12" t="s">
        <v>1092</v>
      </c>
    </row>
    <row r="14" customFormat="false" ht="15" hidden="false" customHeight="true" outlineLevel="0" collapsed="false">
      <c r="A14" s="26" t="n">
        <v>11</v>
      </c>
      <c r="B14" s="26" t="s">
        <v>1093</v>
      </c>
      <c r="C14" s="26" t="s">
        <v>1094</v>
      </c>
      <c r="D14" s="26" t="n">
        <v>24</v>
      </c>
      <c r="E14" s="26" t="n">
        <v>5</v>
      </c>
      <c r="F14" s="12" t="s">
        <v>1095</v>
      </c>
    </row>
    <row r="15" customFormat="false" ht="15" hidden="false" customHeight="true" outlineLevel="0" collapsed="false">
      <c r="A15" s="26" t="n">
        <v>12</v>
      </c>
      <c r="B15" s="26" t="s">
        <v>1096</v>
      </c>
      <c r="C15" s="26" t="s">
        <v>1097</v>
      </c>
      <c r="D15" s="26" t="n">
        <v>9</v>
      </c>
      <c r="E15" s="26" t="n">
        <v>3</v>
      </c>
      <c r="F15" s="12" t="s">
        <v>1092</v>
      </c>
    </row>
    <row r="16" customFormat="false" ht="15" hidden="false" customHeight="true" outlineLevel="0" collapsed="false">
      <c r="A16" s="26" t="n">
        <v>13</v>
      </c>
      <c r="B16" s="26" t="s">
        <v>1098</v>
      </c>
      <c r="C16" s="26" t="s">
        <v>1099</v>
      </c>
      <c r="D16" s="26" t="n">
        <v>7</v>
      </c>
      <c r="E16" s="26" t="n">
        <v>2</v>
      </c>
      <c r="F16" s="12" t="s">
        <v>1100</v>
      </c>
    </row>
    <row r="17" customFormat="false" ht="15" hidden="false" customHeight="true" outlineLevel="0" collapsed="false">
      <c r="A17" s="26" t="n">
        <v>14</v>
      </c>
      <c r="B17" s="26" t="s">
        <v>1101</v>
      </c>
      <c r="C17" s="26" t="s">
        <v>1102</v>
      </c>
      <c r="D17" s="26" t="n">
        <v>7</v>
      </c>
      <c r="E17" s="26" t="n">
        <v>2</v>
      </c>
      <c r="F17" s="12" t="s">
        <v>1100</v>
      </c>
    </row>
    <row r="18" customFormat="false" ht="15" hidden="false" customHeight="true" outlineLevel="0" collapsed="false">
      <c r="A18" s="26" t="n">
        <v>15</v>
      </c>
      <c r="B18" s="26" t="s">
        <v>1103</v>
      </c>
      <c r="C18" s="26" t="s">
        <v>1104</v>
      </c>
      <c r="D18" s="26" t="n">
        <v>42</v>
      </c>
      <c r="E18" s="26" t="n">
        <v>3</v>
      </c>
      <c r="F18" s="12" t="s">
        <v>1105</v>
      </c>
    </row>
    <row r="19" customFormat="false" ht="15" hidden="false" customHeight="true" outlineLevel="0" collapsed="false">
      <c r="A19" s="26" t="n">
        <v>16</v>
      </c>
      <c r="B19" s="26" t="s">
        <v>1106</v>
      </c>
      <c r="C19" s="26" t="s">
        <v>1107</v>
      </c>
      <c r="D19" s="26" t="n">
        <v>10</v>
      </c>
      <c r="E19" s="26" t="n">
        <v>2</v>
      </c>
      <c r="F19" s="12" t="s">
        <v>1108</v>
      </c>
    </row>
    <row r="20" customFormat="false" ht="15" hidden="false" customHeight="true" outlineLevel="0" collapsed="false">
      <c r="A20" s="26" t="n">
        <v>17</v>
      </c>
      <c r="B20" s="26" t="s">
        <v>1109</v>
      </c>
      <c r="C20" s="26" t="s">
        <v>1110</v>
      </c>
      <c r="D20" s="26" t="n">
        <v>14</v>
      </c>
      <c r="E20" s="26" t="n">
        <v>3</v>
      </c>
      <c r="F20" s="12" t="s">
        <v>1111</v>
      </c>
    </row>
    <row r="21" customFormat="false" ht="15" hidden="false" customHeight="true" outlineLevel="0" collapsed="false">
      <c r="A21" s="26" t="n">
        <v>18</v>
      </c>
      <c r="B21" s="26" t="s">
        <v>1112</v>
      </c>
      <c r="C21" s="26" t="s">
        <v>1113</v>
      </c>
      <c r="D21" s="26" t="n">
        <v>7</v>
      </c>
      <c r="E21" s="26" t="n">
        <v>2</v>
      </c>
      <c r="F21" s="12" t="s">
        <v>1114</v>
      </c>
    </row>
    <row r="22" customFormat="false" ht="15" hidden="false" customHeight="true" outlineLevel="0" collapsed="false">
      <c r="A22" s="26" t="n">
        <v>19</v>
      </c>
      <c r="B22" s="26" t="s">
        <v>1115</v>
      </c>
      <c r="C22" s="26" t="s">
        <v>1116</v>
      </c>
      <c r="D22" s="26" t="n">
        <v>7</v>
      </c>
      <c r="E22" s="26" t="n">
        <v>2</v>
      </c>
      <c r="F22" s="12" t="s">
        <v>1114</v>
      </c>
    </row>
    <row r="23" customFormat="false" ht="15" hidden="false" customHeight="true" outlineLevel="0" collapsed="false">
      <c r="A23" s="26" t="n">
        <v>20</v>
      </c>
      <c r="B23" s="26" t="s">
        <v>1117</v>
      </c>
      <c r="C23" s="26" t="s">
        <v>1118</v>
      </c>
      <c r="D23" s="26" t="n">
        <v>8</v>
      </c>
      <c r="E23" s="26" t="n">
        <v>1</v>
      </c>
      <c r="F23" s="12" t="s">
        <v>1119</v>
      </c>
    </row>
    <row r="24" customFormat="false" ht="15" hidden="false" customHeight="true" outlineLevel="0" collapsed="false">
      <c r="A24" s="26" t="n">
        <v>21</v>
      </c>
      <c r="B24" s="26" t="s">
        <v>1120</v>
      </c>
      <c r="C24" s="26" t="s">
        <v>1121</v>
      </c>
      <c r="D24" s="26" t="n">
        <v>7</v>
      </c>
      <c r="E24" s="26" t="n">
        <v>2</v>
      </c>
      <c r="F24" s="12" t="s">
        <v>1114</v>
      </c>
    </row>
    <row r="25" customFormat="false" ht="15" hidden="false" customHeight="true" outlineLevel="0" collapsed="false">
      <c r="A25" s="26" t="n">
        <v>22</v>
      </c>
      <c r="B25" s="26" t="s">
        <v>1122</v>
      </c>
      <c r="C25" s="26" t="s">
        <v>1123</v>
      </c>
      <c r="D25" s="26" t="n">
        <v>7</v>
      </c>
      <c r="E25" s="26" t="n">
        <v>2</v>
      </c>
      <c r="F25" s="12" t="s">
        <v>1114</v>
      </c>
    </row>
    <row r="26" customFormat="false" ht="15" hidden="false" customHeight="true" outlineLevel="0" collapsed="false">
      <c r="A26" s="26" t="n">
        <v>23</v>
      </c>
      <c r="B26" s="26" t="s">
        <v>1124</v>
      </c>
      <c r="C26" s="26" t="s">
        <v>1125</v>
      </c>
      <c r="D26" s="26" t="n">
        <v>0</v>
      </c>
      <c r="E26" s="26" t="n">
        <v>0</v>
      </c>
      <c r="F26" s="12" t="s">
        <v>1075</v>
      </c>
    </row>
    <row r="27" customFormat="false" ht="15" hidden="false" customHeight="true" outlineLevel="0" collapsed="false">
      <c r="A27" s="26" t="n">
        <v>24</v>
      </c>
      <c r="B27" s="26" t="s">
        <v>1126</v>
      </c>
      <c r="C27" s="26" t="s">
        <v>1127</v>
      </c>
      <c r="D27" s="26" t="n">
        <v>3</v>
      </c>
      <c r="E27" s="26" t="n">
        <v>1</v>
      </c>
      <c r="F27" s="12" t="s">
        <v>1128</v>
      </c>
    </row>
    <row r="28" customFormat="false" ht="15" hidden="false" customHeight="true" outlineLevel="0" collapsed="false">
      <c r="A28" s="26" t="n">
        <v>25</v>
      </c>
      <c r="B28" s="26" t="s">
        <v>1129</v>
      </c>
      <c r="C28" s="26" t="s">
        <v>1130</v>
      </c>
      <c r="D28" s="26" t="n">
        <v>0</v>
      </c>
      <c r="E28" s="26" t="n">
        <v>0</v>
      </c>
      <c r="F28" s="12" t="s">
        <v>1075</v>
      </c>
    </row>
    <row r="29" customFormat="false" ht="15" hidden="false" customHeight="true" outlineLevel="0" collapsed="false">
      <c r="A29" s="26" t="n">
        <v>26</v>
      </c>
      <c r="B29" s="26" t="s">
        <v>1131</v>
      </c>
      <c r="C29" s="26" t="s">
        <v>1132</v>
      </c>
      <c r="D29" s="26" t="n">
        <v>0</v>
      </c>
      <c r="E29" s="26" t="n">
        <v>0</v>
      </c>
      <c r="F29" s="12" t="s">
        <v>1075</v>
      </c>
    </row>
    <row r="30" customFormat="false" ht="15" hidden="false" customHeight="true" outlineLevel="0" collapsed="false">
      <c r="A30" s="26" t="n">
        <v>27</v>
      </c>
      <c r="B30" s="26" t="s">
        <v>94</v>
      </c>
      <c r="C30" s="26" t="s">
        <v>693</v>
      </c>
      <c r="D30" s="26" t="n">
        <v>35</v>
      </c>
      <c r="E30" s="26" t="n">
        <v>9</v>
      </c>
      <c r="F30" s="12" t="s">
        <v>1133</v>
      </c>
    </row>
    <row r="31" customFormat="false" ht="15" hidden="false" customHeight="true" outlineLevel="0" collapsed="false">
      <c r="A31" s="26" t="n">
        <v>28</v>
      </c>
      <c r="B31" s="26" t="s">
        <v>1134</v>
      </c>
      <c r="C31" s="26" t="s">
        <v>693</v>
      </c>
      <c r="D31" s="26" t="n">
        <v>7</v>
      </c>
      <c r="E31" s="26" t="n">
        <v>2</v>
      </c>
      <c r="F31" s="12" t="s">
        <v>1100</v>
      </c>
    </row>
    <row r="32" customFormat="false" ht="15" hidden="false" customHeight="true" outlineLevel="0" collapsed="false">
      <c r="A32" s="26" t="n">
        <v>29</v>
      </c>
      <c r="B32" s="26" t="s">
        <v>1135</v>
      </c>
      <c r="C32" s="26" t="s">
        <v>693</v>
      </c>
      <c r="D32" s="26" t="n">
        <v>0</v>
      </c>
      <c r="E32" s="26" t="n">
        <v>0</v>
      </c>
      <c r="F32" s="12" t="s">
        <v>1075</v>
      </c>
    </row>
    <row r="33" customFormat="false" ht="15" hidden="false" customHeight="true" outlineLevel="0" collapsed="false">
      <c r="A33" s="26" t="n">
        <v>30</v>
      </c>
      <c r="B33" s="26" t="s">
        <v>1136</v>
      </c>
      <c r="C33" s="26" t="s">
        <v>693</v>
      </c>
      <c r="D33" s="26" t="n">
        <v>0</v>
      </c>
      <c r="E33" s="26" t="n">
        <v>0</v>
      </c>
      <c r="F33" s="12" t="s">
        <v>1075</v>
      </c>
    </row>
    <row r="34" customFormat="false" ht="15" hidden="false" customHeight="true" outlineLevel="0" collapsed="false">
      <c r="A34" s="26" t="n">
        <v>31</v>
      </c>
      <c r="B34" s="26" t="s">
        <v>1137</v>
      </c>
      <c r="C34" s="26" t="s">
        <v>1138</v>
      </c>
      <c r="D34" s="26" t="n">
        <v>4</v>
      </c>
      <c r="E34" s="26" t="n">
        <v>1</v>
      </c>
      <c r="F34" s="12" t="s">
        <v>1139</v>
      </c>
    </row>
    <row r="35" customFormat="false" ht="15" hidden="false" customHeight="true" outlineLevel="0" collapsed="false">
      <c r="A35" s="26" t="n">
        <v>32</v>
      </c>
      <c r="B35" s="26" t="s">
        <v>1140</v>
      </c>
      <c r="C35" s="26" t="s">
        <v>1141</v>
      </c>
      <c r="D35" s="26" t="n">
        <v>0</v>
      </c>
      <c r="E35" s="26" t="n">
        <v>0</v>
      </c>
      <c r="F35" s="12" t="s">
        <v>1075</v>
      </c>
    </row>
    <row r="36" customFormat="false" ht="15" hidden="false" customHeight="true" outlineLevel="0" collapsed="false">
      <c r="A36" s="26" t="n">
        <v>33</v>
      </c>
      <c r="B36" s="26" t="s">
        <v>1142</v>
      </c>
      <c r="C36" s="26" t="s">
        <v>1143</v>
      </c>
      <c r="D36" s="26" t="n">
        <v>0</v>
      </c>
      <c r="E36" s="26" t="n">
        <v>0</v>
      </c>
      <c r="F36" s="12" t="s">
        <v>1075</v>
      </c>
    </row>
    <row r="37" customFormat="false" ht="15" hidden="false" customHeight="true" outlineLevel="0" collapsed="false">
      <c r="A37" s="26" t="n">
        <v>34</v>
      </c>
      <c r="B37" s="26" t="s">
        <v>1144</v>
      </c>
      <c r="C37" s="26" t="s">
        <v>1145</v>
      </c>
      <c r="D37" s="26" t="n">
        <v>0</v>
      </c>
      <c r="E37" s="26" t="n">
        <v>0</v>
      </c>
      <c r="F37" s="12" t="s">
        <v>1075</v>
      </c>
    </row>
    <row r="38" customFormat="false" ht="15" hidden="false" customHeight="true" outlineLevel="0" collapsed="false">
      <c r="A38" s="26" t="n">
        <v>35</v>
      </c>
      <c r="B38" s="26" t="s">
        <v>1146</v>
      </c>
      <c r="C38" s="26" t="s">
        <v>1147</v>
      </c>
      <c r="D38" s="26" t="n">
        <v>0</v>
      </c>
      <c r="E38" s="26" t="n">
        <v>0</v>
      </c>
      <c r="F38" s="12" t="s">
        <v>1075</v>
      </c>
    </row>
    <row r="39" customFormat="false" ht="15" hidden="false" customHeight="true" outlineLevel="0" collapsed="false">
      <c r="A39" s="26" t="n">
        <v>36</v>
      </c>
      <c r="B39" s="26" t="s">
        <v>1148</v>
      </c>
      <c r="C39" s="26" t="s">
        <v>1149</v>
      </c>
      <c r="D39" s="26" t="n">
        <v>0</v>
      </c>
      <c r="E39" s="26" t="n">
        <v>0</v>
      </c>
      <c r="F39" s="12" t="s">
        <v>1075</v>
      </c>
    </row>
    <row r="40" customFormat="false" ht="15" hidden="false" customHeight="true" outlineLevel="0" collapsed="false">
      <c r="A40" s="26" t="n">
        <v>37</v>
      </c>
      <c r="B40" s="26" t="s">
        <v>1150</v>
      </c>
      <c r="C40" s="26" t="s">
        <v>1151</v>
      </c>
      <c r="D40" s="26" t="n">
        <v>0</v>
      </c>
      <c r="E40" s="26" t="n">
        <v>0</v>
      </c>
      <c r="F40" s="12" t="s">
        <v>1075</v>
      </c>
    </row>
    <row r="41" customFormat="false" ht="15" hidden="false" customHeight="true" outlineLevel="0" collapsed="false">
      <c r="A41" s="26" t="n">
        <v>38</v>
      </c>
      <c r="B41" s="26" t="s">
        <v>1152</v>
      </c>
      <c r="C41" s="26" t="s">
        <v>1153</v>
      </c>
      <c r="D41" s="26" t="n">
        <v>0</v>
      </c>
      <c r="E41" s="26" t="n">
        <v>0</v>
      </c>
      <c r="F41" s="12" t="s">
        <v>1075</v>
      </c>
    </row>
    <row r="42" customFormat="false" ht="15" hidden="false" customHeight="true" outlineLevel="0" collapsed="false">
      <c r="A42" s="26" t="n">
        <v>39</v>
      </c>
      <c r="B42" s="26" t="s">
        <v>1154</v>
      </c>
      <c r="C42" s="26" t="s">
        <v>1155</v>
      </c>
      <c r="D42" s="26" t="n">
        <v>3</v>
      </c>
      <c r="E42" s="26" t="n">
        <v>1</v>
      </c>
      <c r="F42" s="12" t="s">
        <v>1156</v>
      </c>
    </row>
    <row r="43" customFormat="false" ht="15" hidden="false" customHeight="true" outlineLevel="0" collapsed="false">
      <c r="A43" s="26" t="n">
        <v>40</v>
      </c>
      <c r="B43" s="26" t="s">
        <v>1157</v>
      </c>
      <c r="C43" s="26" t="s">
        <v>1158</v>
      </c>
      <c r="D43" s="26" t="n">
        <v>0</v>
      </c>
      <c r="E43" s="26" t="n">
        <v>0</v>
      </c>
      <c r="F43" s="12" t="s">
        <v>1075</v>
      </c>
    </row>
    <row r="44" customFormat="false" ht="15" hidden="false" customHeight="true" outlineLevel="0" collapsed="false">
      <c r="A44" s="26" t="n">
        <v>41</v>
      </c>
      <c r="B44" s="26" t="s">
        <v>749</v>
      </c>
      <c r="C44" s="26" t="s">
        <v>1159</v>
      </c>
      <c r="D44" s="26" t="n">
        <v>0</v>
      </c>
      <c r="E44" s="26" t="n">
        <v>0</v>
      </c>
      <c r="F44" s="12" t="s">
        <v>1075</v>
      </c>
    </row>
    <row r="45" customFormat="false" ht="15" hidden="false" customHeight="true" outlineLevel="0" collapsed="false">
      <c r="A45" s="26" t="n">
        <v>42</v>
      </c>
      <c r="B45" s="26" t="s">
        <v>1160</v>
      </c>
      <c r="C45" s="26" t="s">
        <v>1161</v>
      </c>
      <c r="D45" s="26" t="n">
        <v>2</v>
      </c>
      <c r="E45" s="26" t="n">
        <v>1</v>
      </c>
      <c r="F45" s="12" t="s">
        <v>1162</v>
      </c>
    </row>
    <row r="46" customFormat="false" ht="15" hidden="false" customHeight="true" outlineLevel="0" collapsed="false">
      <c r="A46" s="26" t="n">
        <v>43</v>
      </c>
      <c r="B46" s="26" t="s">
        <v>1163</v>
      </c>
      <c r="C46" s="26" t="s">
        <v>1164</v>
      </c>
      <c r="D46" s="26" t="n">
        <v>2</v>
      </c>
      <c r="E46" s="26" t="n">
        <v>1</v>
      </c>
      <c r="F46" s="12" t="s">
        <v>1162</v>
      </c>
    </row>
    <row r="47" customFormat="false" ht="15" hidden="false" customHeight="true" outlineLevel="0" collapsed="false">
      <c r="A47" s="26" t="n">
        <v>44</v>
      </c>
      <c r="B47" s="26" t="s">
        <v>1165</v>
      </c>
      <c r="C47" s="26" t="s">
        <v>1166</v>
      </c>
      <c r="D47" s="26" t="n">
        <v>2</v>
      </c>
      <c r="E47" s="26" t="n">
        <v>1</v>
      </c>
      <c r="F47" s="12" t="s">
        <v>1162</v>
      </c>
    </row>
    <row r="48" customFormat="false" ht="15" hidden="false" customHeight="true" outlineLevel="0" collapsed="false">
      <c r="A48" s="26" t="n">
        <v>45</v>
      </c>
      <c r="B48" s="26" t="s">
        <v>1167</v>
      </c>
      <c r="C48" s="26" t="s">
        <v>1168</v>
      </c>
      <c r="D48" s="26" t="n">
        <v>2</v>
      </c>
      <c r="E48" s="26" t="n">
        <v>1</v>
      </c>
      <c r="F48" s="12" t="s">
        <v>1162</v>
      </c>
    </row>
    <row r="49" customFormat="false" ht="15" hidden="false" customHeight="true" outlineLevel="0" collapsed="false">
      <c r="A49" s="26" t="n">
        <v>46</v>
      </c>
      <c r="B49" s="26" t="s">
        <v>700</v>
      </c>
      <c r="C49" s="26" t="s">
        <v>1169</v>
      </c>
      <c r="D49" s="26" t="n">
        <v>22</v>
      </c>
      <c r="E49" s="26" t="n">
        <v>7</v>
      </c>
      <c r="F49" s="12" t="s">
        <v>1170</v>
      </c>
    </row>
    <row r="50" customFormat="false" ht="15" hidden="false" customHeight="true" outlineLevel="0" collapsed="false">
      <c r="A50" s="26" t="n">
        <v>47</v>
      </c>
      <c r="B50" s="26" t="s">
        <v>1171</v>
      </c>
      <c r="C50" s="26" t="s">
        <v>1172</v>
      </c>
      <c r="D50" s="26" t="n">
        <v>3</v>
      </c>
      <c r="E50" s="26" t="n">
        <v>2</v>
      </c>
      <c r="F50" s="12" t="s">
        <v>1173</v>
      </c>
    </row>
    <row r="51" customFormat="false" ht="15" hidden="false" customHeight="true" outlineLevel="0" collapsed="false">
      <c r="A51" s="26" t="n">
        <v>48</v>
      </c>
      <c r="B51" s="26" t="s">
        <v>1174</v>
      </c>
      <c r="C51" s="26" t="s">
        <v>1175</v>
      </c>
      <c r="D51" s="26" t="n">
        <v>0</v>
      </c>
      <c r="E51" s="26" t="n">
        <v>0</v>
      </c>
      <c r="F51" s="12" t="s">
        <v>1075</v>
      </c>
    </row>
    <row r="52" customFormat="false" ht="15" hidden="false" customHeight="true" outlineLevel="0" collapsed="false">
      <c r="A52" s="26" t="n">
        <v>49</v>
      </c>
      <c r="B52" s="26" t="s">
        <v>1176</v>
      </c>
      <c r="C52" s="26" t="s">
        <v>1177</v>
      </c>
      <c r="D52" s="26" t="n">
        <v>0</v>
      </c>
      <c r="E52" s="26" t="n">
        <v>0</v>
      </c>
      <c r="F52" s="12" t="s">
        <v>1075</v>
      </c>
    </row>
    <row r="53" customFormat="false" ht="15" hidden="false" customHeight="true" outlineLevel="0" collapsed="false">
      <c r="A53" s="26" t="n">
        <v>50</v>
      </c>
      <c r="B53" s="26" t="s">
        <v>1178</v>
      </c>
      <c r="C53" s="26" t="s">
        <v>1179</v>
      </c>
      <c r="D53" s="26" t="n">
        <v>0</v>
      </c>
      <c r="E53" s="26" t="n">
        <v>0</v>
      </c>
      <c r="F53" s="12" t="s">
        <v>1075</v>
      </c>
    </row>
    <row r="54" customFormat="false" ht="15" hidden="false" customHeight="true" outlineLevel="0" collapsed="false">
      <c r="A54" s="26" t="n">
        <v>51</v>
      </c>
      <c r="B54" s="26" t="s">
        <v>1180</v>
      </c>
      <c r="C54" s="26" t="s">
        <v>1181</v>
      </c>
      <c r="D54" s="26" t="n">
        <v>0</v>
      </c>
      <c r="E54" s="26" t="n">
        <v>0</v>
      </c>
      <c r="F54" s="12" t="s">
        <v>1075</v>
      </c>
    </row>
    <row r="55" customFormat="false" ht="15" hidden="false" customHeight="true" outlineLevel="0" collapsed="false">
      <c r="A55" s="26" t="n">
        <v>52</v>
      </c>
      <c r="B55" s="26" t="s">
        <v>1182</v>
      </c>
      <c r="C55" s="26" t="s">
        <v>1183</v>
      </c>
      <c r="D55" s="26" t="n">
        <v>4</v>
      </c>
      <c r="E55" s="26" t="n">
        <v>3</v>
      </c>
      <c r="F55" s="12" t="s">
        <v>1184</v>
      </c>
    </row>
    <row r="56" customFormat="false" ht="15" hidden="false" customHeight="true" outlineLevel="0" collapsed="false">
      <c r="A56" s="26" t="n">
        <v>53</v>
      </c>
      <c r="B56" s="26" t="s">
        <v>1185</v>
      </c>
      <c r="C56" s="26" t="s">
        <v>1186</v>
      </c>
      <c r="D56" s="26" t="n">
        <v>11</v>
      </c>
      <c r="E56" s="26" t="n">
        <v>2</v>
      </c>
      <c r="F56" s="12" t="s">
        <v>1187</v>
      </c>
    </row>
    <row r="57" customFormat="false" ht="15" hidden="false" customHeight="true" outlineLevel="0" collapsed="false">
      <c r="A57" s="26" t="n">
        <v>54</v>
      </c>
      <c r="B57" s="26" t="s">
        <v>1188</v>
      </c>
      <c r="C57" s="26" t="s">
        <v>1189</v>
      </c>
      <c r="D57" s="26" t="n">
        <v>11</v>
      </c>
      <c r="E57" s="26" t="n">
        <v>2</v>
      </c>
      <c r="F57" s="12" t="s">
        <v>1187</v>
      </c>
    </row>
    <row r="58" customFormat="false" ht="15" hidden="false" customHeight="true" outlineLevel="0" collapsed="false">
      <c r="A58" s="26" t="n">
        <v>55</v>
      </c>
      <c r="B58" s="26" t="s">
        <v>1190</v>
      </c>
      <c r="C58" s="26" t="s">
        <v>1191</v>
      </c>
      <c r="D58" s="26" t="n">
        <v>0</v>
      </c>
      <c r="E58" s="26" t="n">
        <v>0</v>
      </c>
      <c r="F58" s="12" t="s">
        <v>1075</v>
      </c>
    </row>
    <row r="59" customFormat="false" ht="15" hidden="false" customHeight="true" outlineLevel="0" collapsed="false">
      <c r="A59" s="26" t="n">
        <v>56</v>
      </c>
      <c r="B59" s="26" t="s">
        <v>1192</v>
      </c>
      <c r="C59" s="26" t="s">
        <v>1193</v>
      </c>
      <c r="D59" s="26" t="n">
        <v>18</v>
      </c>
      <c r="E59" s="26" t="n">
        <v>4</v>
      </c>
      <c r="F59" s="12" t="s">
        <v>1194</v>
      </c>
    </row>
    <row r="60" customFormat="false" ht="15" hidden="false" customHeight="true" outlineLevel="0" collapsed="false">
      <c r="A60" s="26" t="n">
        <v>57</v>
      </c>
      <c r="B60" s="26" t="s">
        <v>1195</v>
      </c>
      <c r="C60" s="26" t="s">
        <v>1196</v>
      </c>
      <c r="D60" s="26" t="n">
        <v>25</v>
      </c>
      <c r="E60" s="26" t="n">
        <v>5</v>
      </c>
      <c r="F60" s="12" t="s">
        <v>1197</v>
      </c>
    </row>
    <row r="61" customFormat="false" ht="15" hidden="false" customHeight="true" outlineLevel="0" collapsed="false">
      <c r="A61" s="26" t="n">
        <v>58</v>
      </c>
      <c r="B61" s="26" t="s">
        <v>1198</v>
      </c>
      <c r="C61" s="26" t="s">
        <v>1199</v>
      </c>
      <c r="D61" s="26" t="n">
        <v>17</v>
      </c>
      <c r="E61" s="26" t="n">
        <v>4</v>
      </c>
      <c r="F61" s="12" t="s">
        <v>1200</v>
      </c>
    </row>
    <row r="62" customFormat="false" ht="15" hidden="false" customHeight="true" outlineLevel="0" collapsed="false">
      <c r="A62" s="26" t="n">
        <v>59</v>
      </c>
      <c r="B62" s="26" t="s">
        <v>1201</v>
      </c>
      <c r="C62" s="26" t="s">
        <v>1202</v>
      </c>
      <c r="D62" s="26" t="n">
        <v>0</v>
      </c>
      <c r="E62" s="26" t="n">
        <v>0</v>
      </c>
      <c r="F62" s="12" t="s">
        <v>1075</v>
      </c>
    </row>
    <row r="63" customFormat="false" ht="15" hidden="false" customHeight="true" outlineLevel="0" collapsed="false">
      <c r="A63" s="26" t="n">
        <v>60</v>
      </c>
      <c r="B63" s="26" t="s">
        <v>1203</v>
      </c>
      <c r="C63" s="26" t="s">
        <v>748</v>
      </c>
      <c r="D63" s="26" t="n">
        <v>9</v>
      </c>
      <c r="E63" s="26" t="n">
        <v>3</v>
      </c>
      <c r="F63" s="12" t="s">
        <v>1204</v>
      </c>
    </row>
    <row r="64" customFormat="false" ht="15" hidden="false" customHeight="true" outlineLevel="0" collapsed="false">
      <c r="A64" s="26" t="n">
        <v>61</v>
      </c>
      <c r="B64" s="26" t="s">
        <v>1205</v>
      </c>
      <c r="C64" s="26" t="s">
        <v>1206</v>
      </c>
      <c r="D64" s="26" t="n">
        <v>0</v>
      </c>
      <c r="E64" s="26" t="n">
        <v>0</v>
      </c>
      <c r="F64" s="12" t="s">
        <v>1075</v>
      </c>
    </row>
    <row r="65" customFormat="false" ht="15" hidden="false" customHeight="true" outlineLevel="0" collapsed="false">
      <c r="A65" s="26" t="n">
        <v>62</v>
      </c>
      <c r="B65" s="26" t="s">
        <v>1207</v>
      </c>
      <c r="C65" s="26" t="s">
        <v>1208</v>
      </c>
      <c r="D65" s="26" t="n">
        <v>0</v>
      </c>
      <c r="E65" s="26" t="n">
        <v>0</v>
      </c>
      <c r="F65" s="12" t="s">
        <v>1075</v>
      </c>
    </row>
    <row r="66" customFormat="false" ht="15" hidden="false" customHeight="true" outlineLevel="0" collapsed="false">
      <c r="A66" s="26" t="n">
        <v>63</v>
      </c>
      <c r="B66" s="26" t="s">
        <v>1209</v>
      </c>
      <c r="C66" s="26" t="s">
        <v>1210</v>
      </c>
      <c r="D66" s="26" t="n">
        <v>0</v>
      </c>
      <c r="E66" s="26" t="n">
        <v>0</v>
      </c>
      <c r="F66" s="12" t="s">
        <v>1075</v>
      </c>
    </row>
    <row r="67" customFormat="false" ht="15" hidden="false" customHeight="true" outlineLevel="0" collapsed="false">
      <c r="A67" s="26" t="n">
        <v>64</v>
      </c>
      <c r="B67" s="26" t="s">
        <v>1211</v>
      </c>
      <c r="C67" s="26" t="s">
        <v>1212</v>
      </c>
      <c r="D67" s="26" t="n">
        <v>0</v>
      </c>
      <c r="E67" s="26" t="n">
        <v>0</v>
      </c>
      <c r="F67" s="12" t="s">
        <v>1075</v>
      </c>
    </row>
    <row r="68" customFormat="false" ht="15" hidden="false" customHeight="true" outlineLevel="0" collapsed="false">
      <c r="A68" s="26" t="n">
        <v>65</v>
      </c>
      <c r="B68" s="26" t="s">
        <v>1213</v>
      </c>
      <c r="C68" s="26" t="s">
        <v>1214</v>
      </c>
      <c r="D68" s="26" t="n">
        <v>0</v>
      </c>
      <c r="E68" s="26" t="n">
        <v>0</v>
      </c>
      <c r="F68" s="12" t="s">
        <v>1075</v>
      </c>
    </row>
    <row r="69" customFormat="false" ht="15" hidden="false" customHeight="true" outlineLevel="0" collapsed="false">
      <c r="A69" s="26" t="n">
        <v>66</v>
      </c>
      <c r="B69" s="26" t="s">
        <v>1215</v>
      </c>
      <c r="C69" s="26" t="s">
        <v>1216</v>
      </c>
      <c r="D69" s="26" t="n">
        <v>0</v>
      </c>
      <c r="E69" s="26" t="n">
        <v>0</v>
      </c>
      <c r="F69" s="12" t="s">
        <v>1075</v>
      </c>
    </row>
    <row r="70" customFormat="false" ht="15" hidden="false" customHeight="true" outlineLevel="0" collapsed="false">
      <c r="A70" s="26" t="n">
        <v>67</v>
      </c>
      <c r="B70" s="26" t="s">
        <v>1217</v>
      </c>
      <c r="C70" s="26" t="s">
        <v>1218</v>
      </c>
      <c r="D70" s="26" t="n">
        <v>0</v>
      </c>
      <c r="E70" s="26" t="n">
        <v>0</v>
      </c>
      <c r="F70" s="12" t="s">
        <v>1075</v>
      </c>
    </row>
    <row r="71" customFormat="false" ht="15" hidden="false" customHeight="true" outlineLevel="0" collapsed="false">
      <c r="A71" s="26" t="n">
        <v>68</v>
      </c>
      <c r="B71" s="26" t="s">
        <v>1219</v>
      </c>
      <c r="C71" s="26" t="s">
        <v>1220</v>
      </c>
      <c r="D71" s="26" t="n">
        <v>0</v>
      </c>
      <c r="E71" s="26" t="n">
        <v>0</v>
      </c>
      <c r="F71" s="12" t="s">
        <v>1075</v>
      </c>
    </row>
    <row r="72" customFormat="false" ht="15" hidden="false" customHeight="true" outlineLevel="0" collapsed="false">
      <c r="A72" s="26" t="n">
        <v>69</v>
      </c>
      <c r="B72" s="26" t="s">
        <v>1221</v>
      </c>
      <c r="C72" s="26" t="s">
        <v>1222</v>
      </c>
      <c r="D72" s="26" t="n">
        <v>0</v>
      </c>
      <c r="E72" s="26" t="n">
        <v>0</v>
      </c>
      <c r="F72" s="12" t="s">
        <v>1075</v>
      </c>
    </row>
    <row r="73" customFormat="false" ht="15" hidden="false" customHeight="true" outlineLevel="0" collapsed="false">
      <c r="A73" s="26" t="n">
        <v>70</v>
      </c>
      <c r="B73" s="26" t="s">
        <v>1223</v>
      </c>
      <c r="C73" s="26" t="s">
        <v>1222</v>
      </c>
      <c r="D73" s="26" t="n">
        <v>11</v>
      </c>
      <c r="E73" s="26" t="n">
        <v>2</v>
      </c>
      <c r="F73" s="12" t="s">
        <v>1187</v>
      </c>
    </row>
    <row r="74" customFormat="false" ht="15" hidden="false" customHeight="true" outlineLevel="0" collapsed="false">
      <c r="A74" s="26" t="n">
        <v>71</v>
      </c>
      <c r="B74" s="26" t="s">
        <v>1224</v>
      </c>
      <c r="C74" s="26" t="s">
        <v>1222</v>
      </c>
      <c r="D74" s="26" t="n">
        <v>11</v>
      </c>
      <c r="E74" s="26" t="n">
        <v>2</v>
      </c>
      <c r="F74" s="12" t="s">
        <v>1187</v>
      </c>
    </row>
    <row r="75" customFormat="false" ht="15" hidden="false" customHeight="true" outlineLevel="0" collapsed="false">
      <c r="A75" s="26" t="n">
        <v>72</v>
      </c>
      <c r="B75" s="26" t="s">
        <v>1225</v>
      </c>
      <c r="C75" s="26" t="s">
        <v>1222</v>
      </c>
      <c r="D75" s="26" t="n">
        <v>11</v>
      </c>
      <c r="E75" s="26" t="n">
        <v>2</v>
      </c>
      <c r="F75" s="12" t="s">
        <v>1187</v>
      </c>
    </row>
    <row r="76" customFormat="false" ht="15" hidden="false" customHeight="true" outlineLevel="0" collapsed="false">
      <c r="A76" s="26" t="n">
        <v>73</v>
      </c>
      <c r="B76" s="26" t="s">
        <v>1226</v>
      </c>
      <c r="C76" s="26" t="s">
        <v>1222</v>
      </c>
      <c r="D76" s="26" t="n">
        <v>11</v>
      </c>
      <c r="E76" s="26" t="n">
        <v>2</v>
      </c>
      <c r="F76" s="12" t="s">
        <v>1187</v>
      </c>
    </row>
    <row r="77" customFormat="false" ht="15" hidden="false" customHeight="true" outlineLevel="0" collapsed="false">
      <c r="A77" s="26" t="n">
        <v>74</v>
      </c>
      <c r="B77" s="26" t="s">
        <v>1227</v>
      </c>
      <c r="C77" s="26" t="s">
        <v>1228</v>
      </c>
      <c r="D77" s="26" t="n">
        <v>10</v>
      </c>
      <c r="E77" s="26" t="n">
        <v>5</v>
      </c>
      <c r="F77" s="12" t="s">
        <v>1229</v>
      </c>
    </row>
    <row r="78" customFormat="false" ht="15" hidden="false" customHeight="true" outlineLevel="0" collapsed="false">
      <c r="A78" s="26" t="n">
        <v>75</v>
      </c>
      <c r="B78" s="26" t="s">
        <v>1230</v>
      </c>
      <c r="C78" s="26" t="s">
        <v>1231</v>
      </c>
      <c r="D78" s="26" t="n">
        <v>2</v>
      </c>
      <c r="E78" s="26" t="n">
        <v>1</v>
      </c>
      <c r="F78" s="12" t="s">
        <v>1162</v>
      </c>
    </row>
    <row r="79" customFormat="false" ht="15" hidden="false" customHeight="true" outlineLevel="0" collapsed="false">
      <c r="A79" s="26" t="n">
        <v>76</v>
      </c>
      <c r="B79" s="26" t="s">
        <v>1232</v>
      </c>
      <c r="C79" s="26" t="s">
        <v>1233</v>
      </c>
      <c r="D79" s="26" t="n">
        <v>0</v>
      </c>
      <c r="E79" s="26" t="n">
        <v>0</v>
      </c>
      <c r="F79" s="12" t="s">
        <v>1075</v>
      </c>
    </row>
    <row r="80" customFormat="false" ht="15" hidden="false" customHeight="true" outlineLevel="0" collapsed="false">
      <c r="A80" s="26" t="n">
        <v>77</v>
      </c>
      <c r="B80" s="26" t="s">
        <v>1234</v>
      </c>
      <c r="C80" s="26" t="s">
        <v>1235</v>
      </c>
      <c r="D80" s="26" t="n">
        <v>0</v>
      </c>
      <c r="E80" s="26" t="n">
        <v>0</v>
      </c>
      <c r="F80" s="12" t="s">
        <v>1075</v>
      </c>
    </row>
    <row r="81" customFormat="false" ht="15" hidden="false" customHeight="true" outlineLevel="0" collapsed="false">
      <c r="A81" s="26" t="n">
        <v>78</v>
      </c>
      <c r="B81" s="26" t="s">
        <v>1236</v>
      </c>
      <c r="C81" s="26" t="s">
        <v>1237</v>
      </c>
      <c r="D81" s="26" t="n">
        <v>8</v>
      </c>
      <c r="E81" s="26" t="n">
        <v>4</v>
      </c>
      <c r="F81" s="12" t="s">
        <v>1238</v>
      </c>
    </row>
    <row r="82" customFormat="false" ht="15" hidden="false" customHeight="true" outlineLevel="0" collapsed="false">
      <c r="A82" s="26" t="n">
        <v>79</v>
      </c>
      <c r="B82" s="26" t="s">
        <v>1239</v>
      </c>
      <c r="C82" s="26" t="s">
        <v>1240</v>
      </c>
      <c r="D82" s="26" t="n">
        <v>3</v>
      </c>
      <c r="E82" s="26" t="n">
        <v>1</v>
      </c>
      <c r="F82" s="12" t="s">
        <v>1128</v>
      </c>
    </row>
    <row r="83" customFormat="false" ht="15" hidden="false" customHeight="true" outlineLevel="0" collapsed="false">
      <c r="A83" s="26" t="n">
        <v>80</v>
      </c>
      <c r="B83" s="26" t="s">
        <v>1241</v>
      </c>
      <c r="C83" s="26" t="s">
        <v>1242</v>
      </c>
      <c r="D83" s="26" t="n">
        <v>4</v>
      </c>
      <c r="E83" s="26" t="n">
        <v>2</v>
      </c>
      <c r="F83" s="12" t="s">
        <v>1243</v>
      </c>
    </row>
    <row r="84" customFormat="false" ht="15" hidden="false" customHeight="true" outlineLevel="0" collapsed="false">
      <c r="A84" s="26" t="n">
        <v>81</v>
      </c>
      <c r="B84" s="26" t="s">
        <v>1244</v>
      </c>
      <c r="C84" s="26" t="s">
        <v>1245</v>
      </c>
      <c r="D84" s="26" t="n">
        <v>6</v>
      </c>
      <c r="E84" s="26" t="n">
        <v>3</v>
      </c>
      <c r="F84" s="12" t="s">
        <v>1246</v>
      </c>
    </row>
    <row r="85" customFormat="false" ht="15" hidden="false" customHeight="true" outlineLevel="0" collapsed="false">
      <c r="A85" s="26" t="n">
        <v>82</v>
      </c>
      <c r="B85" s="26" t="s">
        <v>1247</v>
      </c>
      <c r="C85" s="26" t="s">
        <v>1248</v>
      </c>
      <c r="D85" s="26" t="n">
        <v>0</v>
      </c>
      <c r="E85" s="26" t="n">
        <v>0</v>
      </c>
      <c r="F85" s="12" t="s">
        <v>1075</v>
      </c>
    </row>
    <row r="86" customFormat="false" ht="15" hidden="false" customHeight="true" outlineLevel="0" collapsed="false">
      <c r="A86" s="26" t="n">
        <v>83</v>
      </c>
      <c r="B86" s="26" t="s">
        <v>1249</v>
      </c>
      <c r="C86" s="26" t="s">
        <v>1250</v>
      </c>
      <c r="D86" s="26" t="n">
        <v>0</v>
      </c>
      <c r="E86" s="26" t="n">
        <v>0</v>
      </c>
      <c r="F86" s="12" t="s">
        <v>1075</v>
      </c>
    </row>
    <row r="87" customFormat="false" ht="15" hidden="false" customHeight="true" outlineLevel="0" collapsed="false">
      <c r="A87" s="26" t="n">
        <v>84</v>
      </c>
      <c r="B87" s="26" t="s">
        <v>1251</v>
      </c>
      <c r="C87" s="26" t="s">
        <v>1252</v>
      </c>
      <c r="D87" s="26" t="n">
        <v>0</v>
      </c>
      <c r="E87" s="26" t="n">
        <v>0</v>
      </c>
      <c r="F87" s="12" t="s">
        <v>1075</v>
      </c>
    </row>
    <row r="88" customFormat="false" ht="15" hidden="false" customHeight="true" outlineLevel="0" collapsed="false">
      <c r="A88" s="26" t="n">
        <v>85</v>
      </c>
      <c r="B88" s="26" t="s">
        <v>1253</v>
      </c>
      <c r="C88" s="26" t="s">
        <v>1254</v>
      </c>
      <c r="D88" s="26" t="n">
        <v>0</v>
      </c>
      <c r="E88" s="26" t="n">
        <v>0</v>
      </c>
      <c r="F88" s="12" t="s">
        <v>1075</v>
      </c>
    </row>
    <row r="89" customFormat="false" ht="15" hidden="false" customHeight="true" outlineLevel="0" collapsed="false">
      <c r="A89" s="26" t="n">
        <v>86</v>
      </c>
      <c r="B89" s="26" t="s">
        <v>1255</v>
      </c>
      <c r="C89" s="26" t="s">
        <v>1256</v>
      </c>
      <c r="D89" s="26" t="n">
        <v>0</v>
      </c>
      <c r="E89" s="26" t="n">
        <v>0</v>
      </c>
      <c r="F89" s="12" t="s">
        <v>1075</v>
      </c>
    </row>
    <row r="90" customFormat="false" ht="15" hidden="false" customHeight="true" outlineLevel="0" collapsed="false">
      <c r="A90" s="26" t="n">
        <v>87</v>
      </c>
      <c r="B90" s="26" t="s">
        <v>1257</v>
      </c>
      <c r="C90" s="26" t="s">
        <v>1258</v>
      </c>
      <c r="D90" s="26" t="n">
        <v>1</v>
      </c>
      <c r="E90" s="26" t="n">
        <v>1</v>
      </c>
      <c r="F90" s="12" t="s">
        <v>1259</v>
      </c>
    </row>
    <row r="91" customFormat="false" ht="15" hidden="false" customHeight="true" outlineLevel="0" collapsed="false">
      <c r="A91" s="26" t="n">
        <v>88</v>
      </c>
      <c r="B91" s="26" t="s">
        <v>1260</v>
      </c>
      <c r="C91" s="26" t="s">
        <v>1254</v>
      </c>
      <c r="D91" s="26" t="n">
        <v>0</v>
      </c>
      <c r="E91" s="26" t="n">
        <v>0</v>
      </c>
      <c r="F91" s="12" t="s">
        <v>1075</v>
      </c>
    </row>
    <row r="92" customFormat="false" ht="15" hidden="false" customHeight="true" outlineLevel="0" collapsed="false">
      <c r="A92" s="26" t="n">
        <v>89</v>
      </c>
      <c r="B92" s="26" t="s">
        <v>1261</v>
      </c>
      <c r="C92" s="26" t="s">
        <v>1262</v>
      </c>
      <c r="D92" s="26" t="n">
        <v>0</v>
      </c>
      <c r="E92" s="26" t="n">
        <v>0</v>
      </c>
      <c r="F92" s="12" t="s">
        <v>1075</v>
      </c>
    </row>
    <row r="93" customFormat="false" ht="15" hidden="false" customHeight="true" outlineLevel="0" collapsed="false">
      <c r="A93" s="26" t="n">
        <v>90</v>
      </c>
      <c r="B93" s="26" t="s">
        <v>1263</v>
      </c>
      <c r="C93" s="26" t="s">
        <v>1264</v>
      </c>
      <c r="D93" s="26" t="n">
        <v>0</v>
      </c>
      <c r="E93" s="26" t="n">
        <v>0</v>
      </c>
      <c r="F93" s="12" t="s">
        <v>1075</v>
      </c>
    </row>
    <row r="94" customFormat="false" ht="15" hidden="false" customHeight="true" outlineLevel="0" collapsed="false">
      <c r="A94" s="26" t="n">
        <v>91</v>
      </c>
      <c r="B94" s="26" t="s">
        <v>1265</v>
      </c>
      <c r="C94" s="26" t="s">
        <v>1266</v>
      </c>
      <c r="D94" s="26" t="n">
        <v>0</v>
      </c>
      <c r="E94" s="26" t="n">
        <v>0</v>
      </c>
      <c r="F94" s="12" t="s">
        <v>1075</v>
      </c>
    </row>
    <row r="95" customFormat="false" ht="15" hidden="false" customHeight="true" outlineLevel="0" collapsed="false">
      <c r="A95" s="26" t="n">
        <v>92</v>
      </c>
      <c r="B95" s="26" t="s">
        <v>1267</v>
      </c>
      <c r="C95" s="26" t="s">
        <v>1268</v>
      </c>
      <c r="D95" s="26" t="n">
        <v>0</v>
      </c>
      <c r="E95" s="26" t="n">
        <v>0</v>
      </c>
      <c r="F95" s="12" t="s">
        <v>1075</v>
      </c>
    </row>
    <row r="96" customFormat="false" ht="15" hidden="false" customHeight="true" outlineLevel="0" collapsed="false">
      <c r="A96" s="26" t="n">
        <v>93</v>
      </c>
      <c r="B96" s="26" t="s">
        <v>1269</v>
      </c>
      <c r="C96" s="26" t="s">
        <v>1270</v>
      </c>
      <c r="D96" s="26" t="n">
        <v>0</v>
      </c>
      <c r="E96" s="26" t="n">
        <v>0</v>
      </c>
      <c r="F96" s="12" t="s">
        <v>1075</v>
      </c>
    </row>
    <row r="97" customFormat="false" ht="15" hidden="false" customHeight="true" outlineLevel="0" collapsed="false">
      <c r="A97" s="26" t="n">
        <v>94</v>
      </c>
      <c r="B97" s="26" t="s">
        <v>1271</v>
      </c>
      <c r="C97" s="26" t="s">
        <v>1272</v>
      </c>
      <c r="D97" s="26" t="n">
        <v>0</v>
      </c>
      <c r="E97" s="26" t="n">
        <v>0</v>
      </c>
      <c r="F97" s="12" t="s">
        <v>1075</v>
      </c>
    </row>
    <row r="98" customFormat="false" ht="15" hidden="false" customHeight="true" outlineLevel="0" collapsed="false">
      <c r="A98" s="26" t="n">
        <v>95</v>
      </c>
      <c r="B98" s="26" t="s">
        <v>1273</v>
      </c>
      <c r="C98" s="26" t="s">
        <v>1274</v>
      </c>
      <c r="D98" s="26" t="n">
        <v>0</v>
      </c>
      <c r="E98" s="26" t="n">
        <v>0</v>
      </c>
      <c r="F98" s="12" t="s">
        <v>1075</v>
      </c>
    </row>
    <row r="99" customFormat="false" ht="15" hidden="false" customHeight="true" outlineLevel="0" collapsed="false">
      <c r="A99" s="26" t="n">
        <v>96</v>
      </c>
      <c r="B99" s="26" t="s">
        <v>1275</v>
      </c>
      <c r="C99" s="26" t="s">
        <v>1276</v>
      </c>
      <c r="D99" s="26" t="n">
        <v>0</v>
      </c>
      <c r="E99" s="26" t="n">
        <v>0</v>
      </c>
      <c r="F99" s="12" t="s">
        <v>1075</v>
      </c>
    </row>
    <row r="100" customFormat="false" ht="15" hidden="false" customHeight="true" outlineLevel="0" collapsed="false">
      <c r="A100" s="26" t="n">
        <v>97</v>
      </c>
      <c r="B100" s="26" t="s">
        <v>1277</v>
      </c>
      <c r="C100" s="26" t="s">
        <v>1278</v>
      </c>
      <c r="D100" s="26" t="n">
        <v>0</v>
      </c>
      <c r="E100" s="26" t="n">
        <v>0</v>
      </c>
      <c r="F100" s="12" t="s">
        <v>1075</v>
      </c>
    </row>
    <row r="101" customFormat="false" ht="15" hidden="false" customHeight="true" outlineLevel="0" collapsed="false">
      <c r="A101" s="26" t="n">
        <v>98</v>
      </c>
      <c r="B101" s="26" t="s">
        <v>1279</v>
      </c>
      <c r="C101" s="26" t="s">
        <v>1280</v>
      </c>
      <c r="D101" s="26" t="n">
        <v>4</v>
      </c>
      <c r="E101" s="26" t="n">
        <v>2</v>
      </c>
      <c r="F101" s="12" t="s">
        <v>1281</v>
      </c>
    </row>
    <row r="102" customFormat="false" ht="15" hidden="false" customHeight="true" outlineLevel="0" collapsed="false">
      <c r="A102" s="26" t="n">
        <v>99</v>
      </c>
      <c r="B102" s="26" t="s">
        <v>1282</v>
      </c>
      <c r="C102" s="26" t="s">
        <v>1283</v>
      </c>
      <c r="D102" s="26" t="n">
        <v>4</v>
      </c>
      <c r="E102" s="26" t="n">
        <v>2</v>
      </c>
      <c r="F102" s="12" t="s">
        <v>1281</v>
      </c>
    </row>
    <row r="103" customFormat="false" ht="15" hidden="false" customHeight="true" outlineLevel="0" collapsed="false">
      <c r="A103" s="26" t="n">
        <v>100</v>
      </c>
      <c r="B103" s="26" t="s">
        <v>1284</v>
      </c>
      <c r="C103" s="26" t="s">
        <v>1285</v>
      </c>
      <c r="D103" s="26" t="n">
        <v>4</v>
      </c>
      <c r="E103" s="26" t="n">
        <v>2</v>
      </c>
      <c r="F103" s="12" t="s">
        <v>1281</v>
      </c>
    </row>
    <row r="104" customFormat="false" ht="15" hidden="false" customHeight="true" outlineLevel="0" collapsed="false">
      <c r="A104" s="26" t="n">
        <v>101</v>
      </c>
      <c r="B104" s="26" t="s">
        <v>1286</v>
      </c>
      <c r="C104" s="26" t="s">
        <v>1287</v>
      </c>
      <c r="D104" s="26" t="n">
        <v>0</v>
      </c>
      <c r="E104" s="26" t="n">
        <v>0</v>
      </c>
      <c r="F104" s="12" t="s">
        <v>1075</v>
      </c>
    </row>
    <row r="105" customFormat="false" ht="15" hidden="false" customHeight="true" outlineLevel="0" collapsed="false">
      <c r="A105" s="26" t="n">
        <v>102</v>
      </c>
      <c r="B105" s="26" t="s">
        <v>1288</v>
      </c>
      <c r="C105" s="26" t="s">
        <v>1289</v>
      </c>
      <c r="D105" s="26" t="n">
        <v>0</v>
      </c>
      <c r="E105" s="26" t="n">
        <v>0</v>
      </c>
      <c r="F105" s="12" t="s">
        <v>1075</v>
      </c>
    </row>
    <row r="106" customFormat="false" ht="15" hidden="false" customHeight="true" outlineLevel="0" collapsed="false">
      <c r="A106" s="26" t="n">
        <v>103</v>
      </c>
      <c r="B106" s="26" t="s">
        <v>1290</v>
      </c>
      <c r="C106" s="26" t="s">
        <v>1291</v>
      </c>
      <c r="D106" s="26" t="n">
        <v>0</v>
      </c>
      <c r="E106" s="26" t="n">
        <v>0</v>
      </c>
      <c r="F106" s="12" t="s">
        <v>1075</v>
      </c>
    </row>
    <row r="107" customFormat="false" ht="15" hidden="false" customHeight="true" outlineLevel="0" collapsed="false">
      <c r="A107" s="26" t="n">
        <v>104</v>
      </c>
      <c r="B107" s="26" t="s">
        <v>1292</v>
      </c>
      <c r="C107" s="26" t="s">
        <v>1293</v>
      </c>
      <c r="D107" s="26" t="n">
        <v>0</v>
      </c>
      <c r="E107" s="26" t="n">
        <v>0</v>
      </c>
      <c r="F107" s="12" t="s">
        <v>1075</v>
      </c>
    </row>
    <row r="108" customFormat="false" ht="15" hidden="false" customHeight="true" outlineLevel="0" collapsed="false">
      <c r="A108" s="26" t="n">
        <v>105</v>
      </c>
      <c r="B108" s="26" t="s">
        <v>1294</v>
      </c>
      <c r="C108" s="26" t="s">
        <v>1295</v>
      </c>
      <c r="D108" s="26" t="n">
        <v>0</v>
      </c>
      <c r="E108" s="26" t="n">
        <v>0</v>
      </c>
      <c r="F108" s="12" t="s">
        <v>1075</v>
      </c>
    </row>
    <row r="109" customFormat="false" ht="15" hidden="false" customHeight="true" outlineLevel="0" collapsed="false">
      <c r="A109" s="26" t="n">
        <v>106</v>
      </c>
      <c r="B109" s="26" t="s">
        <v>1296</v>
      </c>
      <c r="C109" s="26" t="s">
        <v>1297</v>
      </c>
      <c r="D109" s="26" t="n">
        <v>0</v>
      </c>
      <c r="E109" s="26" t="n">
        <v>0</v>
      </c>
      <c r="F109" s="12" t="s">
        <v>1075</v>
      </c>
    </row>
    <row r="110" customFormat="false" ht="15" hidden="false" customHeight="true" outlineLevel="0" collapsed="false">
      <c r="A110" s="26" t="n">
        <v>107</v>
      </c>
      <c r="B110" s="26" t="s">
        <v>1298</v>
      </c>
      <c r="C110" s="26" t="s">
        <v>1299</v>
      </c>
      <c r="D110" s="26" t="n">
        <v>0</v>
      </c>
      <c r="E110" s="26" t="n">
        <v>0</v>
      </c>
      <c r="F110" s="12" t="s">
        <v>1075</v>
      </c>
    </row>
    <row r="111" customFormat="false" ht="15" hidden="false" customHeight="true" outlineLevel="0" collapsed="false">
      <c r="A111" s="26" t="n">
        <v>108</v>
      </c>
      <c r="B111" s="26" t="s">
        <v>1300</v>
      </c>
      <c r="C111" s="26" t="s">
        <v>1301</v>
      </c>
      <c r="D111" s="26" t="n">
        <v>0</v>
      </c>
      <c r="E111" s="26" t="n">
        <v>0</v>
      </c>
      <c r="F111" s="12" t="s">
        <v>1075</v>
      </c>
    </row>
    <row r="112" customFormat="false" ht="15" hidden="false" customHeight="true" outlineLevel="0" collapsed="false">
      <c r="A112" s="26" t="n">
        <v>109</v>
      </c>
      <c r="B112" s="26" t="s">
        <v>1302</v>
      </c>
      <c r="C112" s="26" t="s">
        <v>1303</v>
      </c>
      <c r="D112" s="26" t="n">
        <v>133</v>
      </c>
      <c r="E112" s="26" t="n">
        <v>8</v>
      </c>
      <c r="F112" s="12" t="s">
        <v>1304</v>
      </c>
    </row>
    <row r="113" customFormat="false" ht="15" hidden="false" customHeight="true" outlineLevel="0" collapsed="false">
      <c r="A113" s="26" t="n">
        <v>110</v>
      </c>
      <c r="B113" s="26" t="s">
        <v>1305</v>
      </c>
      <c r="C113" s="26" t="s">
        <v>1306</v>
      </c>
      <c r="D113" s="26" t="n">
        <v>0</v>
      </c>
      <c r="E113" s="26" t="n">
        <v>0</v>
      </c>
      <c r="F113" s="12" t="s">
        <v>1075</v>
      </c>
    </row>
    <row r="114" customFormat="false" ht="15" hidden="false" customHeight="true" outlineLevel="0" collapsed="false">
      <c r="A114" s="26" t="n">
        <v>111</v>
      </c>
      <c r="B114" s="26" t="s">
        <v>1307</v>
      </c>
      <c r="C114" s="26" t="s">
        <v>1308</v>
      </c>
      <c r="D114" s="26" t="n">
        <v>1</v>
      </c>
      <c r="E114" s="26" t="n">
        <v>1</v>
      </c>
      <c r="F114" s="12" t="s">
        <v>1309</v>
      </c>
    </row>
    <row r="115" customFormat="false" ht="15" hidden="false" customHeight="true" outlineLevel="0" collapsed="false">
      <c r="A115" s="26" t="n">
        <v>112</v>
      </c>
      <c r="B115" s="26" t="s">
        <v>1310</v>
      </c>
      <c r="C115" s="26" t="s">
        <v>1311</v>
      </c>
      <c r="D115" s="26" t="n">
        <v>1</v>
      </c>
      <c r="E115" s="26" t="n">
        <v>1</v>
      </c>
      <c r="F115" s="12" t="s">
        <v>1309</v>
      </c>
    </row>
    <row r="116" customFormat="false" ht="15" hidden="false" customHeight="true" outlineLevel="0" collapsed="false">
      <c r="A116" s="26" t="n">
        <v>113</v>
      </c>
      <c r="B116" s="26" t="s">
        <v>1312</v>
      </c>
      <c r="C116" s="26" t="s">
        <v>1313</v>
      </c>
      <c r="D116" s="26" t="n">
        <v>1</v>
      </c>
      <c r="E116" s="26" t="n">
        <v>1</v>
      </c>
      <c r="F116" s="12" t="s">
        <v>1309</v>
      </c>
    </row>
    <row r="117" customFormat="false" ht="15" hidden="false" customHeight="true" outlineLevel="0" collapsed="false">
      <c r="A117" s="26" t="n">
        <v>114</v>
      </c>
      <c r="B117" s="26" t="s">
        <v>670</v>
      </c>
      <c r="C117" s="26" t="s">
        <v>1314</v>
      </c>
      <c r="D117" s="26" t="n">
        <v>0</v>
      </c>
      <c r="E117" s="26" t="n">
        <v>0</v>
      </c>
      <c r="F117" s="12" t="s">
        <v>1075</v>
      </c>
    </row>
    <row r="118" customFormat="false" ht="15" hidden="false" customHeight="true" outlineLevel="0" collapsed="false">
      <c r="A118" s="26" t="n">
        <v>115</v>
      </c>
      <c r="B118" s="26" t="s">
        <v>1315</v>
      </c>
      <c r="C118" s="26" t="s">
        <v>1316</v>
      </c>
      <c r="D118" s="26" t="n">
        <v>0</v>
      </c>
      <c r="E118" s="26" t="n">
        <v>0</v>
      </c>
      <c r="F118" s="12" t="s">
        <v>1075</v>
      </c>
    </row>
    <row r="119" customFormat="false" ht="15" hidden="false" customHeight="true" outlineLevel="0" collapsed="false">
      <c r="A119" s="26" t="n">
        <v>116</v>
      </c>
      <c r="B119" s="26" t="s">
        <v>1317</v>
      </c>
      <c r="C119" s="26" t="s">
        <v>1318</v>
      </c>
      <c r="D119" s="26" t="n">
        <v>0</v>
      </c>
      <c r="E119" s="26" t="n">
        <v>0</v>
      </c>
      <c r="F119" s="12" t="s">
        <v>1075</v>
      </c>
    </row>
    <row r="120" customFormat="false" ht="15" hidden="false" customHeight="true" outlineLevel="0" collapsed="false">
      <c r="A120" s="26" t="n">
        <v>117</v>
      </c>
      <c r="B120" s="26" t="s">
        <v>1319</v>
      </c>
      <c r="C120" s="26" t="s">
        <v>1320</v>
      </c>
      <c r="D120" s="26" t="n">
        <v>0</v>
      </c>
      <c r="E120" s="26" t="n">
        <v>0</v>
      </c>
      <c r="F120" s="12" t="s">
        <v>1075</v>
      </c>
    </row>
    <row r="121" customFormat="false" ht="15" hidden="false" customHeight="true" outlineLevel="0" collapsed="false">
      <c r="A121" s="26" t="n">
        <v>118</v>
      </c>
      <c r="B121" s="26" t="s">
        <v>1321</v>
      </c>
      <c r="C121" s="26" t="s">
        <v>1322</v>
      </c>
      <c r="D121" s="26" t="n">
        <v>0</v>
      </c>
      <c r="E121" s="26" t="n">
        <v>0</v>
      </c>
      <c r="F121" s="12" t="s">
        <v>1075</v>
      </c>
    </row>
    <row r="122" customFormat="false" ht="15" hidden="false" customHeight="true" outlineLevel="0" collapsed="false">
      <c r="A122" s="26" t="n">
        <v>119</v>
      </c>
      <c r="B122" s="26" t="s">
        <v>1323</v>
      </c>
      <c r="C122" s="26" t="s">
        <v>1324</v>
      </c>
      <c r="D122" s="26" t="n">
        <v>0</v>
      </c>
      <c r="E122" s="26" t="n">
        <v>0</v>
      </c>
      <c r="F122" s="12" t="s">
        <v>1075</v>
      </c>
    </row>
    <row r="123" customFormat="false" ht="15" hidden="false" customHeight="true" outlineLevel="0" collapsed="false">
      <c r="A123" s="26" t="n">
        <v>120</v>
      </c>
      <c r="B123" s="26" t="s">
        <v>1325</v>
      </c>
      <c r="C123" s="26" t="s">
        <v>1326</v>
      </c>
      <c r="D123" s="26" t="n">
        <v>0</v>
      </c>
      <c r="E123" s="26" t="n">
        <v>0</v>
      </c>
      <c r="F123" s="12" t="s">
        <v>1075</v>
      </c>
    </row>
    <row r="124" customFormat="false" ht="15" hidden="false" customHeight="true" outlineLevel="0" collapsed="false">
      <c r="A124" s="26" t="n">
        <v>121</v>
      </c>
      <c r="B124" s="26" t="s">
        <v>1327</v>
      </c>
      <c r="C124" s="26" t="s">
        <v>1328</v>
      </c>
      <c r="D124" s="26" t="n">
        <v>0</v>
      </c>
      <c r="E124" s="26" t="n">
        <v>0</v>
      </c>
      <c r="F124" s="12" t="s">
        <v>1075</v>
      </c>
    </row>
    <row r="125" customFormat="false" ht="15" hidden="false" customHeight="true" outlineLevel="0" collapsed="false">
      <c r="A125" s="26" t="n">
        <v>122</v>
      </c>
      <c r="B125" s="26" t="s">
        <v>1329</v>
      </c>
      <c r="C125" s="26" t="s">
        <v>1330</v>
      </c>
      <c r="D125" s="26" t="n">
        <v>9</v>
      </c>
      <c r="E125" s="26" t="n">
        <v>1</v>
      </c>
      <c r="F125" s="12" t="s">
        <v>1331</v>
      </c>
    </row>
    <row r="126" customFormat="false" ht="15" hidden="false" customHeight="true" outlineLevel="0" collapsed="false">
      <c r="A126" s="26" t="n">
        <v>123</v>
      </c>
      <c r="B126" s="26" t="s">
        <v>1332</v>
      </c>
      <c r="C126" s="26" t="s">
        <v>1333</v>
      </c>
      <c r="D126" s="26" t="n">
        <v>0</v>
      </c>
      <c r="E126" s="26" t="n">
        <v>0</v>
      </c>
      <c r="F126" s="12" t="s">
        <v>1075</v>
      </c>
    </row>
    <row r="127" customFormat="false" ht="15" hidden="false" customHeight="true" outlineLevel="0" collapsed="false">
      <c r="A127" s="26" t="n">
        <v>124</v>
      </c>
      <c r="B127" s="26" t="s">
        <v>730</v>
      </c>
      <c r="C127" s="26" t="s">
        <v>1334</v>
      </c>
      <c r="D127" s="26" t="n">
        <v>9</v>
      </c>
      <c r="E127" s="26" t="n">
        <v>1</v>
      </c>
      <c r="F127" s="12" t="s">
        <v>1331</v>
      </c>
    </row>
    <row r="128" customFormat="false" ht="15" hidden="false" customHeight="true" outlineLevel="0" collapsed="false">
      <c r="A128" s="26" t="n">
        <v>125</v>
      </c>
      <c r="B128" s="26" t="s">
        <v>1335</v>
      </c>
      <c r="C128" s="26" t="s">
        <v>1336</v>
      </c>
      <c r="D128" s="26" t="n">
        <v>0</v>
      </c>
      <c r="E128" s="26" t="n">
        <v>0</v>
      </c>
      <c r="F128" s="12" t="s">
        <v>1075</v>
      </c>
    </row>
    <row r="129" customFormat="false" ht="15" hidden="false" customHeight="true" outlineLevel="0" collapsed="false">
      <c r="A129" s="26" t="n">
        <v>126</v>
      </c>
      <c r="B129" s="26" t="s">
        <v>1337</v>
      </c>
      <c r="C129" s="26" t="s">
        <v>1338</v>
      </c>
      <c r="D129" s="26" t="n">
        <v>3</v>
      </c>
      <c r="E129" s="26" t="n">
        <v>1</v>
      </c>
      <c r="F129" s="12" t="s">
        <v>1128</v>
      </c>
    </row>
    <row r="130" customFormat="false" ht="15" hidden="false" customHeight="true" outlineLevel="0" collapsed="false">
      <c r="A130" s="26" t="n">
        <v>127</v>
      </c>
      <c r="B130" s="26" t="s">
        <v>1339</v>
      </c>
      <c r="C130" s="26" t="s">
        <v>1340</v>
      </c>
      <c r="D130" s="26" t="n">
        <v>0</v>
      </c>
      <c r="E130" s="26" t="n">
        <v>0</v>
      </c>
      <c r="F130" s="12" t="s">
        <v>1075</v>
      </c>
    </row>
    <row r="131" customFormat="false" ht="15" hidden="false" customHeight="true" outlineLevel="0" collapsed="false">
      <c r="A131" s="26" t="n">
        <v>128</v>
      </c>
      <c r="B131" s="26" t="s">
        <v>1341</v>
      </c>
      <c r="C131" s="26" t="s">
        <v>1342</v>
      </c>
      <c r="D131" s="26" t="n">
        <v>0</v>
      </c>
      <c r="E131" s="26" t="n">
        <v>0</v>
      </c>
      <c r="F131" s="12" t="s">
        <v>1075</v>
      </c>
    </row>
    <row r="132" customFormat="false" ht="15" hidden="false" customHeight="true" outlineLevel="0" collapsed="false">
      <c r="A132" s="26" t="n">
        <v>129</v>
      </c>
      <c r="B132" s="26" t="s">
        <v>1343</v>
      </c>
      <c r="C132" s="26" t="s">
        <v>1344</v>
      </c>
      <c r="D132" s="26" t="n">
        <v>0</v>
      </c>
      <c r="E132" s="26" t="n">
        <v>0</v>
      </c>
      <c r="F132" s="12" t="s">
        <v>1075</v>
      </c>
    </row>
    <row r="133" customFormat="false" ht="15" hidden="false" customHeight="true" outlineLevel="0" collapsed="false">
      <c r="A133" s="26" t="n">
        <v>130</v>
      </c>
      <c r="B133" s="26" t="s">
        <v>1345</v>
      </c>
      <c r="C133" s="26" t="s">
        <v>1346</v>
      </c>
      <c r="D133" s="26" t="n">
        <v>0</v>
      </c>
      <c r="E133" s="26" t="n">
        <v>0</v>
      </c>
      <c r="F133" s="12" t="s">
        <v>1075</v>
      </c>
    </row>
    <row r="134" customFormat="false" ht="15" hidden="false" customHeight="true" outlineLevel="0" collapsed="false">
      <c r="A134" s="26" t="n">
        <v>131</v>
      </c>
      <c r="B134" s="26" t="s">
        <v>719</v>
      </c>
      <c r="C134" s="26" t="s">
        <v>722</v>
      </c>
      <c r="D134" s="26" t="n">
        <v>0</v>
      </c>
      <c r="E134" s="26" t="n">
        <v>0</v>
      </c>
      <c r="F134" s="12" t="s">
        <v>1075</v>
      </c>
    </row>
    <row r="135" customFormat="false" ht="15" hidden="false" customHeight="true" outlineLevel="0" collapsed="false">
      <c r="A135" s="26" t="n">
        <v>132</v>
      </c>
      <c r="B135" s="26" t="s">
        <v>1347</v>
      </c>
      <c r="C135" s="26" t="s">
        <v>1348</v>
      </c>
      <c r="D135" s="26" t="n">
        <v>0</v>
      </c>
      <c r="E135" s="26" t="n">
        <v>0</v>
      </c>
      <c r="F135" s="12" t="s">
        <v>1075</v>
      </c>
    </row>
    <row r="136" customFormat="false" ht="15" hidden="false" customHeight="true" outlineLevel="0" collapsed="false">
      <c r="A136" s="26" t="n">
        <v>133</v>
      </c>
      <c r="B136" s="26" t="s">
        <v>1349</v>
      </c>
      <c r="C136" s="26" t="s">
        <v>1350</v>
      </c>
      <c r="D136" s="26" t="n">
        <v>0</v>
      </c>
      <c r="E136" s="26" t="n">
        <v>0</v>
      </c>
      <c r="F136" s="12" t="s">
        <v>1075</v>
      </c>
    </row>
    <row r="137" customFormat="false" ht="15" hidden="false" customHeight="true" outlineLevel="0" collapsed="false">
      <c r="A137" s="26" t="n">
        <v>134</v>
      </c>
      <c r="B137" s="26" t="s">
        <v>1351</v>
      </c>
      <c r="C137" s="26" t="s">
        <v>1352</v>
      </c>
      <c r="D137" s="26" t="n">
        <v>0</v>
      </c>
      <c r="E137" s="26" t="n">
        <v>0</v>
      </c>
      <c r="F137" s="12" t="s">
        <v>1075</v>
      </c>
    </row>
    <row r="138" customFormat="false" ht="15" hidden="false" customHeight="true" outlineLevel="0" collapsed="false">
      <c r="A138" s="26" t="n">
        <v>135</v>
      </c>
      <c r="B138" s="26" t="s">
        <v>1353</v>
      </c>
      <c r="C138" s="26" t="s">
        <v>1354</v>
      </c>
      <c r="D138" s="26" t="n">
        <v>0</v>
      </c>
      <c r="E138" s="26" t="n">
        <v>0</v>
      </c>
      <c r="F138" s="12" t="s">
        <v>1075</v>
      </c>
    </row>
    <row r="139" customFormat="false" ht="15" hidden="false" customHeight="true" outlineLevel="0" collapsed="false">
      <c r="A139" s="26" t="n">
        <v>136</v>
      </c>
      <c r="B139" s="26" t="s">
        <v>1355</v>
      </c>
      <c r="C139" s="26" t="s">
        <v>1356</v>
      </c>
      <c r="D139" s="26" t="n">
        <v>0</v>
      </c>
      <c r="E139" s="26" t="n">
        <v>0</v>
      </c>
      <c r="F139" s="12" t="s">
        <v>1075</v>
      </c>
    </row>
    <row r="140" customFormat="false" ht="15" hidden="false" customHeight="true" outlineLevel="0" collapsed="false">
      <c r="A140" s="26" t="n">
        <v>137</v>
      </c>
      <c r="B140" s="26" t="s">
        <v>1357</v>
      </c>
      <c r="C140" s="26" t="s">
        <v>1358</v>
      </c>
      <c r="D140" s="26" t="n">
        <v>0</v>
      </c>
      <c r="E140" s="26" t="n">
        <v>0</v>
      </c>
      <c r="F140" s="12" t="s">
        <v>1075</v>
      </c>
    </row>
    <row r="141" customFormat="false" ht="15" hidden="false" customHeight="true" outlineLevel="0" collapsed="false">
      <c r="A141" s="26" t="n">
        <v>138</v>
      </c>
      <c r="B141" s="26" t="s">
        <v>1359</v>
      </c>
      <c r="C141" s="26"/>
      <c r="D141" s="26" t="n">
        <v>0</v>
      </c>
      <c r="E141" s="26" t="n">
        <v>0</v>
      </c>
      <c r="F141" s="12" t="s">
        <v>1075</v>
      </c>
    </row>
    <row r="142" customFormat="false" ht="15" hidden="false" customHeight="true" outlineLevel="0" collapsed="false">
      <c r="A142" s="26" t="n">
        <v>139</v>
      </c>
      <c r="B142" s="26" t="s">
        <v>1360</v>
      </c>
      <c r="C142" s="26"/>
      <c r="D142" s="26" t="n">
        <v>0</v>
      </c>
      <c r="E142" s="26" t="n">
        <v>0</v>
      </c>
      <c r="F142" s="12" t="s">
        <v>1075</v>
      </c>
    </row>
    <row r="143" customFormat="false" ht="15" hidden="false" customHeight="true" outlineLevel="0" collapsed="false">
      <c r="A143" s="26" t="n">
        <v>140</v>
      </c>
      <c r="B143" s="26" t="s">
        <v>1361</v>
      </c>
      <c r="C143" s="26"/>
      <c r="D143" s="26" t="n">
        <v>0</v>
      </c>
      <c r="E143" s="26" t="n">
        <v>0</v>
      </c>
      <c r="F143" s="12" t="s">
        <v>1075</v>
      </c>
    </row>
    <row r="144" customFormat="false" ht="15" hidden="false" customHeight="true" outlineLevel="0" collapsed="false">
      <c r="A144" s="26" t="n">
        <v>141</v>
      </c>
      <c r="B144" s="26" t="s">
        <v>1362</v>
      </c>
      <c r="C144" s="26"/>
      <c r="D144" s="26" t="n">
        <v>0</v>
      </c>
      <c r="E144" s="26" t="n">
        <v>0</v>
      </c>
      <c r="F144" s="12" t="s">
        <v>1075</v>
      </c>
    </row>
    <row r="145" customFormat="false" ht="15" hidden="false" customHeight="false" outlineLevel="0" collapsed="false">
      <c r="A145" s="26" t="n">
        <v>142</v>
      </c>
      <c r="B145" s="26" t="s">
        <v>1363</v>
      </c>
      <c r="C145" s="26" t="s">
        <v>763</v>
      </c>
      <c r="D145" s="26" t="n">
        <v>4</v>
      </c>
      <c r="E145" s="26" t="n">
        <v>1</v>
      </c>
      <c r="F145" s="12" t="s">
        <v>1364</v>
      </c>
    </row>
    <row r="146" customFormat="false" ht="15" hidden="false" customHeight="false" outlineLevel="0" collapsed="false">
      <c r="A146" s="26" t="n">
        <v>143</v>
      </c>
      <c r="B146" s="26" t="s">
        <v>1365</v>
      </c>
      <c r="C146" s="26" t="s">
        <v>1366</v>
      </c>
      <c r="D146" s="26" t="n">
        <v>40</v>
      </c>
      <c r="E146" s="26" t="n">
        <v>1</v>
      </c>
      <c r="F146" s="12" t="s">
        <v>1367</v>
      </c>
    </row>
    <row r="147" customFormat="false" ht="15" hidden="false" customHeight="false" outlineLevel="0" collapsed="false">
      <c r="A147" s="26" t="n">
        <v>144</v>
      </c>
      <c r="B147" s="26" t="s">
        <v>1368</v>
      </c>
      <c r="C147" s="26" t="s">
        <v>1369</v>
      </c>
      <c r="D147" s="26" t="n">
        <v>14</v>
      </c>
      <c r="E147" s="26" t="n">
        <v>1</v>
      </c>
      <c r="F147" s="12" t="s">
        <v>1370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1371</v>
      </c>
      <c r="F1" s="27" t="s">
        <v>1372</v>
      </c>
      <c r="G1" s="27" t="s">
        <v>1373</v>
      </c>
      <c r="H1" s="27" t="s">
        <v>1374</v>
      </c>
      <c r="I1" s="27" t="s">
        <v>1375</v>
      </c>
      <c r="J1" s="27" t="s">
        <v>1376</v>
      </c>
      <c r="K1" s="28" t="s">
        <v>1377</v>
      </c>
      <c r="L1" s="22" t="s">
        <v>1378</v>
      </c>
      <c r="M1" s="22" t="s">
        <v>1379</v>
      </c>
      <c r="N1" s="22" t="s">
        <v>143</v>
      </c>
    </row>
    <row r="2" customFormat="false" ht="15" hidden="false" customHeight="true" outlineLevel="0" collapsed="false">
      <c r="A2" s="5" t="n">
        <v>164</v>
      </c>
      <c r="B2" s="5" t="n">
        <v>164</v>
      </c>
      <c r="C2" s="5" t="s">
        <v>1380</v>
      </c>
      <c r="D2" s="5" t="n">
        <v>2000</v>
      </c>
      <c r="E2" s="5" t="s">
        <v>1381</v>
      </c>
      <c r="F2" s="5" t="s">
        <v>1382</v>
      </c>
      <c r="G2" s="5" t="s">
        <v>1383</v>
      </c>
      <c r="H2" s="5" t="s">
        <v>1384</v>
      </c>
      <c r="I2" s="5" t="s">
        <v>1385</v>
      </c>
      <c r="J2" s="5"/>
      <c r="K2" s="5" t="s">
        <v>455</v>
      </c>
      <c r="L2" s="5" t="s">
        <v>1386</v>
      </c>
      <c r="M2" s="5" t="s">
        <v>1387</v>
      </c>
      <c r="N2" s="5" t="s">
        <v>455</v>
      </c>
    </row>
    <row r="3" customFormat="false" ht="15" hidden="false" customHeight="true" outlineLevel="0" collapsed="false">
      <c r="A3" s="5" t="n">
        <v>164</v>
      </c>
      <c r="B3" s="5" t="n">
        <v>164</v>
      </c>
      <c r="C3" s="5" t="s">
        <v>1380</v>
      </c>
      <c r="D3" s="5" t="n">
        <v>2000</v>
      </c>
      <c r="E3" s="5" t="s">
        <v>1388</v>
      </c>
      <c r="F3" s="5" t="s">
        <v>1389</v>
      </c>
      <c r="G3" s="5" t="s">
        <v>1383</v>
      </c>
      <c r="H3" s="5" t="s">
        <v>1390</v>
      </c>
      <c r="I3" s="5" t="s">
        <v>1385</v>
      </c>
      <c r="J3" s="5"/>
      <c r="K3" s="5" t="s">
        <v>455</v>
      </c>
      <c r="L3" s="5" t="s">
        <v>1391</v>
      </c>
      <c r="M3" s="5" t="s">
        <v>1387</v>
      </c>
      <c r="N3" s="5" t="s">
        <v>455</v>
      </c>
    </row>
    <row r="4" customFormat="false" ht="15" hidden="false" customHeight="true" outlineLevel="0" collapsed="false">
      <c r="A4" s="5" t="n">
        <v>164</v>
      </c>
      <c r="B4" s="5" t="n">
        <v>164</v>
      </c>
      <c r="C4" s="5" t="s">
        <v>1380</v>
      </c>
      <c r="D4" s="5" t="n">
        <v>2000</v>
      </c>
      <c r="E4" s="5" t="s">
        <v>1392</v>
      </c>
      <c r="F4" s="5" t="s">
        <v>1393</v>
      </c>
      <c r="G4" s="5" t="s">
        <v>1383</v>
      </c>
      <c r="H4" s="5" t="s">
        <v>1390</v>
      </c>
      <c r="I4" s="5" t="s">
        <v>1385</v>
      </c>
      <c r="J4" s="5"/>
      <c r="K4" s="5" t="s">
        <v>389</v>
      </c>
      <c r="L4" s="5" t="s">
        <v>1394</v>
      </c>
      <c r="M4" s="5" t="s">
        <v>1395</v>
      </c>
      <c r="N4" s="5" t="s">
        <v>1055</v>
      </c>
    </row>
    <row r="5" customFormat="false" ht="15" hidden="false" customHeight="true" outlineLevel="0" collapsed="false">
      <c r="A5" s="5" t="n">
        <v>164</v>
      </c>
      <c r="B5" s="5" t="n">
        <v>164</v>
      </c>
      <c r="C5" s="5" t="s">
        <v>1380</v>
      </c>
      <c r="D5" s="5" t="n">
        <v>2000</v>
      </c>
      <c r="E5" s="5" t="s">
        <v>1396</v>
      </c>
      <c r="F5" s="5" t="s">
        <v>1397</v>
      </c>
      <c r="G5" s="5" t="s">
        <v>1383</v>
      </c>
      <c r="H5" s="5" t="s">
        <v>1390</v>
      </c>
      <c r="I5" s="5" t="s">
        <v>1385</v>
      </c>
      <c r="J5" s="5"/>
      <c r="K5" s="5" t="s">
        <v>455</v>
      </c>
      <c r="L5" s="5" t="s">
        <v>1398</v>
      </c>
      <c r="M5" s="5" t="s">
        <v>1387</v>
      </c>
      <c r="N5" s="5" t="s">
        <v>455</v>
      </c>
    </row>
    <row r="6" customFormat="false" ht="15" hidden="false" customHeight="true" outlineLevel="0" collapsed="false">
      <c r="A6" s="5" t="n">
        <v>164</v>
      </c>
      <c r="B6" s="5" t="n">
        <v>164</v>
      </c>
      <c r="C6" s="5" t="s">
        <v>1380</v>
      </c>
      <c r="D6" s="5" t="n">
        <v>2000</v>
      </c>
      <c r="E6" s="5" t="s">
        <v>1399</v>
      </c>
      <c r="F6" s="5" t="s">
        <v>1400</v>
      </c>
      <c r="G6" s="5" t="s">
        <v>1383</v>
      </c>
      <c r="H6" s="5" t="s">
        <v>1390</v>
      </c>
      <c r="I6" s="5" t="s">
        <v>1401</v>
      </c>
      <c r="J6" s="5" t="s">
        <v>1402</v>
      </c>
      <c r="K6" s="5" t="s">
        <v>404</v>
      </c>
      <c r="L6" s="5" t="s">
        <v>1403</v>
      </c>
      <c r="M6" s="5" t="s">
        <v>1404</v>
      </c>
      <c r="N6" s="5" t="s">
        <v>1405</v>
      </c>
    </row>
    <row r="7" customFormat="false" ht="15" hidden="false" customHeight="true" outlineLevel="0" collapsed="false">
      <c r="A7" s="5" t="n">
        <v>164</v>
      </c>
      <c r="B7" s="5" t="n">
        <v>164</v>
      </c>
      <c r="C7" s="5" t="s">
        <v>1380</v>
      </c>
      <c r="D7" s="5" t="n">
        <v>2000</v>
      </c>
      <c r="E7" s="5" t="s">
        <v>1406</v>
      </c>
      <c r="F7" s="5" t="s">
        <v>1407</v>
      </c>
      <c r="G7" s="5" t="s">
        <v>1383</v>
      </c>
      <c r="H7" s="5" t="s">
        <v>1390</v>
      </c>
      <c r="I7" s="5" t="s">
        <v>1408</v>
      </c>
      <c r="J7" s="5"/>
      <c r="K7" s="5" t="s">
        <v>455</v>
      </c>
      <c r="L7" s="5" t="s">
        <v>1409</v>
      </c>
      <c r="M7" s="5" t="s">
        <v>1387</v>
      </c>
      <c r="N7" s="5" t="s">
        <v>455</v>
      </c>
    </row>
    <row r="8" customFormat="false" ht="15" hidden="false" customHeight="true" outlineLevel="0" collapsed="false">
      <c r="A8" s="5" t="n">
        <v>165</v>
      </c>
      <c r="B8" s="5" t="n">
        <v>165</v>
      </c>
      <c r="C8" s="5" t="s">
        <v>1410</v>
      </c>
      <c r="D8" s="5" t="n">
        <v>2012</v>
      </c>
      <c r="E8" s="5" t="s">
        <v>1411</v>
      </c>
      <c r="F8" s="5" t="s">
        <v>1412</v>
      </c>
      <c r="G8" s="5" t="s">
        <v>1413</v>
      </c>
      <c r="H8" s="5" t="s">
        <v>1414</v>
      </c>
      <c r="I8" s="5" t="s">
        <v>1385</v>
      </c>
      <c r="J8" s="5"/>
      <c r="K8" s="5" t="s">
        <v>389</v>
      </c>
      <c r="L8" s="5" t="s">
        <v>1415</v>
      </c>
      <c r="M8" s="5" t="s">
        <v>1387</v>
      </c>
      <c r="N8" s="5" t="s">
        <v>1055</v>
      </c>
    </row>
    <row r="9" customFormat="false" ht="15" hidden="false" customHeight="true" outlineLevel="0" collapsed="false">
      <c r="A9" s="5" t="n">
        <v>165</v>
      </c>
      <c r="B9" s="5" t="n">
        <v>165</v>
      </c>
      <c r="C9" s="5" t="s">
        <v>1410</v>
      </c>
      <c r="D9" s="5" t="n">
        <v>2012</v>
      </c>
      <c r="E9" s="5" t="s">
        <v>1416</v>
      </c>
      <c r="F9" s="5" t="s">
        <v>1417</v>
      </c>
      <c r="G9" s="5" t="s">
        <v>1413</v>
      </c>
      <c r="H9" s="5" t="s">
        <v>1414</v>
      </c>
      <c r="I9" s="5" t="s">
        <v>1418</v>
      </c>
      <c r="J9" s="5" t="s">
        <v>1419</v>
      </c>
      <c r="K9" s="5" t="s">
        <v>404</v>
      </c>
      <c r="L9" s="5" t="s">
        <v>1420</v>
      </c>
      <c r="M9" s="5" t="s">
        <v>1387</v>
      </c>
      <c r="N9" s="5" t="s">
        <v>1055</v>
      </c>
    </row>
    <row r="10" customFormat="false" ht="15" hidden="false" customHeight="true" outlineLevel="0" collapsed="false">
      <c r="A10" s="5" t="n">
        <v>165</v>
      </c>
      <c r="B10" s="5" t="n">
        <v>165</v>
      </c>
      <c r="C10" s="5" t="s">
        <v>1410</v>
      </c>
      <c r="D10" s="5" t="n">
        <v>2012</v>
      </c>
      <c r="E10" s="5" t="s">
        <v>1421</v>
      </c>
      <c r="F10" s="5" t="s">
        <v>1422</v>
      </c>
      <c r="G10" s="5" t="s">
        <v>1413</v>
      </c>
      <c r="H10" s="5" t="s">
        <v>1414</v>
      </c>
      <c r="I10" s="5" t="s">
        <v>1385</v>
      </c>
      <c r="J10" s="5"/>
      <c r="K10" s="5" t="s">
        <v>389</v>
      </c>
      <c r="L10" s="5" t="s">
        <v>1423</v>
      </c>
      <c r="M10" s="5" t="s">
        <v>1387</v>
      </c>
      <c r="N10" s="5" t="s">
        <v>1055</v>
      </c>
    </row>
    <row r="11" customFormat="false" ht="15" hidden="false" customHeight="true" outlineLevel="0" collapsed="false">
      <c r="A11" s="5" t="n">
        <v>165</v>
      </c>
      <c r="B11" s="5" t="n">
        <v>165</v>
      </c>
      <c r="C11" s="5" t="s">
        <v>1410</v>
      </c>
      <c r="D11" s="5" t="n">
        <v>2012</v>
      </c>
      <c r="E11" s="5" t="s">
        <v>1424</v>
      </c>
      <c r="F11" s="5" t="s">
        <v>1425</v>
      </c>
      <c r="G11" s="5" t="s">
        <v>1413</v>
      </c>
      <c r="H11" s="5" t="s">
        <v>1414</v>
      </c>
      <c r="I11" s="5" t="s">
        <v>1418</v>
      </c>
      <c r="J11" s="5" t="s">
        <v>1426</v>
      </c>
      <c r="K11" s="5" t="s">
        <v>404</v>
      </c>
      <c r="L11" s="5" t="s">
        <v>1427</v>
      </c>
      <c r="M11" s="5" t="s">
        <v>1387</v>
      </c>
      <c r="N11" s="5" t="s">
        <v>1055</v>
      </c>
    </row>
    <row r="12" customFormat="false" ht="15" hidden="false" customHeight="true" outlineLevel="0" collapsed="false">
      <c r="A12" s="5" t="n">
        <v>166</v>
      </c>
      <c r="B12" s="5" t="n">
        <v>166</v>
      </c>
      <c r="C12" s="5" t="s">
        <v>1428</v>
      </c>
      <c r="D12" s="5" t="n">
        <v>2014</v>
      </c>
      <c r="E12" s="5" t="s">
        <v>1429</v>
      </c>
      <c r="F12" s="5" t="s">
        <v>1430</v>
      </c>
      <c r="G12" s="5" t="s">
        <v>1383</v>
      </c>
      <c r="H12" s="5" t="s">
        <v>1431</v>
      </c>
      <c r="I12" s="5" t="s">
        <v>1385</v>
      </c>
      <c r="J12" s="5"/>
      <c r="K12" s="5" t="s">
        <v>455</v>
      </c>
      <c r="L12" s="5" t="s">
        <v>1432</v>
      </c>
      <c r="M12" s="5" t="s">
        <v>1387</v>
      </c>
      <c r="N12" s="5" t="s">
        <v>455</v>
      </c>
    </row>
    <row r="13" customFormat="false" ht="15" hidden="false" customHeight="true" outlineLevel="0" collapsed="false">
      <c r="A13" s="5" t="n">
        <v>166</v>
      </c>
      <c r="B13" s="5" t="n">
        <v>166</v>
      </c>
      <c r="C13" s="5" t="s">
        <v>1428</v>
      </c>
      <c r="D13" s="5" t="n">
        <v>2014</v>
      </c>
      <c r="E13" s="5" t="s">
        <v>1433</v>
      </c>
      <c r="F13" s="5" t="s">
        <v>1434</v>
      </c>
      <c r="G13" s="5" t="s">
        <v>1383</v>
      </c>
      <c r="H13" s="5" t="s">
        <v>1435</v>
      </c>
      <c r="I13" s="5" t="s">
        <v>1385</v>
      </c>
      <c r="J13" s="5"/>
      <c r="K13" s="5" t="s">
        <v>389</v>
      </c>
      <c r="L13" s="5" t="s">
        <v>1436</v>
      </c>
      <c r="M13" s="5" t="s">
        <v>1387</v>
      </c>
      <c r="N13" s="5" t="s">
        <v>1055</v>
      </c>
    </row>
    <row r="14" customFormat="false" ht="15" hidden="false" customHeight="true" outlineLevel="0" collapsed="false">
      <c r="A14" s="5" t="n">
        <v>166</v>
      </c>
      <c r="B14" s="5" t="n">
        <v>166</v>
      </c>
      <c r="C14" s="5" t="s">
        <v>1428</v>
      </c>
      <c r="D14" s="5" t="n">
        <v>2014</v>
      </c>
      <c r="E14" s="5" t="s">
        <v>1437</v>
      </c>
      <c r="F14" s="5" t="s">
        <v>1438</v>
      </c>
      <c r="G14" s="5" t="s">
        <v>1383</v>
      </c>
      <c r="H14" s="5" t="s">
        <v>1431</v>
      </c>
      <c r="I14" s="5" t="s">
        <v>1385</v>
      </c>
      <c r="J14" s="5"/>
      <c r="K14" s="5" t="s">
        <v>455</v>
      </c>
      <c r="L14" s="5" t="s">
        <v>1439</v>
      </c>
      <c r="M14" s="5" t="s">
        <v>1387</v>
      </c>
      <c r="N14" s="5" t="s">
        <v>455</v>
      </c>
    </row>
    <row r="15" customFormat="false" ht="15" hidden="false" customHeight="true" outlineLevel="0" collapsed="false">
      <c r="A15" s="5" t="n">
        <v>166</v>
      </c>
      <c r="B15" s="5" t="n">
        <v>166</v>
      </c>
      <c r="C15" s="5" t="s">
        <v>1428</v>
      </c>
      <c r="D15" s="5" t="n">
        <v>2014</v>
      </c>
      <c r="E15" s="5" t="s">
        <v>1440</v>
      </c>
      <c r="F15" s="5" t="s">
        <v>1441</v>
      </c>
      <c r="G15" s="5" t="s">
        <v>1383</v>
      </c>
      <c r="H15" s="5" t="s">
        <v>1431</v>
      </c>
      <c r="I15" s="5" t="s">
        <v>1385</v>
      </c>
      <c r="J15" s="5"/>
      <c r="K15" s="5" t="s">
        <v>455</v>
      </c>
      <c r="L15" s="5" t="s">
        <v>1442</v>
      </c>
      <c r="M15" s="5" t="s">
        <v>1387</v>
      </c>
      <c r="N15" s="5" t="s">
        <v>455</v>
      </c>
    </row>
    <row r="16" customFormat="false" ht="15" hidden="false" customHeight="true" outlineLevel="0" collapsed="false">
      <c r="A16" s="5" t="n">
        <v>166</v>
      </c>
      <c r="B16" s="5" t="n">
        <v>166</v>
      </c>
      <c r="C16" s="5" t="s">
        <v>1428</v>
      </c>
      <c r="D16" s="5" t="n">
        <v>2014</v>
      </c>
      <c r="E16" s="5" t="s">
        <v>1443</v>
      </c>
      <c r="F16" s="5" t="s">
        <v>1444</v>
      </c>
      <c r="G16" s="5" t="s">
        <v>1383</v>
      </c>
      <c r="H16" s="5" t="s">
        <v>1431</v>
      </c>
      <c r="I16" s="5" t="s">
        <v>1385</v>
      </c>
      <c r="J16" s="5"/>
      <c r="K16" s="5" t="s">
        <v>455</v>
      </c>
      <c r="L16" s="5" t="s">
        <v>1445</v>
      </c>
      <c r="M16" s="5" t="s">
        <v>1387</v>
      </c>
      <c r="N16" s="5" t="s">
        <v>455</v>
      </c>
    </row>
    <row r="17" customFormat="false" ht="15" hidden="false" customHeight="true" outlineLevel="0" collapsed="false">
      <c r="A17" s="5" t="n">
        <v>166</v>
      </c>
      <c r="B17" s="5" t="n">
        <v>166</v>
      </c>
      <c r="C17" s="5" t="s">
        <v>1428</v>
      </c>
      <c r="D17" s="5" t="n">
        <v>2014</v>
      </c>
      <c r="E17" s="5" t="s">
        <v>1446</v>
      </c>
      <c r="F17" s="5" t="s">
        <v>1447</v>
      </c>
      <c r="G17" s="5" t="s">
        <v>1383</v>
      </c>
      <c r="H17" s="5" t="s">
        <v>1431</v>
      </c>
      <c r="I17" s="5" t="s">
        <v>1448</v>
      </c>
      <c r="J17" s="5"/>
      <c r="K17" s="5" t="s">
        <v>455</v>
      </c>
      <c r="L17" s="5" t="s">
        <v>1449</v>
      </c>
      <c r="M17" s="5" t="s">
        <v>1387</v>
      </c>
      <c r="N17" s="5" t="s">
        <v>455</v>
      </c>
    </row>
    <row r="18" customFormat="false" ht="15" hidden="false" customHeight="true" outlineLevel="0" collapsed="false">
      <c r="A18" s="5" t="n">
        <v>166</v>
      </c>
      <c r="B18" s="5" t="n">
        <v>166</v>
      </c>
      <c r="C18" s="5" t="s">
        <v>1428</v>
      </c>
      <c r="D18" s="5" t="n">
        <v>2014</v>
      </c>
      <c r="E18" s="5" t="s">
        <v>1450</v>
      </c>
      <c r="F18" s="5" t="s">
        <v>1451</v>
      </c>
      <c r="G18" s="5" t="s">
        <v>1383</v>
      </c>
      <c r="H18" s="5" t="s">
        <v>1431</v>
      </c>
      <c r="I18" s="5" t="s">
        <v>1448</v>
      </c>
      <c r="J18" s="5"/>
      <c r="K18" s="5" t="s">
        <v>455</v>
      </c>
      <c r="L18" s="5" t="s">
        <v>1452</v>
      </c>
      <c r="M18" s="5" t="s">
        <v>1387</v>
      </c>
      <c r="N18" s="5" t="s">
        <v>455</v>
      </c>
    </row>
    <row r="19" customFormat="false" ht="15" hidden="false" customHeight="true" outlineLevel="0" collapsed="false">
      <c r="A19" s="5" t="n">
        <v>166</v>
      </c>
      <c r="B19" s="5" t="n">
        <v>166</v>
      </c>
      <c r="C19" s="5" t="s">
        <v>1428</v>
      </c>
      <c r="D19" s="5" t="n">
        <v>2014</v>
      </c>
      <c r="E19" s="5" t="s">
        <v>1453</v>
      </c>
      <c r="F19" s="5" t="s">
        <v>1454</v>
      </c>
      <c r="G19" s="5" t="s">
        <v>1383</v>
      </c>
      <c r="H19" s="5" t="s">
        <v>1455</v>
      </c>
      <c r="I19" s="5" t="s">
        <v>1456</v>
      </c>
      <c r="J19" s="5" t="s">
        <v>1457</v>
      </c>
      <c r="K19" s="5" t="s">
        <v>404</v>
      </c>
      <c r="L19" s="5" t="s">
        <v>1458</v>
      </c>
      <c r="M19" s="5" t="s">
        <v>1404</v>
      </c>
      <c r="N19" s="5" t="s">
        <v>1405</v>
      </c>
    </row>
    <row r="20" customFormat="false" ht="15" hidden="false" customHeight="true" outlineLevel="0" collapsed="false">
      <c r="A20" s="5" t="n">
        <v>167</v>
      </c>
      <c r="B20" s="5" t="n">
        <v>167</v>
      </c>
      <c r="C20" s="5" t="s">
        <v>1459</v>
      </c>
      <c r="D20" s="5" t="n">
        <v>2023</v>
      </c>
      <c r="E20" s="5" t="s">
        <v>1460</v>
      </c>
      <c r="F20" s="5" t="s">
        <v>1461</v>
      </c>
      <c r="G20" s="5" t="s">
        <v>1383</v>
      </c>
      <c r="H20" s="5" t="s">
        <v>1462</v>
      </c>
      <c r="I20" s="5" t="s">
        <v>1385</v>
      </c>
      <c r="J20" s="5"/>
      <c r="K20" s="5" t="s">
        <v>455</v>
      </c>
      <c r="L20" s="5" t="s">
        <v>1463</v>
      </c>
      <c r="M20" s="5" t="s">
        <v>1387</v>
      </c>
      <c r="N20" s="5" t="s">
        <v>455</v>
      </c>
    </row>
    <row r="21" customFormat="false" ht="15" hidden="false" customHeight="true" outlineLevel="0" collapsed="false">
      <c r="A21" s="5" t="n">
        <v>168</v>
      </c>
      <c r="B21" s="5" t="n">
        <v>168</v>
      </c>
      <c r="C21" s="5" t="s">
        <v>1464</v>
      </c>
      <c r="D21" s="5" t="n">
        <v>2020</v>
      </c>
      <c r="E21" s="5" t="s">
        <v>1465</v>
      </c>
      <c r="F21" s="5" t="s">
        <v>1466</v>
      </c>
      <c r="G21" s="5" t="s">
        <v>1467</v>
      </c>
      <c r="H21" s="5" t="s">
        <v>389</v>
      </c>
      <c r="I21" s="5" t="s">
        <v>1385</v>
      </c>
      <c r="J21" s="5"/>
      <c r="K21" s="5" t="s">
        <v>389</v>
      </c>
      <c r="L21" s="5" t="s">
        <v>1468</v>
      </c>
      <c r="M21" s="5" t="s">
        <v>1387</v>
      </c>
      <c r="N21" s="5" t="s">
        <v>1055</v>
      </c>
    </row>
    <row r="22" customFormat="false" ht="15" hidden="false" customHeight="true" outlineLevel="0" collapsed="false">
      <c r="A22" s="5" t="n">
        <v>168</v>
      </c>
      <c r="B22" s="5" t="n">
        <v>168</v>
      </c>
      <c r="C22" s="5" t="s">
        <v>1464</v>
      </c>
      <c r="D22" s="5" t="n">
        <v>2020</v>
      </c>
      <c r="E22" s="5" t="s">
        <v>1469</v>
      </c>
      <c r="F22" s="5" t="s">
        <v>1470</v>
      </c>
      <c r="G22" s="5" t="s">
        <v>1467</v>
      </c>
      <c r="H22" s="5" t="s">
        <v>389</v>
      </c>
      <c r="I22" s="5" t="s">
        <v>1471</v>
      </c>
      <c r="J22" s="5" t="n">
        <v>7</v>
      </c>
      <c r="K22" s="5" t="s">
        <v>404</v>
      </c>
      <c r="L22" s="5" t="s">
        <v>1472</v>
      </c>
      <c r="M22" s="5" t="s">
        <v>1387</v>
      </c>
      <c r="N22" s="5" t="s">
        <v>1055</v>
      </c>
    </row>
    <row r="23" customFormat="false" ht="15" hidden="false" customHeight="true" outlineLevel="0" collapsed="false">
      <c r="A23" s="5" t="n">
        <v>168</v>
      </c>
      <c r="B23" s="5" t="n">
        <v>168</v>
      </c>
      <c r="C23" s="5" t="s">
        <v>1464</v>
      </c>
      <c r="D23" s="5" t="n">
        <v>2020</v>
      </c>
      <c r="E23" s="5" t="s">
        <v>1473</v>
      </c>
      <c r="F23" s="5" t="s">
        <v>1474</v>
      </c>
      <c r="G23" s="5" t="s">
        <v>1475</v>
      </c>
      <c r="H23" s="5" t="s">
        <v>392</v>
      </c>
      <c r="I23" s="5" t="s">
        <v>1385</v>
      </c>
      <c r="J23" s="5"/>
      <c r="K23" s="5" t="s">
        <v>392</v>
      </c>
      <c r="L23" s="5" t="s">
        <v>1476</v>
      </c>
      <c r="M23" s="5" t="s">
        <v>1387</v>
      </c>
      <c r="N23" s="5" t="s">
        <v>1055</v>
      </c>
    </row>
    <row r="24" customFormat="false" ht="15" hidden="false" customHeight="true" outlineLevel="0" collapsed="false">
      <c r="A24" s="5" t="n">
        <v>168</v>
      </c>
      <c r="B24" s="5" t="n">
        <v>168</v>
      </c>
      <c r="C24" s="5" t="s">
        <v>1464</v>
      </c>
      <c r="D24" s="5" t="n">
        <v>2020</v>
      </c>
      <c r="E24" s="5" t="s">
        <v>1477</v>
      </c>
      <c r="F24" s="5" t="s">
        <v>1478</v>
      </c>
      <c r="G24" s="5" t="s">
        <v>1475</v>
      </c>
      <c r="H24" s="5" t="s">
        <v>392</v>
      </c>
      <c r="I24" s="5" t="s">
        <v>1471</v>
      </c>
      <c r="J24" s="5" t="n">
        <v>7</v>
      </c>
      <c r="K24" s="5" t="s">
        <v>386</v>
      </c>
      <c r="L24" s="5" t="s">
        <v>1479</v>
      </c>
      <c r="M24" s="5" t="s">
        <v>1387</v>
      </c>
      <c r="N24" s="5" t="s">
        <v>1055</v>
      </c>
    </row>
    <row r="25" customFormat="false" ht="15" hidden="false" customHeight="true" outlineLevel="0" collapsed="false">
      <c r="A25" s="5" t="n">
        <v>169</v>
      </c>
      <c r="B25" s="5" t="n">
        <v>169</v>
      </c>
      <c r="C25" s="5" t="s">
        <v>1480</v>
      </c>
      <c r="D25" s="5" t="n">
        <v>2005</v>
      </c>
      <c r="E25" s="5" t="s">
        <v>1481</v>
      </c>
      <c r="F25" s="5" t="s">
        <v>1482</v>
      </c>
      <c r="G25" s="5" t="s">
        <v>1483</v>
      </c>
      <c r="H25" s="5" t="s">
        <v>1390</v>
      </c>
      <c r="I25" s="5" t="s">
        <v>1385</v>
      </c>
      <c r="J25" s="5"/>
      <c r="K25" s="5" t="s">
        <v>455</v>
      </c>
      <c r="L25" s="5" t="s">
        <v>1484</v>
      </c>
      <c r="M25" s="5" t="s">
        <v>1387</v>
      </c>
      <c r="N25" s="5" t="s">
        <v>455</v>
      </c>
    </row>
    <row r="26" customFormat="false" ht="15" hidden="false" customHeight="true" outlineLevel="0" collapsed="false">
      <c r="A26" s="5" t="s">
        <v>908</v>
      </c>
      <c r="B26" s="5" t="s">
        <v>908</v>
      </c>
      <c r="C26" s="5" t="s">
        <v>1485</v>
      </c>
      <c r="D26" s="5" t="n">
        <v>2019</v>
      </c>
      <c r="E26" s="5" t="s">
        <v>1486</v>
      </c>
      <c r="F26" s="5" t="s">
        <v>1487</v>
      </c>
      <c r="G26" s="5" t="s">
        <v>1383</v>
      </c>
      <c r="H26" s="5" t="s">
        <v>1488</v>
      </c>
      <c r="I26" s="5" t="s">
        <v>1385</v>
      </c>
      <c r="J26" s="5"/>
      <c r="K26" s="5" t="s">
        <v>389</v>
      </c>
      <c r="L26" s="5" t="s">
        <v>1468</v>
      </c>
      <c r="M26" s="5" t="s">
        <v>1387</v>
      </c>
      <c r="N26" s="5" t="s">
        <v>1055</v>
      </c>
    </row>
    <row r="27" customFormat="false" ht="15" hidden="false" customHeight="true" outlineLevel="0" collapsed="false">
      <c r="A27" s="5" t="s">
        <v>908</v>
      </c>
      <c r="B27" s="5" t="s">
        <v>908</v>
      </c>
      <c r="C27" s="5" t="s">
        <v>1485</v>
      </c>
      <c r="D27" s="5" t="n">
        <v>2019</v>
      </c>
      <c r="E27" s="5" t="s">
        <v>1489</v>
      </c>
      <c r="F27" s="5" t="s">
        <v>1490</v>
      </c>
      <c r="G27" s="5" t="s">
        <v>1383</v>
      </c>
      <c r="H27" s="5" t="s">
        <v>1491</v>
      </c>
      <c r="I27" s="5" t="s">
        <v>1492</v>
      </c>
      <c r="J27" s="5" t="s">
        <v>1493</v>
      </c>
      <c r="K27" s="5" t="s">
        <v>410</v>
      </c>
      <c r="L27" s="5" t="s">
        <v>1494</v>
      </c>
      <c r="M27" s="5" t="s">
        <v>1387</v>
      </c>
      <c r="N27" s="5" t="s">
        <v>1055</v>
      </c>
    </row>
    <row r="28" customFormat="false" ht="15" hidden="false" customHeight="true" outlineLevel="0" collapsed="false">
      <c r="A28" s="5" t="s">
        <v>908</v>
      </c>
      <c r="B28" s="5" t="s">
        <v>908</v>
      </c>
      <c r="C28" s="5" t="s">
        <v>1485</v>
      </c>
      <c r="D28" s="5" t="n">
        <v>2019</v>
      </c>
      <c r="E28" s="5" t="s">
        <v>1495</v>
      </c>
      <c r="F28" s="5" t="s">
        <v>1496</v>
      </c>
      <c r="G28" s="5" t="s">
        <v>1475</v>
      </c>
      <c r="H28" s="5" t="s">
        <v>392</v>
      </c>
      <c r="I28" s="5" t="s">
        <v>1497</v>
      </c>
      <c r="J28" s="5" t="s">
        <v>1498</v>
      </c>
      <c r="K28" s="5" t="s">
        <v>386</v>
      </c>
      <c r="L28" s="5" t="s">
        <v>1499</v>
      </c>
      <c r="M28" s="5" t="s">
        <v>1387</v>
      </c>
      <c r="N28" s="5" t="s">
        <v>1055</v>
      </c>
    </row>
    <row r="29" customFormat="false" ht="15" hidden="false" customHeight="true" outlineLevel="0" collapsed="false">
      <c r="A29" s="5" t="s">
        <v>908</v>
      </c>
      <c r="B29" s="5" t="s">
        <v>908</v>
      </c>
      <c r="C29" s="5" t="s">
        <v>1485</v>
      </c>
      <c r="D29" s="5" t="n">
        <v>2019</v>
      </c>
      <c r="E29" s="5" t="s">
        <v>1500</v>
      </c>
      <c r="F29" s="5" t="s">
        <v>1501</v>
      </c>
      <c r="G29" s="5" t="s">
        <v>656</v>
      </c>
      <c r="H29" s="5" t="s">
        <v>392</v>
      </c>
      <c r="I29" s="5" t="s">
        <v>1502</v>
      </c>
      <c r="J29" s="5"/>
      <c r="K29" s="5" t="s">
        <v>455</v>
      </c>
      <c r="L29" s="5" t="s">
        <v>1503</v>
      </c>
      <c r="M29" s="5" t="s">
        <v>1387</v>
      </c>
      <c r="N29" s="5" t="s">
        <v>455</v>
      </c>
    </row>
    <row r="30" customFormat="false" ht="15" hidden="false" customHeight="true" outlineLevel="0" collapsed="false">
      <c r="A30" s="5" t="s">
        <v>925</v>
      </c>
      <c r="B30" s="5" t="s">
        <v>925</v>
      </c>
      <c r="C30" s="5" t="s">
        <v>1485</v>
      </c>
      <c r="D30" s="5" t="n">
        <v>2019</v>
      </c>
      <c r="E30" s="5" t="s">
        <v>1504</v>
      </c>
      <c r="F30" s="5" t="s">
        <v>1505</v>
      </c>
      <c r="G30" s="5" t="s">
        <v>656</v>
      </c>
      <c r="H30" s="5" t="s">
        <v>656</v>
      </c>
      <c r="I30" s="5" t="s">
        <v>656</v>
      </c>
      <c r="J30" s="5"/>
      <c r="K30" s="5" t="s">
        <v>1506</v>
      </c>
      <c r="L30" s="5" t="s">
        <v>1507</v>
      </c>
      <c r="M30" s="5" t="s">
        <v>1387</v>
      </c>
      <c r="N30" s="5" t="s">
        <v>1055</v>
      </c>
    </row>
    <row r="31" customFormat="false" ht="15" hidden="false" customHeight="true" outlineLevel="0" collapsed="false">
      <c r="A31" s="5" t="s">
        <v>935</v>
      </c>
      <c r="B31" s="5" t="s">
        <v>935</v>
      </c>
      <c r="C31" s="5" t="s">
        <v>1508</v>
      </c>
      <c r="D31" s="5" t="n">
        <v>2020</v>
      </c>
      <c r="E31" s="5" t="s">
        <v>1509</v>
      </c>
      <c r="F31" s="5" t="s">
        <v>1510</v>
      </c>
      <c r="G31" s="5" t="s">
        <v>1511</v>
      </c>
      <c r="H31" s="5" t="s">
        <v>1512</v>
      </c>
      <c r="I31" s="5" t="s">
        <v>1385</v>
      </c>
      <c r="J31" s="5"/>
      <c r="K31" s="5" t="s">
        <v>389</v>
      </c>
      <c r="L31" s="5" t="s">
        <v>1513</v>
      </c>
      <c r="M31" s="5" t="s">
        <v>1514</v>
      </c>
      <c r="N31" s="5" t="s">
        <v>1055</v>
      </c>
    </row>
    <row r="32" customFormat="false" ht="15" hidden="false" customHeight="true" outlineLevel="0" collapsed="false">
      <c r="A32" s="5" t="s">
        <v>935</v>
      </c>
      <c r="B32" s="5" t="s">
        <v>935</v>
      </c>
      <c r="C32" s="5" t="s">
        <v>1508</v>
      </c>
      <c r="D32" s="5" t="n">
        <v>2020</v>
      </c>
      <c r="E32" s="5" t="s">
        <v>1515</v>
      </c>
      <c r="F32" s="5" t="s">
        <v>1516</v>
      </c>
      <c r="G32" s="5" t="s">
        <v>1511</v>
      </c>
      <c r="H32" s="5" t="s">
        <v>1512</v>
      </c>
      <c r="I32" s="5" t="s">
        <v>1418</v>
      </c>
      <c r="J32" s="5" t="n">
        <v>3</v>
      </c>
      <c r="K32" s="5" t="s">
        <v>404</v>
      </c>
      <c r="L32" s="5" t="s">
        <v>1517</v>
      </c>
      <c r="M32" s="5" t="s">
        <v>1404</v>
      </c>
      <c r="N32" s="5" t="s">
        <v>1055</v>
      </c>
    </row>
    <row r="33" customFormat="false" ht="15" hidden="false" customHeight="true" outlineLevel="0" collapsed="false">
      <c r="A33" s="5" t="s">
        <v>935</v>
      </c>
      <c r="B33" s="5" t="s">
        <v>935</v>
      </c>
      <c r="C33" s="5" t="s">
        <v>1508</v>
      </c>
      <c r="D33" s="5" t="n">
        <v>2020</v>
      </c>
      <c r="E33" s="5" t="s">
        <v>1518</v>
      </c>
      <c r="F33" s="5" t="s">
        <v>1519</v>
      </c>
      <c r="G33" s="5" t="s">
        <v>1511</v>
      </c>
      <c r="H33" s="5" t="s">
        <v>1512</v>
      </c>
      <c r="I33" s="5" t="s">
        <v>1418</v>
      </c>
      <c r="J33" s="5" t="n">
        <v>3</v>
      </c>
      <c r="K33" s="5" t="s">
        <v>404</v>
      </c>
      <c r="L33" s="5" t="s">
        <v>1520</v>
      </c>
      <c r="M33" s="5" t="s">
        <v>1404</v>
      </c>
      <c r="N33" s="5" t="s">
        <v>1405</v>
      </c>
    </row>
    <row r="34" customFormat="false" ht="15" hidden="false" customHeight="true" outlineLevel="0" collapsed="false">
      <c r="A34" s="5" t="s">
        <v>935</v>
      </c>
      <c r="B34" s="5" t="s">
        <v>935</v>
      </c>
      <c r="C34" s="5" t="s">
        <v>1508</v>
      </c>
      <c r="D34" s="5" t="n">
        <v>2020</v>
      </c>
      <c r="E34" s="5" t="s">
        <v>1381</v>
      </c>
      <c r="F34" s="5" t="s">
        <v>1521</v>
      </c>
      <c r="G34" s="5" t="s">
        <v>1383</v>
      </c>
      <c r="H34" s="5" t="s">
        <v>1390</v>
      </c>
      <c r="I34" s="5" t="s">
        <v>1385</v>
      </c>
      <c r="J34" s="5"/>
      <c r="K34" s="5" t="s">
        <v>455</v>
      </c>
      <c r="L34" s="5" t="s">
        <v>1432</v>
      </c>
      <c r="M34" s="5" t="s">
        <v>1387</v>
      </c>
      <c r="N34" s="5" t="s">
        <v>455</v>
      </c>
    </row>
    <row r="35" customFormat="false" ht="15" hidden="false" customHeight="true" outlineLevel="0" collapsed="false">
      <c r="A35" s="5" t="s">
        <v>952</v>
      </c>
      <c r="B35" s="5" t="s">
        <v>952</v>
      </c>
      <c r="C35" s="5" t="s">
        <v>1522</v>
      </c>
      <c r="D35" s="5" t="n">
        <v>2023</v>
      </c>
      <c r="E35" s="5" t="s">
        <v>1523</v>
      </c>
      <c r="F35" s="5" t="s">
        <v>1524</v>
      </c>
      <c r="G35" s="5" t="s">
        <v>1475</v>
      </c>
      <c r="H35" s="5" t="s">
        <v>392</v>
      </c>
      <c r="I35" s="5" t="s">
        <v>1502</v>
      </c>
      <c r="J35" s="5" t="s">
        <v>1525</v>
      </c>
      <c r="K35" s="5" t="s">
        <v>386</v>
      </c>
      <c r="L35" s="5" t="s">
        <v>1479</v>
      </c>
      <c r="M35" s="5" t="s">
        <v>1387</v>
      </c>
      <c r="N35" s="5" t="s">
        <v>1055</v>
      </c>
    </row>
    <row r="36" customFormat="false" ht="15" hidden="false" customHeight="true" outlineLevel="0" collapsed="false">
      <c r="A36" s="5" t="s">
        <v>952</v>
      </c>
      <c r="B36" s="5" t="s">
        <v>952</v>
      </c>
      <c r="C36" s="5" t="s">
        <v>1522</v>
      </c>
      <c r="D36" s="5" t="n">
        <v>2023</v>
      </c>
      <c r="E36" s="5" t="s">
        <v>1103</v>
      </c>
      <c r="F36" s="5" t="s">
        <v>1526</v>
      </c>
      <c r="G36" s="5" t="s">
        <v>1527</v>
      </c>
      <c r="H36" s="5" t="s">
        <v>392</v>
      </c>
      <c r="I36" s="5" t="s">
        <v>1502</v>
      </c>
      <c r="J36" s="5" t="s">
        <v>1525</v>
      </c>
      <c r="K36" s="5" t="s">
        <v>410</v>
      </c>
      <c r="L36" s="5" t="s">
        <v>1528</v>
      </c>
      <c r="M36" s="5" t="s">
        <v>1387</v>
      </c>
      <c r="N36" s="5" t="s">
        <v>1055</v>
      </c>
    </row>
    <row r="37" customFormat="false" ht="15" hidden="false" customHeight="true" outlineLevel="0" collapsed="false">
      <c r="A37" s="5" t="s">
        <v>952</v>
      </c>
      <c r="B37" s="5" t="s">
        <v>952</v>
      </c>
      <c r="C37" s="5" t="s">
        <v>1522</v>
      </c>
      <c r="D37" s="5" t="n">
        <v>2023</v>
      </c>
      <c r="E37" s="5" t="s">
        <v>1529</v>
      </c>
      <c r="F37" s="5" t="s">
        <v>1530</v>
      </c>
      <c r="G37" s="5" t="s">
        <v>1531</v>
      </c>
      <c r="H37" s="5" t="s">
        <v>392</v>
      </c>
      <c r="I37" s="5" t="s">
        <v>1502</v>
      </c>
      <c r="J37" s="5" t="s">
        <v>1525</v>
      </c>
      <c r="K37" s="5" t="s">
        <v>455</v>
      </c>
      <c r="L37" s="5" t="s">
        <v>1532</v>
      </c>
      <c r="M37" s="5" t="s">
        <v>1387</v>
      </c>
      <c r="N37" s="5" t="s">
        <v>455</v>
      </c>
    </row>
    <row r="38" customFormat="false" ht="15" hidden="false" customHeight="true" outlineLevel="0" collapsed="false">
      <c r="A38" s="24" t="n">
        <v>170</v>
      </c>
      <c r="B38" s="24" t="n">
        <v>170</v>
      </c>
      <c r="C38" s="24" t="s">
        <v>971</v>
      </c>
      <c r="D38" s="24" t="n">
        <v>2003</v>
      </c>
      <c r="E38" s="24" t="s">
        <v>1533</v>
      </c>
      <c r="F38" s="24" t="s">
        <v>1534</v>
      </c>
      <c r="G38" s="24" t="s">
        <v>1535</v>
      </c>
      <c r="H38" s="24" t="s">
        <v>1390</v>
      </c>
      <c r="I38" s="24" t="s">
        <v>1385</v>
      </c>
      <c r="J38" s="24"/>
      <c r="K38" s="24" t="s">
        <v>389</v>
      </c>
      <c r="L38" s="24" t="s">
        <v>1536</v>
      </c>
      <c r="M38" s="24" t="s">
        <v>1387</v>
      </c>
      <c r="N38" s="24" t="s">
        <v>1537</v>
      </c>
    </row>
    <row r="39" customFormat="false" ht="15" hidden="false" customHeight="true" outlineLevel="0" collapsed="false">
      <c r="A39" s="24" t="n">
        <v>170</v>
      </c>
      <c r="B39" s="24" t="n">
        <v>170</v>
      </c>
      <c r="C39" s="24" t="s">
        <v>971</v>
      </c>
      <c r="D39" s="24" t="n">
        <v>2003</v>
      </c>
      <c r="E39" s="24" t="s">
        <v>1538</v>
      </c>
      <c r="F39" s="24" t="s">
        <v>1539</v>
      </c>
      <c r="G39" s="24" t="s">
        <v>1540</v>
      </c>
      <c r="H39" s="24" t="s">
        <v>1390</v>
      </c>
      <c r="I39" s="24" t="s">
        <v>1385</v>
      </c>
      <c r="J39" s="24"/>
      <c r="K39" s="24" t="s">
        <v>401</v>
      </c>
      <c r="L39" s="24" t="s">
        <v>1541</v>
      </c>
      <c r="M39" s="24" t="s">
        <v>1404</v>
      </c>
      <c r="N39" s="24" t="s">
        <v>1542</v>
      </c>
    </row>
    <row r="40" customFormat="false" ht="15" hidden="false" customHeight="true" outlineLevel="0" collapsed="false">
      <c r="A40" s="24" t="n">
        <v>170</v>
      </c>
      <c r="B40" s="24" t="n">
        <v>170</v>
      </c>
      <c r="C40" s="24" t="s">
        <v>971</v>
      </c>
      <c r="D40" s="24" t="n">
        <v>2003</v>
      </c>
      <c r="E40" s="24" t="s">
        <v>1543</v>
      </c>
      <c r="F40" s="24" t="s">
        <v>1544</v>
      </c>
      <c r="G40" s="24" t="s">
        <v>1545</v>
      </c>
      <c r="H40" s="24" t="s">
        <v>1390</v>
      </c>
      <c r="I40" s="24" t="s">
        <v>1385</v>
      </c>
      <c r="J40" s="24"/>
      <c r="K40" s="24" t="s">
        <v>392</v>
      </c>
      <c r="L40" s="24" t="s">
        <v>1546</v>
      </c>
      <c r="M40" s="24" t="s">
        <v>1404</v>
      </c>
      <c r="N40" s="24" t="s">
        <v>1542</v>
      </c>
    </row>
    <row r="41" customFormat="false" ht="15" hidden="false" customHeight="true" outlineLevel="0" collapsed="false">
      <c r="A41" s="24" t="s">
        <v>988</v>
      </c>
      <c r="B41" s="24" t="s">
        <v>988</v>
      </c>
      <c r="C41" s="24" t="s">
        <v>1547</v>
      </c>
      <c r="D41" s="24" t="n">
        <v>2011</v>
      </c>
      <c r="E41" s="24" t="s">
        <v>1548</v>
      </c>
      <c r="F41" s="24" t="s">
        <v>1549</v>
      </c>
      <c r="G41" s="24" t="s">
        <v>1383</v>
      </c>
      <c r="H41" s="24" t="s">
        <v>1390</v>
      </c>
      <c r="I41" s="24" t="s">
        <v>1550</v>
      </c>
      <c r="J41" s="24" t="n">
        <v>1</v>
      </c>
      <c r="K41" s="24" t="s">
        <v>389</v>
      </c>
      <c r="L41" s="24" t="s">
        <v>1551</v>
      </c>
      <c r="M41" s="24" t="s">
        <v>1387</v>
      </c>
      <c r="N41" s="24" t="s">
        <v>1055</v>
      </c>
    </row>
    <row r="42" customFormat="false" ht="15" hidden="false" customHeight="true" outlineLevel="0" collapsed="false">
      <c r="A42" s="24" t="s">
        <v>988</v>
      </c>
      <c r="B42" s="24" t="s">
        <v>988</v>
      </c>
      <c r="C42" s="24" t="s">
        <v>1547</v>
      </c>
      <c r="D42" s="24" t="n">
        <v>2011</v>
      </c>
      <c r="E42" s="24" t="s">
        <v>1552</v>
      </c>
      <c r="F42" s="24" t="s">
        <v>1553</v>
      </c>
      <c r="G42" s="24" t="s">
        <v>1554</v>
      </c>
      <c r="H42" s="24" t="s">
        <v>1555</v>
      </c>
      <c r="I42" s="24" t="s">
        <v>1556</v>
      </c>
      <c r="J42" s="24" t="n">
        <v>1</v>
      </c>
      <c r="K42" s="24" t="s">
        <v>413</v>
      </c>
      <c r="L42" s="24" t="s">
        <v>1557</v>
      </c>
      <c r="M42" s="24" t="s">
        <v>1387</v>
      </c>
      <c r="N42" s="24" t="s">
        <v>1537</v>
      </c>
    </row>
    <row r="43" customFormat="false" ht="15" hidden="false" customHeight="true" outlineLevel="0" collapsed="false">
      <c r="A43" s="24" t="s">
        <v>988</v>
      </c>
      <c r="B43" s="24" t="s">
        <v>988</v>
      </c>
      <c r="C43" s="24" t="s">
        <v>1547</v>
      </c>
      <c r="D43" s="24" t="n">
        <v>2011</v>
      </c>
      <c r="E43" s="24" t="s">
        <v>1558</v>
      </c>
      <c r="F43" s="24" t="s">
        <v>1559</v>
      </c>
      <c r="G43" s="24" t="s">
        <v>1560</v>
      </c>
      <c r="H43" s="24" t="s">
        <v>1555</v>
      </c>
      <c r="I43" s="24" t="s">
        <v>1561</v>
      </c>
      <c r="J43" s="24" t="n">
        <v>1</v>
      </c>
      <c r="K43" s="24" t="s">
        <v>392</v>
      </c>
      <c r="L43" s="24" t="s">
        <v>1562</v>
      </c>
      <c r="M43" s="24" t="s">
        <v>1387</v>
      </c>
      <c r="N43" s="24" t="s">
        <v>1537</v>
      </c>
    </row>
    <row r="44" customFormat="false" ht="15" hidden="false" customHeight="true" outlineLevel="0" collapsed="false">
      <c r="A44" s="24" t="s">
        <v>988</v>
      </c>
      <c r="B44" s="24" t="s">
        <v>988</v>
      </c>
      <c r="C44" s="24" t="s">
        <v>1547</v>
      </c>
      <c r="D44" s="24" t="n">
        <v>2011</v>
      </c>
      <c r="E44" s="24" t="s">
        <v>1563</v>
      </c>
      <c r="F44" s="24" t="s">
        <v>1564</v>
      </c>
      <c r="G44" s="24" t="s">
        <v>1565</v>
      </c>
      <c r="H44" s="24" t="s">
        <v>1555</v>
      </c>
      <c r="I44" s="24" t="s">
        <v>1561</v>
      </c>
      <c r="J44" s="24" t="n">
        <v>1</v>
      </c>
      <c r="K44" s="24" t="s">
        <v>392</v>
      </c>
      <c r="L44" s="24" t="s">
        <v>1566</v>
      </c>
      <c r="M44" s="24" t="s">
        <v>1387</v>
      </c>
      <c r="N44" s="24" t="s">
        <v>1537</v>
      </c>
    </row>
    <row r="45" customFormat="false" ht="15" hidden="false" customHeight="true" outlineLevel="0" collapsed="false">
      <c r="A45" s="24" t="s">
        <v>988</v>
      </c>
      <c r="B45" s="24" t="s">
        <v>988</v>
      </c>
      <c r="C45" s="24" t="s">
        <v>1547</v>
      </c>
      <c r="D45" s="24" t="n">
        <v>2011</v>
      </c>
      <c r="E45" s="24" t="s">
        <v>1567</v>
      </c>
      <c r="F45" s="24" t="s">
        <v>1568</v>
      </c>
      <c r="G45" s="24" t="s">
        <v>1569</v>
      </c>
      <c r="H45" s="24" t="s">
        <v>1570</v>
      </c>
      <c r="I45" s="24" t="s">
        <v>1561</v>
      </c>
      <c r="J45" s="24" t="n">
        <v>1</v>
      </c>
      <c r="K45" s="24" t="s">
        <v>401</v>
      </c>
      <c r="L45" s="24" t="s">
        <v>1571</v>
      </c>
      <c r="M45" s="24" t="s">
        <v>1387</v>
      </c>
      <c r="N45" s="24" t="s">
        <v>1537</v>
      </c>
    </row>
    <row r="46" customFormat="false" ht="15" hidden="false" customHeight="true" outlineLevel="0" collapsed="false">
      <c r="A46" s="24" t="s">
        <v>988</v>
      </c>
      <c r="B46" s="24" t="s">
        <v>988</v>
      </c>
      <c r="C46" s="24" t="s">
        <v>1547</v>
      </c>
      <c r="D46" s="24" t="n">
        <v>2011</v>
      </c>
      <c r="E46" s="24" t="s">
        <v>1572</v>
      </c>
      <c r="F46" s="24" t="s">
        <v>1573</v>
      </c>
      <c r="G46" s="24" t="s">
        <v>1574</v>
      </c>
      <c r="H46" s="24" t="s">
        <v>1570</v>
      </c>
      <c r="I46" s="24" t="s">
        <v>1561</v>
      </c>
      <c r="J46" s="24" t="n">
        <v>1</v>
      </c>
      <c r="K46" s="24" t="s">
        <v>401</v>
      </c>
      <c r="L46" s="24" t="s">
        <v>1575</v>
      </c>
      <c r="M46" s="24" t="s">
        <v>1387</v>
      </c>
      <c r="N46" s="24" t="s">
        <v>1537</v>
      </c>
    </row>
    <row r="47" customFormat="false" ht="15" hidden="false" customHeight="true" outlineLevel="0" collapsed="false">
      <c r="A47" s="24" t="s">
        <v>1011</v>
      </c>
      <c r="B47" s="24" t="s">
        <v>1011</v>
      </c>
      <c r="C47" s="24" t="s">
        <v>1576</v>
      </c>
      <c r="D47" s="24" t="n">
        <v>2022</v>
      </c>
      <c r="E47" s="24" t="s">
        <v>1577</v>
      </c>
      <c r="F47" s="24" t="s">
        <v>1578</v>
      </c>
      <c r="G47" s="24" t="s">
        <v>1579</v>
      </c>
      <c r="H47" s="24" t="s">
        <v>1580</v>
      </c>
      <c r="I47" s="24" t="s">
        <v>1581</v>
      </c>
      <c r="J47" s="24" t="s">
        <v>1582</v>
      </c>
      <c r="K47" s="24" t="s">
        <v>404</v>
      </c>
      <c r="L47" s="24" t="s">
        <v>1583</v>
      </c>
      <c r="M47" s="24" t="s">
        <v>1387</v>
      </c>
      <c r="N47" s="24" t="s">
        <v>1055</v>
      </c>
    </row>
    <row r="48" customFormat="false" ht="15" hidden="false" customHeight="true" outlineLevel="0" collapsed="false">
      <c r="A48" s="24" t="s">
        <v>1011</v>
      </c>
      <c r="B48" s="24" t="s">
        <v>1011</v>
      </c>
      <c r="C48" s="24" t="s">
        <v>1576</v>
      </c>
      <c r="D48" s="24" t="n">
        <v>2022</v>
      </c>
      <c r="E48" s="24" t="s">
        <v>1584</v>
      </c>
      <c r="F48" s="24" t="s">
        <v>1585</v>
      </c>
      <c r="G48" s="24" t="s">
        <v>1586</v>
      </c>
      <c r="H48" s="24" t="s">
        <v>1587</v>
      </c>
      <c r="I48" s="24" t="s">
        <v>1581</v>
      </c>
      <c r="J48" s="24" t="s">
        <v>1582</v>
      </c>
      <c r="K48" s="24" t="s">
        <v>398</v>
      </c>
      <c r="L48" s="24" t="s">
        <v>1588</v>
      </c>
      <c r="M48" s="24" t="s">
        <v>1387</v>
      </c>
      <c r="N48" s="24" t="s">
        <v>1055</v>
      </c>
    </row>
    <row r="49" customFormat="false" ht="15" hidden="false" customHeight="true" outlineLevel="0" collapsed="false">
      <c r="A49" s="24" t="s">
        <v>1034</v>
      </c>
      <c r="B49" s="24" t="s">
        <v>1034</v>
      </c>
      <c r="C49" s="24" t="s">
        <v>79</v>
      </c>
      <c r="D49" s="24" t="n">
        <v>2022</v>
      </c>
      <c r="E49" s="24" t="s">
        <v>1589</v>
      </c>
      <c r="F49" s="24" t="s">
        <v>1590</v>
      </c>
      <c r="G49" s="24" t="s">
        <v>1383</v>
      </c>
      <c r="H49" s="24" t="s">
        <v>1390</v>
      </c>
      <c r="I49" s="24" t="s">
        <v>1385</v>
      </c>
      <c r="J49" s="24"/>
      <c r="K49" s="24" t="s">
        <v>389</v>
      </c>
      <c r="L49" s="24" t="s">
        <v>1468</v>
      </c>
      <c r="M49" s="24" t="s">
        <v>1387</v>
      </c>
      <c r="N49" s="24" t="s">
        <v>1055</v>
      </c>
    </row>
    <row r="50" customFormat="false" ht="15" hidden="false" customHeight="true" outlineLevel="0" collapsed="false">
      <c r="A50" s="24" t="s">
        <v>1034</v>
      </c>
      <c r="B50" s="24" t="s">
        <v>1034</v>
      </c>
      <c r="C50" s="24" t="s">
        <v>79</v>
      </c>
      <c r="D50" s="24" t="n">
        <v>2022</v>
      </c>
      <c r="E50" s="24" t="s">
        <v>1591</v>
      </c>
      <c r="F50" s="24" t="s">
        <v>1592</v>
      </c>
      <c r="G50" s="24" t="s">
        <v>1383</v>
      </c>
      <c r="H50" s="24" t="s">
        <v>1555</v>
      </c>
      <c r="I50" s="24" t="s">
        <v>1502</v>
      </c>
      <c r="J50" s="24"/>
      <c r="K50" s="24" t="s">
        <v>410</v>
      </c>
      <c r="L50" s="24" t="s">
        <v>1593</v>
      </c>
      <c r="M50" s="24" t="s">
        <v>1387</v>
      </c>
      <c r="N50" s="24" t="s">
        <v>1055</v>
      </c>
    </row>
    <row r="51" customFormat="false" ht="15" hidden="false" customHeight="true" outlineLevel="0" collapsed="false">
      <c r="A51" s="24" t="s">
        <v>1034</v>
      </c>
      <c r="B51" s="24" t="s">
        <v>1034</v>
      </c>
      <c r="C51" s="24" t="s">
        <v>79</v>
      </c>
      <c r="D51" s="24" t="n">
        <v>2022</v>
      </c>
      <c r="E51" s="24" t="s">
        <v>1594</v>
      </c>
      <c r="F51" s="24" t="s">
        <v>1595</v>
      </c>
      <c r="G51" s="24" t="s">
        <v>1560</v>
      </c>
      <c r="H51" s="24" t="s">
        <v>1555</v>
      </c>
      <c r="I51" s="24" t="s">
        <v>1502</v>
      </c>
      <c r="J51" s="24"/>
      <c r="K51" s="24" t="s">
        <v>386</v>
      </c>
      <c r="L51" s="24" t="s">
        <v>1596</v>
      </c>
      <c r="M51" s="24" t="s">
        <v>1387</v>
      </c>
      <c r="N51" s="24" t="s">
        <v>1055</v>
      </c>
    </row>
    <row r="52" customFormat="false" ht="15" hidden="false" customHeight="true" outlineLevel="0" collapsed="false">
      <c r="A52" s="24" t="s">
        <v>1034</v>
      </c>
      <c r="B52" s="24" t="s">
        <v>1034</v>
      </c>
      <c r="C52" s="24" t="s">
        <v>79</v>
      </c>
      <c r="D52" s="24" t="n">
        <v>2022</v>
      </c>
      <c r="E52" s="24" t="s">
        <v>1597</v>
      </c>
      <c r="F52" s="24" t="s">
        <v>1598</v>
      </c>
      <c r="G52" s="24" t="s">
        <v>1560</v>
      </c>
      <c r="H52" s="24" t="s">
        <v>1555</v>
      </c>
      <c r="I52" s="24" t="s">
        <v>1502</v>
      </c>
      <c r="J52" s="24"/>
      <c r="K52" s="24" t="s">
        <v>455</v>
      </c>
      <c r="L52" s="24" t="s">
        <v>1599</v>
      </c>
      <c r="M52" s="24" t="s">
        <v>1387</v>
      </c>
      <c r="N52" s="24" t="s">
        <v>455</v>
      </c>
    </row>
    <row r="53" customFormat="false" ht="15" hidden="false" customHeight="true" outlineLevel="0" collapsed="false">
      <c r="A53" s="24" t="s">
        <v>1034</v>
      </c>
      <c r="B53" s="24" t="s">
        <v>1034</v>
      </c>
      <c r="C53" s="24" t="s">
        <v>79</v>
      </c>
      <c r="D53" s="24" t="n">
        <v>2022</v>
      </c>
      <c r="E53" s="24" t="s">
        <v>1600</v>
      </c>
      <c r="F53" s="24" t="s">
        <v>1601</v>
      </c>
      <c r="G53" s="24" t="s">
        <v>1602</v>
      </c>
      <c r="H53" s="24" t="s">
        <v>1555</v>
      </c>
      <c r="I53" s="24" t="s">
        <v>1502</v>
      </c>
      <c r="J53" s="24"/>
      <c r="K53" s="24" t="s">
        <v>455</v>
      </c>
      <c r="L53" s="24" t="s">
        <v>1503</v>
      </c>
      <c r="M53" s="24" t="s">
        <v>1387</v>
      </c>
      <c r="N53" s="24" t="s">
        <v>455</v>
      </c>
    </row>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786</v>
      </c>
      <c r="H1" s="20" t="s">
        <v>787</v>
      </c>
      <c r="I1" s="20" t="s">
        <v>62</v>
      </c>
      <c r="J1" s="20" t="s">
        <v>63</v>
      </c>
      <c r="K1" s="20" t="s">
        <v>788</v>
      </c>
      <c r="L1" s="20" t="s">
        <v>64</v>
      </c>
      <c r="M1" s="20" t="s">
        <v>1603</v>
      </c>
    </row>
    <row r="2" customFormat="false" ht="15" hidden="false" customHeight="true" outlineLevel="0" collapsed="false">
      <c r="A2" s="5" t="n">
        <v>164</v>
      </c>
      <c r="B2" s="5" t="n">
        <v>164</v>
      </c>
      <c r="C2" s="5" t="s">
        <v>1380</v>
      </c>
      <c r="D2" s="5" t="n">
        <v>2000</v>
      </c>
      <c r="E2" s="5" t="s">
        <v>887</v>
      </c>
      <c r="F2" s="5" t="s">
        <v>1604</v>
      </c>
      <c r="G2" s="5" t="s">
        <v>889</v>
      </c>
      <c r="H2" s="5" t="s">
        <v>890</v>
      </c>
      <c r="I2" s="5" t="n">
        <v>30.933</v>
      </c>
      <c r="J2" s="5" t="n">
        <v>75.867</v>
      </c>
      <c r="K2" s="5" t="s">
        <v>840</v>
      </c>
      <c r="L2" s="5" t="s">
        <v>891</v>
      </c>
      <c r="M2" s="5"/>
    </row>
    <row r="3" customFormat="false" ht="15" hidden="false" customHeight="true" outlineLevel="0" collapsed="false">
      <c r="A3" s="5" t="n">
        <v>164</v>
      </c>
      <c r="B3" s="5" t="n">
        <v>164</v>
      </c>
      <c r="C3" s="5" t="s">
        <v>1380</v>
      </c>
      <c r="D3" s="5" t="n">
        <v>2000</v>
      </c>
      <c r="E3" s="5" t="s">
        <v>1605</v>
      </c>
      <c r="F3" s="5" t="s">
        <v>1606</v>
      </c>
      <c r="G3" s="5" t="s">
        <v>1607</v>
      </c>
      <c r="H3" s="5" t="s">
        <v>1608</v>
      </c>
      <c r="I3" s="5" t="n">
        <v>29</v>
      </c>
      <c r="J3" s="5" t="n">
        <v>79.083</v>
      </c>
      <c r="K3" s="5" t="s">
        <v>840</v>
      </c>
      <c r="L3" s="5" t="s">
        <v>83</v>
      </c>
      <c r="M3" s="5" t="s">
        <v>1609</v>
      </c>
    </row>
    <row r="4" customFormat="false" ht="15" hidden="false" customHeight="true" outlineLevel="0" collapsed="false">
      <c r="A4" s="5" t="n">
        <v>164</v>
      </c>
      <c r="B4" s="5" t="n">
        <v>164</v>
      </c>
      <c r="C4" s="5" t="s">
        <v>1380</v>
      </c>
      <c r="D4" s="5" t="n">
        <v>2000</v>
      </c>
      <c r="E4" s="5" t="s">
        <v>857</v>
      </c>
      <c r="F4" s="5" t="s">
        <v>1610</v>
      </c>
      <c r="G4" s="5" t="s">
        <v>1611</v>
      </c>
      <c r="H4" s="5" t="s">
        <v>1612</v>
      </c>
      <c r="I4" s="5" t="n">
        <v>26.967</v>
      </c>
      <c r="J4" s="5" t="n">
        <v>80.567</v>
      </c>
      <c r="K4" s="5" t="s">
        <v>840</v>
      </c>
      <c r="L4" s="5" t="s">
        <v>83</v>
      </c>
      <c r="M4" s="5"/>
    </row>
    <row r="5" customFormat="false" ht="15" hidden="false" customHeight="true" outlineLevel="0" collapsed="false">
      <c r="A5" s="5" t="n">
        <v>164</v>
      </c>
      <c r="B5" s="5" t="n">
        <v>164</v>
      </c>
      <c r="C5" s="5" t="s">
        <v>1380</v>
      </c>
      <c r="D5" s="5" t="n">
        <v>2000</v>
      </c>
      <c r="E5" s="5" t="s">
        <v>857</v>
      </c>
      <c r="F5" s="5" t="s">
        <v>1613</v>
      </c>
      <c r="G5" s="5" t="s">
        <v>1614</v>
      </c>
      <c r="H5" s="5" t="s">
        <v>1615</v>
      </c>
      <c r="I5" s="5" t="n">
        <v>26.067</v>
      </c>
      <c r="J5" s="5" t="n">
        <v>82.133</v>
      </c>
      <c r="K5" s="5" t="s">
        <v>840</v>
      </c>
      <c r="L5" s="5" t="s">
        <v>83</v>
      </c>
      <c r="M5" s="5" t="s">
        <v>1616</v>
      </c>
    </row>
    <row r="6" customFormat="false" ht="15" hidden="false" customHeight="true" outlineLevel="0" collapsed="false">
      <c r="A6" s="5" t="n">
        <v>164</v>
      </c>
      <c r="B6" s="5" t="n">
        <v>164</v>
      </c>
      <c r="C6" s="5" t="s">
        <v>1380</v>
      </c>
      <c r="D6" s="5" t="n">
        <v>2000</v>
      </c>
      <c r="E6" s="5" t="s">
        <v>1617</v>
      </c>
      <c r="F6" s="5" t="s">
        <v>1618</v>
      </c>
      <c r="G6" s="5" t="s">
        <v>1619</v>
      </c>
      <c r="H6" s="5" t="s">
        <v>1620</v>
      </c>
      <c r="I6" s="5" t="n">
        <v>25.233</v>
      </c>
      <c r="J6" s="5" t="n">
        <v>87.067</v>
      </c>
      <c r="K6" s="5" t="s">
        <v>840</v>
      </c>
      <c r="L6" s="5" t="s">
        <v>83</v>
      </c>
      <c r="M6" s="5"/>
    </row>
    <row r="7" customFormat="false" ht="15" hidden="false" customHeight="true" outlineLevel="0" collapsed="false">
      <c r="A7" s="5" t="n">
        <v>164</v>
      </c>
      <c r="B7" s="5" t="n">
        <v>164</v>
      </c>
      <c r="C7" s="5" t="s">
        <v>1380</v>
      </c>
      <c r="D7" s="5" t="n">
        <v>2000</v>
      </c>
      <c r="E7" s="5" t="s">
        <v>1621</v>
      </c>
      <c r="F7" s="5" t="s">
        <v>1622</v>
      </c>
      <c r="G7" s="5" t="s">
        <v>1623</v>
      </c>
      <c r="H7" s="5" t="s">
        <v>1624</v>
      </c>
      <c r="I7" s="5" t="n">
        <v>23</v>
      </c>
      <c r="J7" s="5" t="n">
        <v>89</v>
      </c>
      <c r="K7" s="5" t="s">
        <v>840</v>
      </c>
      <c r="L7" s="5" t="s">
        <v>83</v>
      </c>
      <c r="M7" s="5" t="s">
        <v>1625</v>
      </c>
    </row>
    <row r="8" customFormat="false" ht="15" hidden="false" customHeight="true" outlineLevel="0" collapsed="false">
      <c r="A8" s="5" t="n">
        <v>164</v>
      </c>
      <c r="B8" s="5" t="n">
        <v>164</v>
      </c>
      <c r="C8" s="5" t="s">
        <v>1380</v>
      </c>
      <c r="D8" s="5" t="n">
        <v>2000</v>
      </c>
      <c r="E8" s="5" t="s">
        <v>1626</v>
      </c>
      <c r="F8" s="5" t="s">
        <v>1627</v>
      </c>
      <c r="G8" s="5" t="s">
        <v>1628</v>
      </c>
      <c r="H8" s="5" t="s">
        <v>1629</v>
      </c>
      <c r="I8" s="5" t="n">
        <v>23.167</v>
      </c>
      <c r="J8" s="5" t="n">
        <v>79.95</v>
      </c>
      <c r="K8" s="5" t="s">
        <v>840</v>
      </c>
      <c r="L8" s="5" t="s">
        <v>83</v>
      </c>
      <c r="M8" s="5"/>
    </row>
    <row r="9" customFormat="false" ht="15" hidden="false" customHeight="true" outlineLevel="0" collapsed="false">
      <c r="A9" s="5" t="n">
        <v>165</v>
      </c>
      <c r="B9" s="5" t="n">
        <v>165</v>
      </c>
      <c r="C9" s="5" t="s">
        <v>1410</v>
      </c>
      <c r="D9" s="5" t="n">
        <v>2012</v>
      </c>
      <c r="E9" s="5" t="s">
        <v>836</v>
      </c>
      <c r="F9" s="5" t="s">
        <v>1630</v>
      </c>
      <c r="G9" s="5" t="s">
        <v>838</v>
      </c>
      <c r="H9" s="5" t="s">
        <v>839</v>
      </c>
      <c r="I9" s="5" t="n">
        <v>28.633</v>
      </c>
      <c r="J9" s="5" t="n">
        <v>77.183</v>
      </c>
      <c r="K9" s="5" t="s">
        <v>840</v>
      </c>
      <c r="L9" s="5" t="s">
        <v>83</v>
      </c>
      <c r="M9" s="5"/>
    </row>
    <row r="10" customFormat="false" ht="15" hidden="false" customHeight="true" outlineLevel="0" collapsed="false">
      <c r="A10" s="5" t="n">
        <v>166</v>
      </c>
      <c r="B10" s="5" t="n">
        <v>166</v>
      </c>
      <c r="C10" s="5" t="s">
        <v>1428</v>
      </c>
      <c r="D10" s="5" t="n">
        <v>2014</v>
      </c>
      <c r="E10" s="5" t="s">
        <v>857</v>
      </c>
      <c r="F10" s="5" t="s">
        <v>1631</v>
      </c>
      <c r="G10" s="5" t="s">
        <v>859</v>
      </c>
      <c r="H10" s="5" t="s">
        <v>860</v>
      </c>
      <c r="I10" s="5" t="n">
        <v>29.067</v>
      </c>
      <c r="J10" s="5" t="n">
        <v>77.767</v>
      </c>
      <c r="K10" s="5" t="s">
        <v>840</v>
      </c>
      <c r="L10" s="5" t="s">
        <v>83</v>
      </c>
      <c r="M10" s="5"/>
    </row>
    <row r="11" customFormat="false" ht="15" hidden="false" customHeight="true" outlineLevel="0" collapsed="false">
      <c r="A11" s="5" t="n">
        <v>167</v>
      </c>
      <c r="B11" s="5" t="n">
        <v>167</v>
      </c>
      <c r="C11" s="5" t="s">
        <v>1459</v>
      </c>
      <c r="D11" s="5" t="n">
        <v>2023</v>
      </c>
      <c r="E11" s="5" t="s">
        <v>876</v>
      </c>
      <c r="F11" s="5" t="s">
        <v>1632</v>
      </c>
      <c r="G11" s="5"/>
      <c r="H11" s="5"/>
      <c r="I11" s="5"/>
      <c r="J11" s="5"/>
      <c r="K11" s="5" t="s">
        <v>1633</v>
      </c>
      <c r="L11" s="5"/>
      <c r="M11" s="5" t="s">
        <v>1634</v>
      </c>
    </row>
    <row r="12" customFormat="false" ht="15" hidden="false" customHeight="true" outlineLevel="0" collapsed="false">
      <c r="A12" s="5" t="n">
        <v>168</v>
      </c>
      <c r="B12" s="5" t="n">
        <v>168</v>
      </c>
      <c r="C12" s="5" t="s">
        <v>1464</v>
      </c>
      <c r="D12" s="5" t="n">
        <v>2020</v>
      </c>
      <c r="E12" s="5" t="s">
        <v>887</v>
      </c>
      <c r="F12" s="5" t="s">
        <v>1635</v>
      </c>
      <c r="G12" s="5" t="s">
        <v>889</v>
      </c>
      <c r="H12" s="5" t="s">
        <v>890</v>
      </c>
      <c r="I12" s="5" t="n">
        <v>30.933</v>
      </c>
      <c r="J12" s="5" t="n">
        <v>75.867</v>
      </c>
      <c r="K12" s="5" t="s">
        <v>840</v>
      </c>
      <c r="L12" s="5" t="s">
        <v>891</v>
      </c>
      <c r="M12" s="5"/>
    </row>
    <row r="13" customFormat="false" ht="15" hidden="false" customHeight="true" outlineLevel="0" collapsed="false">
      <c r="A13" s="5" t="n">
        <v>169</v>
      </c>
      <c r="B13" s="5" t="n">
        <v>169</v>
      </c>
      <c r="C13" s="5" t="s">
        <v>1480</v>
      </c>
      <c r="D13" s="5" t="n">
        <v>2005</v>
      </c>
      <c r="E13" s="5" t="s">
        <v>857</v>
      </c>
      <c r="F13" s="5" t="s">
        <v>1636</v>
      </c>
      <c r="G13" s="5"/>
      <c r="H13" s="5"/>
      <c r="I13" s="5"/>
      <c r="J13" s="5"/>
      <c r="K13" s="5" t="s">
        <v>1637</v>
      </c>
      <c r="L13" s="5"/>
      <c r="M13" s="5" t="s">
        <v>1634</v>
      </c>
    </row>
    <row r="14" customFormat="false" ht="15" hidden="false" customHeight="true" outlineLevel="0" collapsed="false">
      <c r="A14" s="5" t="s">
        <v>908</v>
      </c>
      <c r="B14" s="5" t="s">
        <v>908</v>
      </c>
      <c r="C14" s="5" t="s">
        <v>1485</v>
      </c>
      <c r="D14" s="5" t="n">
        <v>2019</v>
      </c>
      <c r="E14" s="5" t="s">
        <v>912</v>
      </c>
      <c r="F14" s="5" t="s">
        <v>1638</v>
      </c>
      <c r="G14" s="5" t="s">
        <v>1639</v>
      </c>
      <c r="H14" s="5" t="s">
        <v>1640</v>
      </c>
      <c r="I14" s="5" t="n">
        <v>29.7</v>
      </c>
      <c r="J14" s="5" t="n">
        <v>76.96</v>
      </c>
      <c r="K14" s="5" t="s">
        <v>840</v>
      </c>
      <c r="L14" s="5" t="s">
        <v>83</v>
      </c>
      <c r="M14" s="5" t="s">
        <v>1641</v>
      </c>
    </row>
    <row r="15" customFormat="false" ht="15" hidden="false" customHeight="true" outlineLevel="0" collapsed="false">
      <c r="A15" s="5" t="s">
        <v>925</v>
      </c>
      <c r="B15" s="5" t="s">
        <v>925</v>
      </c>
      <c r="C15" s="5" t="s">
        <v>1485</v>
      </c>
      <c r="D15" s="5" t="n">
        <v>2019</v>
      </c>
      <c r="E15" s="5" t="s">
        <v>912</v>
      </c>
      <c r="F15" s="5" t="s">
        <v>1638</v>
      </c>
      <c r="G15" s="5" t="s">
        <v>1639</v>
      </c>
      <c r="H15" s="5" t="s">
        <v>1642</v>
      </c>
      <c r="I15" s="5" t="n">
        <v>29.7</v>
      </c>
      <c r="J15" s="5" t="n">
        <v>76.95</v>
      </c>
      <c r="K15" s="5" t="s">
        <v>840</v>
      </c>
      <c r="L15" s="5" t="s">
        <v>83</v>
      </c>
      <c r="M15" s="5"/>
    </row>
    <row r="16" customFormat="false" ht="15" hidden="false" customHeight="true" outlineLevel="0" collapsed="false">
      <c r="A16" s="5" t="s">
        <v>935</v>
      </c>
      <c r="B16" s="5" t="s">
        <v>935</v>
      </c>
      <c r="C16" s="5" t="s">
        <v>1508</v>
      </c>
      <c r="D16" s="5" t="n">
        <v>2020</v>
      </c>
      <c r="E16" s="5" t="s">
        <v>836</v>
      </c>
      <c r="F16" s="5" t="s">
        <v>1630</v>
      </c>
      <c r="G16" s="5" t="s">
        <v>941</v>
      </c>
      <c r="H16" s="5" t="s">
        <v>942</v>
      </c>
      <c r="I16" s="5" t="n">
        <v>28.4</v>
      </c>
      <c r="J16" s="5" t="n">
        <v>77.1</v>
      </c>
      <c r="K16" s="5" t="s">
        <v>840</v>
      </c>
      <c r="L16" s="5" t="s">
        <v>83</v>
      </c>
      <c r="M16" s="5"/>
    </row>
    <row r="17" customFormat="false" ht="15" hidden="false" customHeight="true" outlineLevel="0" collapsed="false">
      <c r="A17" s="5" t="s">
        <v>952</v>
      </c>
      <c r="B17" s="5" t="s">
        <v>952</v>
      </c>
      <c r="C17" s="5" t="s">
        <v>1522</v>
      </c>
      <c r="D17" s="5" t="n">
        <v>2023</v>
      </c>
      <c r="E17" s="5" t="s">
        <v>957</v>
      </c>
      <c r="F17" s="5" t="s">
        <v>1643</v>
      </c>
      <c r="G17" s="5" t="s">
        <v>656</v>
      </c>
      <c r="H17" s="5" t="s">
        <v>656</v>
      </c>
      <c r="I17" s="5" t="n">
        <v>35.27</v>
      </c>
      <c r="J17" s="5" t="n">
        <v>119.38</v>
      </c>
      <c r="K17" s="5" t="s">
        <v>1644</v>
      </c>
      <c r="L17" s="5" t="s">
        <v>891</v>
      </c>
      <c r="M17" s="5" t="s">
        <v>1645</v>
      </c>
    </row>
    <row r="18" customFormat="false" ht="15" hidden="false" customHeight="false" outlineLevel="0" collapsed="false">
      <c r="A18" s="24" t="n">
        <v>170</v>
      </c>
      <c r="B18" s="24" t="n">
        <v>170</v>
      </c>
      <c r="C18" s="24" t="s">
        <v>971</v>
      </c>
      <c r="D18" s="24" t="n">
        <v>2003</v>
      </c>
      <c r="E18" s="24" t="s">
        <v>887</v>
      </c>
      <c r="F18" s="24" t="s">
        <v>1635</v>
      </c>
      <c r="G18" s="24" t="s">
        <v>975</v>
      </c>
      <c r="H18" s="24" t="s">
        <v>976</v>
      </c>
      <c r="I18" s="24" t="n">
        <v>30.933</v>
      </c>
      <c r="J18" s="24" t="n">
        <v>75.867</v>
      </c>
      <c r="K18" s="24" t="s">
        <v>840</v>
      </c>
      <c r="L18" s="24" t="s">
        <v>891</v>
      </c>
      <c r="M18" s="24"/>
    </row>
    <row r="19" customFormat="false" ht="15" hidden="false" customHeight="false" outlineLevel="0" collapsed="false">
      <c r="A19" s="24" t="s">
        <v>988</v>
      </c>
      <c r="B19" s="24" t="s">
        <v>988</v>
      </c>
      <c r="C19" s="24" t="s">
        <v>1547</v>
      </c>
      <c r="D19" s="24" t="n">
        <v>2011</v>
      </c>
      <c r="E19" s="24" t="s">
        <v>857</v>
      </c>
      <c r="F19" s="24" t="s">
        <v>1646</v>
      </c>
      <c r="G19" s="24" t="s">
        <v>1647</v>
      </c>
      <c r="H19" s="24" t="s">
        <v>995</v>
      </c>
      <c r="I19" s="24" t="n">
        <v>29.017</v>
      </c>
      <c r="J19" s="24" t="n">
        <v>77.75</v>
      </c>
      <c r="K19" s="24" t="s">
        <v>996</v>
      </c>
      <c r="L19" s="24" t="s">
        <v>83</v>
      </c>
      <c r="M19" s="24"/>
    </row>
    <row r="20" customFormat="false" ht="15" hidden="false" customHeight="false" outlineLevel="0" collapsed="false">
      <c r="A20" s="24" t="s">
        <v>1011</v>
      </c>
      <c r="B20" s="24" t="s">
        <v>1011</v>
      </c>
      <c r="C20" s="24" t="s">
        <v>1576</v>
      </c>
      <c r="D20" s="24" t="n">
        <v>2022</v>
      </c>
      <c r="E20" s="24" t="s">
        <v>1015</v>
      </c>
      <c r="F20" s="24" t="s">
        <v>1648</v>
      </c>
      <c r="G20" s="24" t="s">
        <v>1017</v>
      </c>
      <c r="H20" s="24" t="s">
        <v>1018</v>
      </c>
      <c r="I20" s="24" t="n">
        <v>24.724</v>
      </c>
      <c r="J20" s="24" t="n">
        <v>90.437</v>
      </c>
      <c r="K20" s="24" t="s">
        <v>840</v>
      </c>
      <c r="L20" s="24" t="s">
        <v>83</v>
      </c>
      <c r="M20" s="24" t="s">
        <v>1649</v>
      </c>
    </row>
    <row r="21" customFormat="false" ht="15" hidden="false" customHeight="false" outlineLevel="0" collapsed="false">
      <c r="A21" s="24" t="s">
        <v>1034</v>
      </c>
      <c r="B21" s="24" t="s">
        <v>1034</v>
      </c>
      <c r="C21" s="24" t="s">
        <v>79</v>
      </c>
      <c r="D21" s="24" t="n">
        <v>2022</v>
      </c>
      <c r="E21" s="24" t="s">
        <v>912</v>
      </c>
      <c r="F21" s="24" t="s">
        <v>1638</v>
      </c>
      <c r="G21" s="24" t="s">
        <v>1038</v>
      </c>
      <c r="H21" s="24" t="s">
        <v>1039</v>
      </c>
      <c r="I21" s="24" t="n">
        <v>29.706</v>
      </c>
      <c r="J21" s="24" t="n">
        <v>76.956</v>
      </c>
      <c r="K21" s="24" t="s">
        <v>840</v>
      </c>
      <c r="L21" s="24" t="s">
        <v>83</v>
      </c>
      <c r="M21" s="24"/>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1650</v>
      </c>
      <c r="T1" s="27" t="s">
        <v>1651</v>
      </c>
      <c r="U1" s="27" t="s">
        <v>1652</v>
      </c>
      <c r="V1" s="27" t="s">
        <v>1653</v>
      </c>
      <c r="W1" s="27" t="s">
        <v>1654</v>
      </c>
      <c r="X1" s="30" t="s">
        <v>1655</v>
      </c>
      <c r="Y1" s="30" t="s">
        <v>1656</v>
      </c>
      <c r="Z1" s="30" t="s">
        <v>1657</v>
      </c>
      <c r="AA1" s="30" t="s">
        <v>1658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1667</v>
      </c>
      <c r="AT2" s="18" t="s">
        <v>1668</v>
      </c>
      <c r="AU2" s="18" t="s">
        <v>1669</v>
      </c>
      <c r="AV2" s="18" t="s">
        <v>1670</v>
      </c>
      <c r="AW2" s="32" t="s">
        <v>1671</v>
      </c>
      <c r="AX2" s="18" t="s">
        <v>898</v>
      </c>
      <c r="AY2" s="18" t="s">
        <v>1672</v>
      </c>
      <c r="BA2" s="33" t="s">
        <v>89</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1667</v>
      </c>
      <c r="AT3" s="18" t="s">
        <v>1668</v>
      </c>
      <c r="AU3" s="18" t="s">
        <v>1669</v>
      </c>
      <c r="AV3" s="18" t="s">
        <v>1670</v>
      </c>
      <c r="AW3" s="32" t="s">
        <v>1671</v>
      </c>
      <c r="AX3" s="18" t="s">
        <v>898</v>
      </c>
      <c r="AY3" s="18" t="s">
        <v>1672</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1666</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1676</v>
      </c>
      <c r="AT4" s="5" t="s">
        <v>1677</v>
      </c>
      <c r="AU4" s="5" t="s">
        <v>1678</v>
      </c>
      <c r="AV4" s="5" t="s">
        <v>1679</v>
      </c>
      <c r="AW4" s="23" t="s">
        <v>1680</v>
      </c>
      <c r="AX4" s="5" t="s">
        <v>850</v>
      </c>
      <c r="AY4" s="5" t="s">
        <v>1681</v>
      </c>
    </row>
    <row r="5" customFormat="false" ht="15" hidden="false" customHeight="true" outlineLevel="0" collapsed="false">
      <c r="A5" s="5" t="n">
        <v>165</v>
      </c>
      <c r="B5" s="5" t="n">
        <v>165</v>
      </c>
      <c r="C5" s="5" t="s">
        <v>832</v>
      </c>
      <c r="D5" s="5" t="n">
        <v>2012</v>
      </c>
      <c r="E5" s="5" t="s">
        <v>833</v>
      </c>
      <c r="F5" s="5" t="s">
        <v>836</v>
      </c>
      <c r="G5" s="5" t="s">
        <v>837</v>
      </c>
      <c r="H5" s="5" t="n">
        <v>28.633</v>
      </c>
      <c r="I5" s="5" t="n">
        <v>77.183</v>
      </c>
      <c r="J5" s="5" t="s">
        <v>83</v>
      </c>
      <c r="K5" s="5" t="s">
        <v>1675</v>
      </c>
      <c r="L5" s="5" t="s">
        <v>842</v>
      </c>
      <c r="M5" s="5" t="s">
        <v>85</v>
      </c>
      <c r="N5" s="5" t="s">
        <v>86</v>
      </c>
      <c r="O5" s="5" t="s">
        <v>1666</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1682</v>
      </c>
      <c r="AT5" s="5" t="s">
        <v>1683</v>
      </c>
      <c r="AU5" s="5" t="s">
        <v>1678</v>
      </c>
      <c r="AV5" s="5" t="s">
        <v>1679</v>
      </c>
      <c r="AW5" s="23" t="s">
        <v>1684</v>
      </c>
      <c r="AX5" s="5" t="s">
        <v>850</v>
      </c>
      <c r="AY5" s="5" t="s">
        <v>1681</v>
      </c>
    </row>
    <row r="6" customFormat="false" ht="15" hidden="false" customHeight="true" outlineLevel="0" collapsed="false">
      <c r="A6" s="5" t="s">
        <v>952</v>
      </c>
      <c r="B6" s="5" t="s">
        <v>952</v>
      </c>
      <c r="C6" s="5" t="s">
        <v>953</v>
      </c>
      <c r="D6" s="5" t="n">
        <v>2023</v>
      </c>
      <c r="E6" s="5" t="s">
        <v>954</v>
      </c>
      <c r="F6" s="5" t="s">
        <v>957</v>
      </c>
      <c r="G6" s="5" t="s">
        <v>958</v>
      </c>
      <c r="H6" s="5" t="n">
        <v>35.27</v>
      </c>
      <c r="I6" s="5" t="n">
        <v>119.38</v>
      </c>
      <c r="J6" s="5" t="s">
        <v>891</v>
      </c>
      <c r="K6" s="5" t="n">
        <v>2018</v>
      </c>
      <c r="L6" s="5" t="s">
        <v>842</v>
      </c>
      <c r="M6" s="5"/>
      <c r="N6" s="5" t="s">
        <v>86</v>
      </c>
      <c r="O6" s="5" t="s">
        <v>1685</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1686</v>
      </c>
      <c r="AT6" s="5" t="s">
        <v>1687</v>
      </c>
      <c r="AU6" s="5" t="s">
        <v>1688</v>
      </c>
      <c r="AV6" s="5" t="s">
        <v>1689</v>
      </c>
      <c r="AW6" s="23" t="s">
        <v>1690</v>
      </c>
      <c r="AX6" s="5" t="s">
        <v>968</v>
      </c>
      <c r="AY6" s="5" t="s">
        <v>1691</v>
      </c>
    </row>
    <row r="7" customFormat="false" ht="15" hidden="false" customHeight="true" outlineLevel="0" collapsed="false">
      <c r="A7" s="5" t="s">
        <v>952</v>
      </c>
      <c r="B7" s="5" t="s">
        <v>952</v>
      </c>
      <c r="C7" s="5" t="s">
        <v>953</v>
      </c>
      <c r="D7" s="5" t="n">
        <v>2023</v>
      </c>
      <c r="E7" s="5" t="s">
        <v>954</v>
      </c>
      <c r="F7" s="5" t="s">
        <v>957</v>
      </c>
      <c r="G7" s="5" t="s">
        <v>958</v>
      </c>
      <c r="H7" s="5" t="n">
        <v>35.27</v>
      </c>
      <c r="I7" s="5" t="n">
        <v>119.38</v>
      </c>
      <c r="J7" s="5" t="s">
        <v>891</v>
      </c>
      <c r="K7" s="5" t="n">
        <v>2019</v>
      </c>
      <c r="L7" s="5" t="s">
        <v>842</v>
      </c>
      <c r="M7" s="5"/>
      <c r="N7" s="5" t="s">
        <v>86</v>
      </c>
      <c r="O7" s="5" t="s">
        <v>1685</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1686</v>
      </c>
      <c r="AT7" s="5" t="s">
        <v>1692</v>
      </c>
      <c r="AU7" s="5" t="s">
        <v>1688</v>
      </c>
      <c r="AV7" s="5" t="s">
        <v>1689</v>
      </c>
      <c r="AW7" s="23" t="s">
        <v>1690</v>
      </c>
      <c r="AX7" s="5" t="s">
        <v>968</v>
      </c>
      <c r="AY7" s="5" t="s">
        <v>1691</v>
      </c>
    </row>
    <row r="8" customFormat="false" ht="15" hidden="false" customHeight="true" outlineLevel="0" collapsed="false">
      <c r="A8" s="5" t="s">
        <v>952</v>
      </c>
      <c r="B8" s="5" t="s">
        <v>952</v>
      </c>
      <c r="C8" s="5" t="s">
        <v>953</v>
      </c>
      <c r="D8" s="5" t="n">
        <v>2023</v>
      </c>
      <c r="E8" s="5" t="s">
        <v>954</v>
      </c>
      <c r="F8" s="5" t="s">
        <v>957</v>
      </c>
      <c r="G8" s="5" t="s">
        <v>958</v>
      </c>
      <c r="H8" s="5" t="n">
        <v>35.27</v>
      </c>
      <c r="I8" s="5" t="n">
        <v>119.38</v>
      </c>
      <c r="J8" s="5" t="s">
        <v>891</v>
      </c>
      <c r="K8" s="5" t="n">
        <v>2020</v>
      </c>
      <c r="L8" s="5" t="s">
        <v>842</v>
      </c>
      <c r="M8" s="5"/>
      <c r="N8" s="5" t="s">
        <v>86</v>
      </c>
      <c r="O8" s="5" t="s">
        <v>1685</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1686</v>
      </c>
      <c r="AT8" s="5" t="s">
        <v>1693</v>
      </c>
      <c r="AU8" s="5" t="s">
        <v>1688</v>
      </c>
      <c r="AV8" s="5" t="s">
        <v>1689</v>
      </c>
      <c r="AW8" s="23" t="s">
        <v>1690</v>
      </c>
      <c r="AX8" s="5" t="s">
        <v>968</v>
      </c>
      <c r="AY8" s="5" t="s">
        <v>1691</v>
      </c>
    </row>
    <row r="9" customFormat="false" ht="15" hidden="false" customHeight="true" outlineLevel="0" collapsed="false">
      <c r="A9" s="5" t="s">
        <v>952</v>
      </c>
      <c r="B9" s="5" t="s">
        <v>952</v>
      </c>
      <c r="C9" s="5" t="s">
        <v>953</v>
      </c>
      <c r="D9" s="5" t="n">
        <v>2023</v>
      </c>
      <c r="E9" s="5" t="s">
        <v>954</v>
      </c>
      <c r="F9" s="5" t="s">
        <v>957</v>
      </c>
      <c r="G9" s="5" t="s">
        <v>958</v>
      </c>
      <c r="H9" s="5" t="n">
        <v>35.27</v>
      </c>
      <c r="I9" s="5" t="n">
        <v>119.38</v>
      </c>
      <c r="J9" s="5" t="s">
        <v>891</v>
      </c>
      <c r="K9" s="5" t="n">
        <v>2018</v>
      </c>
      <c r="L9" s="5" t="s">
        <v>842</v>
      </c>
      <c r="M9" s="5"/>
      <c r="N9" s="5" t="s">
        <v>1673</v>
      </c>
      <c r="O9" s="5" t="s">
        <v>1694</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1686</v>
      </c>
      <c r="AT9" s="5" t="s">
        <v>1687</v>
      </c>
      <c r="AU9" s="5" t="s">
        <v>1688</v>
      </c>
      <c r="AV9" s="5" t="s">
        <v>1689</v>
      </c>
      <c r="AW9" s="23" t="s">
        <v>1695</v>
      </c>
      <c r="AX9" s="5" t="s">
        <v>968</v>
      </c>
      <c r="AY9" s="5" t="s">
        <v>1691</v>
      </c>
    </row>
    <row r="10" customFormat="false" ht="15" hidden="false" customHeight="true" outlineLevel="0" collapsed="false">
      <c r="A10" s="5" t="s">
        <v>952</v>
      </c>
      <c r="B10" s="5" t="s">
        <v>952</v>
      </c>
      <c r="C10" s="5" t="s">
        <v>953</v>
      </c>
      <c r="D10" s="5" t="n">
        <v>2023</v>
      </c>
      <c r="E10" s="5" t="s">
        <v>954</v>
      </c>
      <c r="F10" s="5" t="s">
        <v>957</v>
      </c>
      <c r="G10" s="5" t="s">
        <v>958</v>
      </c>
      <c r="H10" s="5" t="n">
        <v>35.27</v>
      </c>
      <c r="I10" s="5" t="n">
        <v>119.38</v>
      </c>
      <c r="J10" s="5" t="s">
        <v>891</v>
      </c>
      <c r="K10" s="5" t="n">
        <v>2019</v>
      </c>
      <c r="L10" s="5" t="s">
        <v>842</v>
      </c>
      <c r="M10" s="5"/>
      <c r="N10" s="5" t="s">
        <v>1673</v>
      </c>
      <c r="O10" s="5" t="s">
        <v>1694</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1686</v>
      </c>
      <c r="AT10" s="5" t="s">
        <v>1692</v>
      </c>
      <c r="AU10" s="5" t="s">
        <v>1688</v>
      </c>
      <c r="AV10" s="5" t="s">
        <v>1689</v>
      </c>
      <c r="AW10" s="23" t="s">
        <v>1695</v>
      </c>
      <c r="AX10" s="5" t="s">
        <v>968</v>
      </c>
      <c r="AY10" s="5" t="s">
        <v>1691</v>
      </c>
    </row>
    <row r="11" customFormat="false" ht="15" hidden="false" customHeight="true" outlineLevel="0" collapsed="false">
      <c r="A11" s="5" t="s">
        <v>952</v>
      </c>
      <c r="B11" s="5" t="s">
        <v>952</v>
      </c>
      <c r="C11" s="5" t="s">
        <v>953</v>
      </c>
      <c r="D11" s="5" t="n">
        <v>2023</v>
      </c>
      <c r="E11" s="5" t="s">
        <v>954</v>
      </c>
      <c r="F11" s="5" t="s">
        <v>957</v>
      </c>
      <c r="G11" s="5" t="s">
        <v>958</v>
      </c>
      <c r="H11" s="5" t="n">
        <v>35.27</v>
      </c>
      <c r="I11" s="5" t="n">
        <v>119.38</v>
      </c>
      <c r="J11" s="5" t="s">
        <v>891</v>
      </c>
      <c r="K11" s="5" t="n">
        <v>2020</v>
      </c>
      <c r="L11" s="5" t="s">
        <v>842</v>
      </c>
      <c r="M11" s="5"/>
      <c r="N11" s="5" t="s">
        <v>1673</v>
      </c>
      <c r="O11" s="5" t="s">
        <v>1694</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1686</v>
      </c>
      <c r="AT11" s="5" t="s">
        <v>1693</v>
      </c>
      <c r="AU11" s="5" t="s">
        <v>1688</v>
      </c>
      <c r="AV11" s="5" t="s">
        <v>1689</v>
      </c>
      <c r="AW11" s="23" t="s">
        <v>1695</v>
      </c>
      <c r="AX11" s="5" t="s">
        <v>968</v>
      </c>
      <c r="AY11" s="5" t="s">
        <v>1691</v>
      </c>
    </row>
    <row r="12" customFormat="false" ht="15" hidden="false" customHeight="true" outlineLevel="0" collapsed="false">
      <c r="A12" s="5" t="s">
        <v>952</v>
      </c>
      <c r="B12" s="5" t="s">
        <v>952</v>
      </c>
      <c r="C12" s="5" t="s">
        <v>953</v>
      </c>
      <c r="D12" s="5" t="n">
        <v>2023</v>
      </c>
      <c r="E12" s="5" t="s">
        <v>954</v>
      </c>
      <c r="F12" s="5" t="s">
        <v>957</v>
      </c>
      <c r="G12" s="5" t="s">
        <v>958</v>
      </c>
      <c r="H12" s="5" t="n">
        <v>35.27</v>
      </c>
      <c r="I12" s="5" t="n">
        <v>119.38</v>
      </c>
      <c r="J12" s="5" t="s">
        <v>891</v>
      </c>
      <c r="K12" s="5" t="n">
        <v>2018</v>
      </c>
      <c r="L12" s="5" t="s">
        <v>842</v>
      </c>
      <c r="M12" s="5"/>
      <c r="N12" s="5" t="s">
        <v>1673</v>
      </c>
      <c r="O12" s="5" t="s">
        <v>1696</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1686</v>
      </c>
      <c r="AT12" s="5" t="s">
        <v>1687</v>
      </c>
      <c r="AU12" s="5" t="s">
        <v>1688</v>
      </c>
      <c r="AV12" s="5" t="s">
        <v>1689</v>
      </c>
      <c r="AW12" s="23" t="s">
        <v>1697</v>
      </c>
      <c r="AX12" s="5" t="s">
        <v>968</v>
      </c>
      <c r="AY12" s="5" t="s">
        <v>1691</v>
      </c>
    </row>
    <row r="13" customFormat="false" ht="15" hidden="false" customHeight="true" outlineLevel="0" collapsed="false">
      <c r="A13" s="5" t="s">
        <v>952</v>
      </c>
      <c r="B13" s="5" t="s">
        <v>952</v>
      </c>
      <c r="C13" s="5" t="s">
        <v>953</v>
      </c>
      <c r="D13" s="5" t="n">
        <v>2023</v>
      </c>
      <c r="E13" s="5" t="s">
        <v>954</v>
      </c>
      <c r="F13" s="5" t="s">
        <v>957</v>
      </c>
      <c r="G13" s="5" t="s">
        <v>958</v>
      </c>
      <c r="H13" s="5" t="n">
        <v>35.27</v>
      </c>
      <c r="I13" s="5" t="n">
        <v>119.38</v>
      </c>
      <c r="J13" s="5" t="s">
        <v>891</v>
      </c>
      <c r="K13" s="5" t="n">
        <v>2019</v>
      </c>
      <c r="L13" s="5" t="s">
        <v>842</v>
      </c>
      <c r="M13" s="5"/>
      <c r="N13" s="5" t="s">
        <v>1673</v>
      </c>
      <c r="O13" s="5" t="s">
        <v>1696</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1686</v>
      </c>
      <c r="AT13" s="5" t="s">
        <v>1692</v>
      </c>
      <c r="AU13" s="5" t="s">
        <v>1688</v>
      </c>
      <c r="AV13" s="5" t="s">
        <v>1689</v>
      </c>
      <c r="AW13" s="23" t="s">
        <v>1697</v>
      </c>
      <c r="AX13" s="5" t="s">
        <v>968</v>
      </c>
      <c r="AY13" s="5" t="s">
        <v>1691</v>
      </c>
    </row>
    <row r="14" customFormat="false" ht="15" hidden="false" customHeight="true" outlineLevel="0" collapsed="false">
      <c r="A14" s="5" t="s">
        <v>952</v>
      </c>
      <c r="B14" s="5" t="s">
        <v>952</v>
      </c>
      <c r="C14" s="5" t="s">
        <v>953</v>
      </c>
      <c r="D14" s="5" t="n">
        <v>2023</v>
      </c>
      <c r="E14" s="5" t="s">
        <v>954</v>
      </c>
      <c r="F14" s="5" t="s">
        <v>957</v>
      </c>
      <c r="G14" s="5" t="s">
        <v>958</v>
      </c>
      <c r="H14" s="5" t="n">
        <v>35.27</v>
      </c>
      <c r="I14" s="5" t="n">
        <v>119.38</v>
      </c>
      <c r="J14" s="5" t="s">
        <v>891</v>
      </c>
      <c r="K14" s="5" t="n">
        <v>2020</v>
      </c>
      <c r="L14" s="5" t="s">
        <v>842</v>
      </c>
      <c r="M14" s="5"/>
      <c r="N14" s="5" t="s">
        <v>1673</v>
      </c>
      <c r="O14" s="5" t="s">
        <v>1696</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1686</v>
      </c>
      <c r="AT14" s="5" t="s">
        <v>1693</v>
      </c>
      <c r="AU14" s="5" t="s">
        <v>1688</v>
      </c>
      <c r="AV14" s="5" t="s">
        <v>1689</v>
      </c>
      <c r="AW14" s="23" t="s">
        <v>1697</v>
      </c>
      <c r="AX14" s="5" t="s">
        <v>968</v>
      </c>
      <c r="AY14" s="5" t="s">
        <v>1691</v>
      </c>
    </row>
    <row r="15" customFormat="false" ht="15" hidden="false" customHeight="true" outlineLevel="0" collapsed="false">
      <c r="A15" s="18" t="s">
        <v>935</v>
      </c>
      <c r="B15" s="18" t="s">
        <v>935</v>
      </c>
      <c r="C15" s="18" t="s">
        <v>936</v>
      </c>
      <c r="D15" s="18" t="n">
        <v>2020</v>
      </c>
      <c r="E15" s="18" t="s">
        <v>937</v>
      </c>
      <c r="F15" s="18" t="s">
        <v>836</v>
      </c>
      <c r="G15" s="18" t="s">
        <v>940</v>
      </c>
      <c r="H15" s="18" t="n">
        <v>28.4</v>
      </c>
      <c r="I15" s="18" t="n">
        <v>77.1</v>
      </c>
      <c r="J15" s="18" t="s">
        <v>83</v>
      </c>
      <c r="K15" s="18" t="s">
        <v>1698</v>
      </c>
      <c r="L15" s="18" t="s">
        <v>823</v>
      </c>
      <c r="M15" s="18" t="s">
        <v>85</v>
      </c>
      <c r="N15" s="18" t="s">
        <v>86</v>
      </c>
      <c r="O15" s="18" t="s">
        <v>1666</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1699</v>
      </c>
      <c r="AT15" s="18" t="s">
        <v>1700</v>
      </c>
      <c r="AU15" s="18" t="s">
        <v>1701</v>
      </c>
      <c r="AV15" s="18" t="s">
        <v>1702</v>
      </c>
      <c r="AW15" s="32" t="s">
        <v>1703</v>
      </c>
      <c r="AX15" s="18" t="s">
        <v>949</v>
      </c>
      <c r="AY15" s="18" t="s">
        <v>1704</v>
      </c>
    </row>
    <row r="16" customFormat="false" ht="15" hidden="false" customHeight="true" outlineLevel="0" collapsed="false">
      <c r="A16" s="18" t="s">
        <v>935</v>
      </c>
      <c r="B16" s="18" t="s">
        <v>935</v>
      </c>
      <c r="C16" s="18" t="s">
        <v>936</v>
      </c>
      <c r="D16" s="18" t="n">
        <v>2020</v>
      </c>
      <c r="E16" s="18" t="s">
        <v>937</v>
      </c>
      <c r="F16" s="18" t="s">
        <v>836</v>
      </c>
      <c r="G16" s="18" t="s">
        <v>940</v>
      </c>
      <c r="H16" s="18" t="n">
        <v>28.4</v>
      </c>
      <c r="I16" s="18" t="n">
        <v>77.1</v>
      </c>
      <c r="J16" s="18" t="s">
        <v>83</v>
      </c>
      <c r="K16" s="18" t="s">
        <v>1698</v>
      </c>
      <c r="L16" s="18" t="s">
        <v>823</v>
      </c>
      <c r="M16" s="18" t="s">
        <v>85</v>
      </c>
      <c r="N16" s="18" t="s">
        <v>86</v>
      </c>
      <c r="O16" s="18" t="s">
        <v>1666</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1705</v>
      </c>
      <c r="AT16" s="18" t="s">
        <v>1700</v>
      </c>
      <c r="AU16" s="18" t="s">
        <v>1701</v>
      </c>
      <c r="AV16" s="18" t="s">
        <v>1702</v>
      </c>
      <c r="AW16" s="32" t="s">
        <v>1706</v>
      </c>
      <c r="AX16" s="18" t="s">
        <v>949</v>
      </c>
      <c r="AY16" s="18" t="s">
        <v>1704</v>
      </c>
    </row>
    <row r="17" customFormat="false" ht="15" hidden="false" customHeight="true" outlineLevel="0" collapsed="false">
      <c r="A17" s="18" t="s">
        <v>935</v>
      </c>
      <c r="B17" s="18" t="s">
        <v>935</v>
      </c>
      <c r="C17" s="18" t="s">
        <v>936</v>
      </c>
      <c r="D17" s="18" t="n">
        <v>2020</v>
      </c>
      <c r="E17" s="18" t="s">
        <v>937</v>
      </c>
      <c r="F17" s="18" t="s">
        <v>836</v>
      </c>
      <c r="G17" s="18" t="s">
        <v>940</v>
      </c>
      <c r="H17" s="18" t="n">
        <v>28.4</v>
      </c>
      <c r="I17" s="18" t="n">
        <v>77.1</v>
      </c>
      <c r="J17" s="18" t="s">
        <v>83</v>
      </c>
      <c r="K17" s="18" t="s">
        <v>1698</v>
      </c>
      <c r="L17" s="18" t="s">
        <v>823</v>
      </c>
      <c r="M17" s="18" t="s">
        <v>85</v>
      </c>
      <c r="N17" s="18" t="s">
        <v>86</v>
      </c>
      <c r="O17" s="18" t="s">
        <v>1666</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1707</v>
      </c>
      <c r="AT17" s="18" t="s">
        <v>1700</v>
      </c>
      <c r="AU17" s="18" t="s">
        <v>1701</v>
      </c>
      <c r="AV17" s="18" t="s">
        <v>1702</v>
      </c>
      <c r="AW17" s="32" t="s">
        <v>1708</v>
      </c>
      <c r="AX17" s="18" t="s">
        <v>949</v>
      </c>
      <c r="AY17" s="18" t="s">
        <v>1704</v>
      </c>
    </row>
    <row r="18" customFormat="false" ht="15" hidden="false" customHeight="true" outlineLevel="0" collapsed="false">
      <c r="A18" s="18" t="s">
        <v>935</v>
      </c>
      <c r="B18" s="18" t="s">
        <v>935</v>
      </c>
      <c r="C18" s="18" t="s">
        <v>936</v>
      </c>
      <c r="D18" s="18" t="n">
        <v>2020</v>
      </c>
      <c r="E18" s="18" t="s">
        <v>937</v>
      </c>
      <c r="F18" s="18" t="s">
        <v>836</v>
      </c>
      <c r="G18" s="18" t="s">
        <v>940</v>
      </c>
      <c r="H18" s="18" t="n">
        <v>28.4</v>
      </c>
      <c r="I18" s="18" t="n">
        <v>77.1</v>
      </c>
      <c r="J18" s="18" t="s">
        <v>83</v>
      </c>
      <c r="K18" s="18" t="s">
        <v>1698</v>
      </c>
      <c r="L18" s="18" t="s">
        <v>823</v>
      </c>
      <c r="M18" s="18" t="s">
        <v>85</v>
      </c>
      <c r="N18" s="18" t="s">
        <v>86</v>
      </c>
      <c r="O18" s="18" t="s">
        <v>1666</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1709</v>
      </c>
      <c r="AT18" s="18" t="s">
        <v>1700</v>
      </c>
      <c r="AU18" s="18" t="s">
        <v>1701</v>
      </c>
      <c r="AV18" s="18" t="s">
        <v>1702</v>
      </c>
      <c r="AW18" s="32" t="s">
        <v>1710</v>
      </c>
      <c r="AX18" s="18" t="s">
        <v>949</v>
      </c>
      <c r="AY18" s="18" t="s">
        <v>1704</v>
      </c>
    </row>
    <row r="19" customFormat="false" ht="15" hidden="false" customHeight="true" outlineLevel="0" collapsed="false">
      <c r="A19" s="18" t="s">
        <v>935</v>
      </c>
      <c r="B19" s="18" t="s">
        <v>935</v>
      </c>
      <c r="C19" s="18" t="s">
        <v>936</v>
      </c>
      <c r="D19" s="18" t="n">
        <v>2020</v>
      </c>
      <c r="E19" s="18" t="s">
        <v>937</v>
      </c>
      <c r="F19" s="18" t="s">
        <v>836</v>
      </c>
      <c r="G19" s="18" t="s">
        <v>940</v>
      </c>
      <c r="H19" s="18" t="n">
        <v>28.4</v>
      </c>
      <c r="I19" s="18" t="n">
        <v>77.1</v>
      </c>
      <c r="J19" s="18" t="s">
        <v>83</v>
      </c>
      <c r="K19" s="18" t="s">
        <v>1698</v>
      </c>
      <c r="L19" s="18" t="s">
        <v>823</v>
      </c>
      <c r="M19" s="18" t="s">
        <v>85</v>
      </c>
      <c r="N19" s="18" t="s">
        <v>86</v>
      </c>
      <c r="O19" s="18" t="s">
        <v>1666</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1711</v>
      </c>
      <c r="AT19" s="18" t="s">
        <v>1700</v>
      </c>
      <c r="AU19" s="18" t="s">
        <v>1701</v>
      </c>
      <c r="AV19" s="18" t="s">
        <v>1702</v>
      </c>
      <c r="AW19" s="32" t="s">
        <v>1712</v>
      </c>
      <c r="AX19" s="18" t="s">
        <v>949</v>
      </c>
      <c r="AY19" s="18" t="s">
        <v>1704</v>
      </c>
    </row>
    <row r="20" customFormat="false" ht="15" hidden="false" customHeight="true" outlineLevel="0" collapsed="false">
      <c r="A20" s="18" t="s">
        <v>935</v>
      </c>
      <c r="B20" s="18" t="s">
        <v>935</v>
      </c>
      <c r="C20" s="18" t="s">
        <v>936</v>
      </c>
      <c r="D20" s="18" t="n">
        <v>2020</v>
      </c>
      <c r="E20" s="18" t="s">
        <v>937</v>
      </c>
      <c r="F20" s="18" t="s">
        <v>836</v>
      </c>
      <c r="G20" s="18" t="s">
        <v>940</v>
      </c>
      <c r="H20" s="18" t="n">
        <v>28.4</v>
      </c>
      <c r="I20" s="18" t="n">
        <v>77.1</v>
      </c>
      <c r="J20" s="18" t="s">
        <v>83</v>
      </c>
      <c r="K20" s="18" t="s">
        <v>1698</v>
      </c>
      <c r="L20" s="18" t="s">
        <v>823</v>
      </c>
      <c r="M20" s="18" t="s">
        <v>85</v>
      </c>
      <c r="N20" s="18" t="s">
        <v>86</v>
      </c>
      <c r="O20" s="18" t="s">
        <v>1666</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1713</v>
      </c>
      <c r="AT20" s="18" t="s">
        <v>1700</v>
      </c>
      <c r="AU20" s="18" t="s">
        <v>1701</v>
      </c>
      <c r="AV20" s="18" t="s">
        <v>1702</v>
      </c>
      <c r="AW20" s="32" t="s">
        <v>1714</v>
      </c>
      <c r="AX20" s="18" t="s">
        <v>949</v>
      </c>
      <c r="AY20" s="18" t="s">
        <v>1704</v>
      </c>
    </row>
    <row r="21" customFormat="false" ht="15" hidden="false" customHeight="true" outlineLevel="0" collapsed="false">
      <c r="A21" s="18" t="s">
        <v>935</v>
      </c>
      <c r="B21" s="18" t="s">
        <v>935</v>
      </c>
      <c r="C21" s="18" t="s">
        <v>936</v>
      </c>
      <c r="D21" s="18" t="n">
        <v>2020</v>
      </c>
      <c r="E21" s="18" t="s">
        <v>937</v>
      </c>
      <c r="F21" s="18" t="s">
        <v>836</v>
      </c>
      <c r="G21" s="18" t="s">
        <v>940</v>
      </c>
      <c r="H21" s="18" t="n">
        <v>28.4</v>
      </c>
      <c r="I21" s="18" t="n">
        <v>77.1</v>
      </c>
      <c r="J21" s="18" t="s">
        <v>83</v>
      </c>
      <c r="K21" s="18" t="s">
        <v>1698</v>
      </c>
      <c r="L21" s="18" t="s">
        <v>823</v>
      </c>
      <c r="M21" s="18" t="s">
        <v>85</v>
      </c>
      <c r="N21" s="18" t="s">
        <v>86</v>
      </c>
      <c r="O21" s="18" t="s">
        <v>1666</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1715</v>
      </c>
      <c r="AT21" s="18" t="s">
        <v>1700</v>
      </c>
      <c r="AU21" s="18" t="s">
        <v>1701</v>
      </c>
      <c r="AV21" s="18" t="s">
        <v>1702</v>
      </c>
      <c r="AW21" s="32" t="s">
        <v>1716</v>
      </c>
      <c r="AX21" s="18" t="s">
        <v>949</v>
      </c>
      <c r="AY21" s="18" t="s">
        <v>1704</v>
      </c>
    </row>
    <row r="22" customFormat="false" ht="15" hidden="false" customHeight="true" outlineLevel="0" collapsed="false">
      <c r="A22" s="18" t="s">
        <v>935</v>
      </c>
      <c r="B22" s="18" t="s">
        <v>935</v>
      </c>
      <c r="C22" s="18" t="s">
        <v>936</v>
      </c>
      <c r="D22" s="18" t="n">
        <v>2020</v>
      </c>
      <c r="E22" s="18" t="s">
        <v>937</v>
      </c>
      <c r="F22" s="18" t="s">
        <v>836</v>
      </c>
      <c r="G22" s="18" t="s">
        <v>940</v>
      </c>
      <c r="H22" s="18" t="n">
        <v>28.4</v>
      </c>
      <c r="I22" s="18" t="n">
        <v>77.1</v>
      </c>
      <c r="J22" s="18" t="s">
        <v>83</v>
      </c>
      <c r="K22" s="18" t="s">
        <v>1698</v>
      </c>
      <c r="L22" s="18" t="s">
        <v>823</v>
      </c>
      <c r="M22" s="18" t="s">
        <v>85</v>
      </c>
      <c r="N22" s="18" t="s">
        <v>86</v>
      </c>
      <c r="O22" s="18" t="s">
        <v>1666</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1717</v>
      </c>
      <c r="AT22" s="18" t="s">
        <v>1700</v>
      </c>
      <c r="AU22" s="18" t="s">
        <v>1701</v>
      </c>
      <c r="AV22" s="18" t="s">
        <v>1702</v>
      </c>
      <c r="AW22" s="32" t="s">
        <v>1718</v>
      </c>
      <c r="AX22" s="18" t="s">
        <v>949</v>
      </c>
      <c r="AY22" s="18" t="s">
        <v>1704</v>
      </c>
    </row>
    <row r="23" customFormat="false" ht="15" hidden="false" customHeight="true" outlineLevel="0" collapsed="false">
      <c r="A23" s="24" t="s">
        <v>988</v>
      </c>
      <c r="B23" s="24" t="s">
        <v>988</v>
      </c>
      <c r="C23" s="24" t="s">
        <v>989</v>
      </c>
      <c r="D23" s="24" t="n">
        <v>2011</v>
      </c>
      <c r="E23" s="24" t="s">
        <v>990</v>
      </c>
      <c r="F23" s="24" t="s">
        <v>857</v>
      </c>
      <c r="G23" s="24" t="s">
        <v>993</v>
      </c>
      <c r="H23" s="24" t="n">
        <v>29.017</v>
      </c>
      <c r="I23" s="24" t="n">
        <v>77.75</v>
      </c>
      <c r="J23" s="24" t="s">
        <v>83</v>
      </c>
      <c r="K23" s="24" t="s">
        <v>1719</v>
      </c>
      <c r="L23" s="24" t="s">
        <v>84</v>
      </c>
      <c r="M23" s="24" t="s">
        <v>85</v>
      </c>
      <c r="N23" s="24" t="s">
        <v>86</v>
      </c>
      <c r="O23" s="24" t="s">
        <v>1720</v>
      </c>
      <c r="P23" s="24"/>
      <c r="Q23" s="24" t="n">
        <v>1.48</v>
      </c>
      <c r="R23" s="24" t="n">
        <v>1.55</v>
      </c>
      <c r="S23" s="24"/>
      <c r="T23" s="24"/>
      <c r="U23" s="24" t="n">
        <v>1.47</v>
      </c>
      <c r="V23" s="24"/>
      <c r="W23" s="24"/>
      <c r="X23" s="24"/>
      <c r="Y23" s="24" t="n">
        <v>1.5</v>
      </c>
      <c r="Z23" s="24"/>
      <c r="AA23" s="24"/>
      <c r="AB23" s="24" t="n">
        <v>9</v>
      </c>
      <c r="AC23" s="24" t="n">
        <v>3</v>
      </c>
      <c r="AD23" s="24" t="n">
        <f aca="false">IF(AND(N(AB23)&gt;0,N(AC23)&gt;0),SQRT(2*AB23/AC23),"")</f>
        <v>2.44948974278318</v>
      </c>
      <c r="AE23" s="24" t="n">
        <v>19</v>
      </c>
      <c r="AF23" s="24" t="n">
        <v>2</v>
      </c>
      <c r="AG23" s="24" t="n">
        <v>43</v>
      </c>
      <c r="AH23" s="24" t="n">
        <v>800</v>
      </c>
      <c r="AI23" s="24" t="n">
        <v>29.017</v>
      </c>
      <c r="AJ23" s="24" t="s">
        <v>1721</v>
      </c>
      <c r="AK23" s="24"/>
      <c r="AL23" s="24"/>
      <c r="AM23" s="24" t="n">
        <v>8.1</v>
      </c>
      <c r="AN23" s="24"/>
      <c r="AO23" s="24"/>
      <c r="AP23" s="24" t="n">
        <v>55</v>
      </c>
      <c r="AQ23" s="24" t="n">
        <v>26</v>
      </c>
      <c r="AR23" s="24" t="s">
        <v>89</v>
      </c>
      <c r="AS23" s="24" t="s">
        <v>1722</v>
      </c>
      <c r="AT23" s="24" t="s">
        <v>1723</v>
      </c>
      <c r="AU23" s="24" t="s">
        <v>1724</v>
      </c>
      <c r="AV23" s="24" t="s">
        <v>1725</v>
      </c>
      <c r="AW23" s="25" t="s">
        <v>1726</v>
      </c>
      <c r="AX23" s="24" t="s">
        <v>1008</v>
      </c>
      <c r="AY23" s="24" t="s">
        <v>1727</v>
      </c>
    </row>
    <row r="24" customFormat="false" ht="15" hidden="false" customHeight="true" outlineLevel="0" collapsed="false">
      <c r="A24" s="24" t="s">
        <v>988</v>
      </c>
      <c r="B24" s="24" t="s">
        <v>988</v>
      </c>
      <c r="C24" s="24" t="s">
        <v>989</v>
      </c>
      <c r="D24" s="24" t="n">
        <v>2011</v>
      </c>
      <c r="E24" s="24" t="s">
        <v>990</v>
      </c>
      <c r="F24" s="24" t="s">
        <v>857</v>
      </c>
      <c r="G24" s="24" t="s">
        <v>993</v>
      </c>
      <c r="H24" s="24" t="n">
        <v>29.017</v>
      </c>
      <c r="I24" s="24" t="n">
        <v>77.75</v>
      </c>
      <c r="J24" s="24" t="s">
        <v>83</v>
      </c>
      <c r="K24" s="24" t="s">
        <v>1719</v>
      </c>
      <c r="L24" s="24" t="s">
        <v>84</v>
      </c>
      <c r="M24" s="24" t="s">
        <v>85</v>
      </c>
      <c r="N24" s="24" t="s">
        <v>86</v>
      </c>
      <c r="O24" s="24" t="s">
        <v>1720</v>
      </c>
      <c r="P24" s="24"/>
      <c r="Q24" s="24" t="n">
        <v>1.48</v>
      </c>
      <c r="R24" s="24" t="n">
        <v>1.55</v>
      </c>
      <c r="S24" s="24"/>
      <c r="T24" s="24"/>
      <c r="U24" s="24" t="n">
        <v>1.5</v>
      </c>
      <c r="V24" s="24"/>
      <c r="W24" s="24"/>
      <c r="X24" s="24"/>
      <c r="Y24" s="24" t="n">
        <v>1.5</v>
      </c>
      <c r="Z24" s="24"/>
      <c r="AA24" s="24"/>
      <c r="AB24" s="24" t="n">
        <v>9</v>
      </c>
      <c r="AC24" s="24" t="n">
        <v>3</v>
      </c>
      <c r="AD24" s="24" t="n">
        <f aca="false">IF(AND(N(AB24)&gt;0,N(AC24)&gt;0),SQRT(2*AB24/AC24),"")</f>
        <v>2.44948974278318</v>
      </c>
      <c r="AE24" s="24" t="n">
        <v>19</v>
      </c>
      <c r="AF24" s="24" t="n">
        <v>2</v>
      </c>
      <c r="AG24" s="24" t="n">
        <v>43</v>
      </c>
      <c r="AH24" s="24" t="n">
        <v>800</v>
      </c>
      <c r="AI24" s="24" t="n">
        <v>29.017</v>
      </c>
      <c r="AJ24" s="24" t="s">
        <v>1721</v>
      </c>
      <c r="AK24" s="24"/>
      <c r="AL24" s="24"/>
      <c r="AM24" s="24" t="n">
        <v>8.1</v>
      </c>
      <c r="AN24" s="24"/>
      <c r="AO24" s="24"/>
      <c r="AP24" s="24" t="n">
        <v>55</v>
      </c>
      <c r="AQ24" s="24" t="n">
        <v>26</v>
      </c>
      <c r="AR24" s="24" t="s">
        <v>89</v>
      </c>
      <c r="AS24" s="24" t="s">
        <v>1722</v>
      </c>
      <c r="AT24" s="24" t="s">
        <v>1723</v>
      </c>
      <c r="AU24" s="24" t="s">
        <v>1724</v>
      </c>
      <c r="AV24" s="24" t="s">
        <v>1725</v>
      </c>
      <c r="AW24" s="25" t="s">
        <v>1728</v>
      </c>
      <c r="AX24" s="24" t="s">
        <v>1008</v>
      </c>
      <c r="AY24" s="24" t="s">
        <v>1727</v>
      </c>
    </row>
    <row r="25" customFormat="false" ht="15" hidden="false" customHeight="true" outlineLevel="0" collapsed="false">
      <c r="A25" s="24" t="s">
        <v>988</v>
      </c>
      <c r="B25" s="24" t="s">
        <v>988</v>
      </c>
      <c r="C25" s="24" t="s">
        <v>989</v>
      </c>
      <c r="D25" s="24" t="n">
        <v>2011</v>
      </c>
      <c r="E25" s="24" t="s">
        <v>990</v>
      </c>
      <c r="F25" s="24" t="s">
        <v>857</v>
      </c>
      <c r="G25" s="24" t="s">
        <v>993</v>
      </c>
      <c r="H25" s="24" t="n">
        <v>29.017</v>
      </c>
      <c r="I25" s="24" t="n">
        <v>77.75</v>
      </c>
      <c r="J25" s="24" t="s">
        <v>83</v>
      </c>
      <c r="K25" s="24" t="s">
        <v>1719</v>
      </c>
      <c r="L25" s="24" t="s">
        <v>84</v>
      </c>
      <c r="M25" s="24" t="s">
        <v>85</v>
      </c>
      <c r="N25" s="24" t="s">
        <v>86</v>
      </c>
      <c r="O25" s="24" t="s">
        <v>1729</v>
      </c>
      <c r="P25" s="24"/>
      <c r="Q25" s="24" t="n">
        <v>1.58</v>
      </c>
      <c r="R25" s="24" t="n">
        <v>1.6</v>
      </c>
      <c r="S25" s="24"/>
      <c r="T25" s="24"/>
      <c r="U25" s="24" t="n">
        <v>1.6</v>
      </c>
      <c r="V25" s="24"/>
      <c r="W25" s="24"/>
      <c r="X25" s="24"/>
      <c r="Y25" s="24" t="n">
        <v>1.59</v>
      </c>
      <c r="Z25" s="24"/>
      <c r="AA25" s="24"/>
      <c r="AB25" s="24" t="n">
        <v>9</v>
      </c>
      <c r="AC25" s="24" t="n">
        <v>3</v>
      </c>
      <c r="AD25" s="24" t="n">
        <f aca="false">IF(AND(N(AB25)&gt;0,N(AC25)&gt;0),SQRT(2*AB25/AC25),"")</f>
        <v>2.44948974278318</v>
      </c>
      <c r="AE25" s="24" t="n">
        <v>19</v>
      </c>
      <c r="AF25" s="24" t="n">
        <v>2</v>
      </c>
      <c r="AG25" s="24" t="n">
        <v>43</v>
      </c>
      <c r="AH25" s="24" t="n">
        <v>800</v>
      </c>
      <c r="AI25" s="24" t="n">
        <v>29.017</v>
      </c>
      <c r="AJ25" s="24" t="s">
        <v>1721</v>
      </c>
      <c r="AK25" s="24"/>
      <c r="AL25" s="24"/>
      <c r="AM25" s="24" t="n">
        <v>8.1</v>
      </c>
      <c r="AN25" s="24"/>
      <c r="AO25" s="24"/>
      <c r="AP25" s="24" t="n">
        <v>55</v>
      </c>
      <c r="AQ25" s="24" t="n">
        <v>26</v>
      </c>
      <c r="AR25" s="24" t="s">
        <v>89</v>
      </c>
      <c r="AS25" s="24" t="s">
        <v>1722</v>
      </c>
      <c r="AT25" s="24" t="s">
        <v>1723</v>
      </c>
      <c r="AU25" s="24" t="s">
        <v>1724</v>
      </c>
      <c r="AV25" s="24" t="s">
        <v>1725</v>
      </c>
      <c r="AW25" s="25" t="s">
        <v>1726</v>
      </c>
      <c r="AX25" s="24" t="s">
        <v>1008</v>
      </c>
      <c r="AY25" s="24" t="s">
        <v>1727</v>
      </c>
    </row>
    <row r="26" customFormat="false" ht="15" hidden="false" customHeight="true" outlineLevel="0" collapsed="false">
      <c r="A26" s="24" t="s">
        <v>988</v>
      </c>
      <c r="B26" s="24" t="s">
        <v>988</v>
      </c>
      <c r="C26" s="24" t="s">
        <v>989</v>
      </c>
      <c r="D26" s="24" t="n">
        <v>2011</v>
      </c>
      <c r="E26" s="24" t="s">
        <v>990</v>
      </c>
      <c r="F26" s="24" t="s">
        <v>857</v>
      </c>
      <c r="G26" s="24" t="s">
        <v>993</v>
      </c>
      <c r="H26" s="24" t="n">
        <v>29.017</v>
      </c>
      <c r="I26" s="24" t="n">
        <v>77.75</v>
      </c>
      <c r="J26" s="24" t="s">
        <v>83</v>
      </c>
      <c r="K26" s="24" t="s">
        <v>1719</v>
      </c>
      <c r="L26" s="24" t="s">
        <v>84</v>
      </c>
      <c r="M26" s="24" t="s">
        <v>85</v>
      </c>
      <c r="N26" s="24" t="s">
        <v>86</v>
      </c>
      <c r="O26" s="24" t="s">
        <v>1729</v>
      </c>
      <c r="P26" s="24"/>
      <c r="Q26" s="24" t="n">
        <v>1.58</v>
      </c>
      <c r="R26" s="24" t="n">
        <v>1.61</v>
      </c>
      <c r="S26" s="24"/>
      <c r="T26" s="24"/>
      <c r="U26" s="24" t="n">
        <v>1.59</v>
      </c>
      <c r="V26" s="24"/>
      <c r="W26" s="24"/>
      <c r="X26" s="24"/>
      <c r="Y26" s="24" t="n">
        <v>1.59</v>
      </c>
      <c r="Z26" s="24"/>
      <c r="AA26" s="24"/>
      <c r="AB26" s="24" t="n">
        <v>9</v>
      </c>
      <c r="AC26" s="24" t="n">
        <v>3</v>
      </c>
      <c r="AD26" s="24" t="n">
        <f aca="false">IF(AND(N(AB26)&gt;0,N(AC26)&gt;0),SQRT(2*AB26/AC26),"")</f>
        <v>2.44948974278318</v>
      </c>
      <c r="AE26" s="24" t="n">
        <v>19</v>
      </c>
      <c r="AF26" s="24" t="n">
        <v>2</v>
      </c>
      <c r="AG26" s="24" t="n">
        <v>43</v>
      </c>
      <c r="AH26" s="24" t="n">
        <v>800</v>
      </c>
      <c r="AI26" s="24" t="n">
        <v>29.017</v>
      </c>
      <c r="AJ26" s="24" t="s">
        <v>1721</v>
      </c>
      <c r="AK26" s="24"/>
      <c r="AL26" s="24"/>
      <c r="AM26" s="24" t="n">
        <v>8.1</v>
      </c>
      <c r="AN26" s="24"/>
      <c r="AO26" s="24"/>
      <c r="AP26" s="24" t="n">
        <v>55</v>
      </c>
      <c r="AQ26" s="24" t="n">
        <v>26</v>
      </c>
      <c r="AR26" s="24" t="s">
        <v>89</v>
      </c>
      <c r="AS26" s="24" t="s">
        <v>1722</v>
      </c>
      <c r="AT26" s="24" t="s">
        <v>1723</v>
      </c>
      <c r="AU26" s="24" t="s">
        <v>1724</v>
      </c>
      <c r="AV26" s="24" t="s">
        <v>1725</v>
      </c>
      <c r="AW26" s="25" t="s">
        <v>1728</v>
      </c>
      <c r="AX26" s="24" t="s">
        <v>1008</v>
      </c>
      <c r="AY26" s="24" t="s">
        <v>1727</v>
      </c>
    </row>
    <row r="27" customFormat="false" ht="15" hidden="false" customHeight="true" outlineLevel="0" collapsed="false">
      <c r="A27" s="24" t="s">
        <v>988</v>
      </c>
      <c r="B27" s="24" t="s">
        <v>988</v>
      </c>
      <c r="C27" s="24" t="s">
        <v>989</v>
      </c>
      <c r="D27" s="24" t="n">
        <v>2011</v>
      </c>
      <c r="E27" s="24" t="s">
        <v>990</v>
      </c>
      <c r="F27" s="24" t="s">
        <v>857</v>
      </c>
      <c r="G27" s="24" t="s">
        <v>993</v>
      </c>
      <c r="H27" s="24" t="n">
        <v>29.017</v>
      </c>
      <c r="I27" s="24" t="n">
        <v>77.75</v>
      </c>
      <c r="J27" s="24" t="s">
        <v>83</v>
      </c>
      <c r="K27" s="24" t="s">
        <v>1719</v>
      </c>
      <c r="L27" s="24" t="s">
        <v>84</v>
      </c>
      <c r="M27" s="24" t="s">
        <v>85</v>
      </c>
      <c r="N27" s="24" t="s">
        <v>86</v>
      </c>
      <c r="O27" s="24" t="s">
        <v>1730</v>
      </c>
      <c r="P27" s="24"/>
      <c r="Q27" s="24" t="n">
        <v>1.74</v>
      </c>
      <c r="R27" s="24" t="n">
        <v>1.67</v>
      </c>
      <c r="S27" s="24"/>
      <c r="T27" s="24"/>
      <c r="U27" s="24" t="n">
        <v>1.66</v>
      </c>
      <c r="V27" s="24"/>
      <c r="W27" s="24"/>
      <c r="X27" s="24"/>
      <c r="Y27" s="24" t="n">
        <v>1.75</v>
      </c>
      <c r="Z27" s="24"/>
      <c r="AA27" s="24"/>
      <c r="AB27" s="24" t="n">
        <v>9</v>
      </c>
      <c r="AC27" s="24" t="n">
        <v>3</v>
      </c>
      <c r="AD27" s="24" t="n">
        <f aca="false">IF(AND(N(AB27)&gt;0,N(AC27)&gt;0),SQRT(2*AB27/AC27),"")</f>
        <v>2.44948974278318</v>
      </c>
      <c r="AE27" s="24" t="n">
        <v>19</v>
      </c>
      <c r="AF27" s="24" t="n">
        <v>2</v>
      </c>
      <c r="AG27" s="24" t="n">
        <v>43</v>
      </c>
      <c r="AH27" s="24" t="n">
        <v>800</v>
      </c>
      <c r="AI27" s="24" t="n">
        <v>29.017</v>
      </c>
      <c r="AJ27" s="24" t="s">
        <v>1721</v>
      </c>
      <c r="AK27" s="24"/>
      <c r="AL27" s="24"/>
      <c r="AM27" s="24" t="n">
        <v>8.1</v>
      </c>
      <c r="AN27" s="24"/>
      <c r="AO27" s="24"/>
      <c r="AP27" s="24" t="n">
        <v>55</v>
      </c>
      <c r="AQ27" s="24" t="n">
        <v>26</v>
      </c>
      <c r="AR27" s="24" t="s">
        <v>89</v>
      </c>
      <c r="AS27" s="24" t="s">
        <v>1722</v>
      </c>
      <c r="AT27" s="24" t="s">
        <v>1723</v>
      </c>
      <c r="AU27" s="24" t="s">
        <v>1724</v>
      </c>
      <c r="AV27" s="24" t="s">
        <v>1725</v>
      </c>
      <c r="AW27" s="25" t="s">
        <v>1726</v>
      </c>
      <c r="AX27" s="24" t="s">
        <v>1008</v>
      </c>
      <c r="AY27" s="24" t="s">
        <v>1727</v>
      </c>
    </row>
    <row r="28" customFormat="false" ht="15" hidden="false" customHeight="true" outlineLevel="0" collapsed="false">
      <c r="A28" s="24" t="s">
        <v>988</v>
      </c>
      <c r="B28" s="24" t="s">
        <v>988</v>
      </c>
      <c r="C28" s="24" t="s">
        <v>989</v>
      </c>
      <c r="D28" s="24" t="n">
        <v>2011</v>
      </c>
      <c r="E28" s="24" t="s">
        <v>990</v>
      </c>
      <c r="F28" s="24" t="s">
        <v>857</v>
      </c>
      <c r="G28" s="24" t="s">
        <v>993</v>
      </c>
      <c r="H28" s="24" t="n">
        <v>29.017</v>
      </c>
      <c r="I28" s="24" t="n">
        <v>77.75</v>
      </c>
      <c r="J28" s="24" t="s">
        <v>83</v>
      </c>
      <c r="K28" s="24" t="s">
        <v>1719</v>
      </c>
      <c r="L28" s="24" t="s">
        <v>84</v>
      </c>
      <c r="M28" s="24" t="s">
        <v>85</v>
      </c>
      <c r="N28" s="24" t="s">
        <v>86</v>
      </c>
      <c r="O28" s="24" t="s">
        <v>1730</v>
      </c>
      <c r="P28" s="24"/>
      <c r="Q28" s="24" t="n">
        <v>1.74</v>
      </c>
      <c r="R28" s="24" t="n">
        <v>1.67</v>
      </c>
      <c r="S28" s="24"/>
      <c r="T28" s="24"/>
      <c r="U28" s="24" t="n">
        <v>1.67</v>
      </c>
      <c r="V28" s="24"/>
      <c r="W28" s="24"/>
      <c r="X28" s="24"/>
      <c r="Y28" s="24" t="n">
        <v>1.75</v>
      </c>
      <c r="Z28" s="24"/>
      <c r="AA28" s="24"/>
      <c r="AB28" s="24" t="n">
        <v>9</v>
      </c>
      <c r="AC28" s="24" t="n">
        <v>3</v>
      </c>
      <c r="AD28" s="24" t="n">
        <f aca="false">IF(AND(N(AB28)&gt;0,N(AC28)&gt;0),SQRT(2*AB28/AC28),"")</f>
        <v>2.44948974278318</v>
      </c>
      <c r="AE28" s="24" t="n">
        <v>19</v>
      </c>
      <c r="AF28" s="24" t="n">
        <v>2</v>
      </c>
      <c r="AG28" s="24" t="n">
        <v>43</v>
      </c>
      <c r="AH28" s="24" t="n">
        <v>800</v>
      </c>
      <c r="AI28" s="24" t="n">
        <v>29.017</v>
      </c>
      <c r="AJ28" s="24" t="s">
        <v>1721</v>
      </c>
      <c r="AK28" s="24"/>
      <c r="AL28" s="24"/>
      <c r="AM28" s="24" t="n">
        <v>8.1</v>
      </c>
      <c r="AN28" s="24"/>
      <c r="AO28" s="24"/>
      <c r="AP28" s="24" t="n">
        <v>55</v>
      </c>
      <c r="AQ28" s="24" t="n">
        <v>26</v>
      </c>
      <c r="AR28" s="24" t="s">
        <v>89</v>
      </c>
      <c r="AS28" s="24" t="s">
        <v>1722</v>
      </c>
      <c r="AT28" s="24" t="s">
        <v>1723</v>
      </c>
      <c r="AU28" s="24" t="s">
        <v>1724</v>
      </c>
      <c r="AV28" s="24" t="s">
        <v>1725</v>
      </c>
      <c r="AW28" s="25" t="s">
        <v>1728</v>
      </c>
      <c r="AX28" s="24" t="s">
        <v>1008</v>
      </c>
      <c r="AY28" s="24" t="s">
        <v>1727</v>
      </c>
    </row>
    <row r="29" customFormat="false" ht="15" hidden="false" customHeight="true" outlineLevel="0" collapsed="false">
      <c r="A29" s="24" t="s">
        <v>988</v>
      </c>
      <c r="B29" s="24" t="s">
        <v>988</v>
      </c>
      <c r="C29" s="24" t="s">
        <v>989</v>
      </c>
      <c r="D29" s="24" t="n">
        <v>2011</v>
      </c>
      <c r="E29" s="24" t="s">
        <v>990</v>
      </c>
      <c r="F29" s="24" t="s">
        <v>857</v>
      </c>
      <c r="G29" s="24" t="s">
        <v>993</v>
      </c>
      <c r="H29" s="24" t="n">
        <v>29.017</v>
      </c>
      <c r="I29" s="24" t="n">
        <v>77.75</v>
      </c>
      <c r="J29" s="24" t="s">
        <v>83</v>
      </c>
      <c r="K29" s="24" t="s">
        <v>1719</v>
      </c>
      <c r="L29" s="24" t="s">
        <v>84</v>
      </c>
      <c r="M29" s="24" t="s">
        <v>85</v>
      </c>
      <c r="N29" s="24" t="s">
        <v>1673</v>
      </c>
      <c r="O29" s="24" t="s">
        <v>1731</v>
      </c>
      <c r="P29" s="24"/>
      <c r="Q29" s="24" t="n">
        <v>1.76</v>
      </c>
      <c r="R29" s="24" t="n">
        <v>1.71</v>
      </c>
      <c r="S29" s="24"/>
      <c r="T29" s="24"/>
      <c r="U29" s="24" t="n">
        <v>1.7</v>
      </c>
      <c r="V29" s="24"/>
      <c r="W29" s="24"/>
      <c r="X29" s="24"/>
      <c r="Y29" s="24" t="n">
        <v>1.77</v>
      </c>
      <c r="Z29" s="24"/>
      <c r="AA29" s="24"/>
      <c r="AB29" s="24" t="n">
        <v>6</v>
      </c>
      <c r="AC29" s="24" t="n">
        <v>3</v>
      </c>
      <c r="AD29" s="24" t="n">
        <f aca="false">IF(AND(N(AB29)&gt;0,N(AC29)&gt;0),SQRT(2*AB29/AC29),"")</f>
        <v>2</v>
      </c>
      <c r="AE29" s="24" t="n">
        <v>19</v>
      </c>
      <c r="AF29" s="24" t="n">
        <v>2</v>
      </c>
      <c r="AG29" s="24" t="n">
        <v>43</v>
      </c>
      <c r="AH29" s="24" t="n">
        <v>800</v>
      </c>
      <c r="AI29" s="24" t="n">
        <v>29.017</v>
      </c>
      <c r="AJ29" s="24" t="s">
        <v>1721</v>
      </c>
      <c r="AK29" s="24"/>
      <c r="AL29" s="24"/>
      <c r="AM29" s="24" t="n">
        <v>8.1</v>
      </c>
      <c r="AN29" s="24"/>
      <c r="AO29" s="24"/>
      <c r="AP29" s="24" t="n">
        <v>55</v>
      </c>
      <c r="AQ29" s="24" t="n">
        <v>26</v>
      </c>
      <c r="AR29" s="24" t="s">
        <v>89</v>
      </c>
      <c r="AS29" s="24" t="s">
        <v>1722</v>
      </c>
      <c r="AT29" s="24" t="s">
        <v>1723</v>
      </c>
      <c r="AU29" s="24" t="s">
        <v>1724</v>
      </c>
      <c r="AV29" s="24" t="s">
        <v>1725</v>
      </c>
      <c r="AW29" s="25" t="s">
        <v>1732</v>
      </c>
      <c r="AX29" s="24" t="s">
        <v>1008</v>
      </c>
      <c r="AY29" s="24" t="s">
        <v>1727</v>
      </c>
    </row>
    <row r="30" customFormat="false" ht="15" hidden="false" customHeight="true" outlineLevel="0" collapsed="false">
      <c r="A30" s="24" t="s">
        <v>988</v>
      </c>
      <c r="B30" s="24" t="s">
        <v>988</v>
      </c>
      <c r="C30" s="24" t="s">
        <v>989</v>
      </c>
      <c r="D30" s="24" t="n">
        <v>2011</v>
      </c>
      <c r="E30" s="24" t="s">
        <v>990</v>
      </c>
      <c r="F30" s="24" t="s">
        <v>857</v>
      </c>
      <c r="G30" s="24" t="s">
        <v>993</v>
      </c>
      <c r="H30" s="24" t="n">
        <v>29.017</v>
      </c>
      <c r="I30" s="24" t="n">
        <v>77.75</v>
      </c>
      <c r="J30" s="24" t="s">
        <v>83</v>
      </c>
      <c r="K30" s="24" t="s">
        <v>1719</v>
      </c>
      <c r="L30" s="24" t="s">
        <v>84</v>
      </c>
      <c r="M30" s="24" t="s">
        <v>85</v>
      </c>
      <c r="N30" s="24" t="s">
        <v>1673</v>
      </c>
      <c r="O30" s="24" t="s">
        <v>1731</v>
      </c>
      <c r="P30" s="24"/>
      <c r="Q30" s="24" t="n">
        <v>1.76</v>
      </c>
      <c r="R30" s="24" t="n">
        <v>1.71</v>
      </c>
      <c r="S30" s="24"/>
      <c r="T30" s="24"/>
      <c r="U30" s="24" t="n">
        <v>1.71</v>
      </c>
      <c r="V30" s="24"/>
      <c r="W30" s="24"/>
      <c r="X30" s="24"/>
      <c r="Y30" s="24" t="n">
        <v>1.77</v>
      </c>
      <c r="Z30" s="24"/>
      <c r="AA30" s="24"/>
      <c r="AB30" s="24" t="n">
        <v>6</v>
      </c>
      <c r="AC30" s="24" t="n">
        <v>3</v>
      </c>
      <c r="AD30" s="24" t="n">
        <f aca="false">IF(AND(N(AB30)&gt;0,N(AC30)&gt;0),SQRT(2*AB30/AC30),"")</f>
        <v>2</v>
      </c>
      <c r="AE30" s="24" t="n">
        <v>19</v>
      </c>
      <c r="AF30" s="24" t="n">
        <v>2</v>
      </c>
      <c r="AG30" s="24" t="n">
        <v>43</v>
      </c>
      <c r="AH30" s="24" t="n">
        <v>800</v>
      </c>
      <c r="AI30" s="24" t="n">
        <v>29.017</v>
      </c>
      <c r="AJ30" s="24" t="s">
        <v>1721</v>
      </c>
      <c r="AK30" s="24"/>
      <c r="AL30" s="24"/>
      <c r="AM30" s="24" t="n">
        <v>8.1</v>
      </c>
      <c r="AN30" s="24"/>
      <c r="AO30" s="24"/>
      <c r="AP30" s="24" t="n">
        <v>55</v>
      </c>
      <c r="AQ30" s="24" t="n">
        <v>26</v>
      </c>
      <c r="AR30" s="24" t="s">
        <v>89</v>
      </c>
      <c r="AS30" s="24" t="s">
        <v>1722</v>
      </c>
      <c r="AT30" s="24" t="s">
        <v>1723</v>
      </c>
      <c r="AU30" s="24" t="s">
        <v>1724</v>
      </c>
      <c r="AV30" s="24" t="s">
        <v>1725</v>
      </c>
      <c r="AW30" s="25" t="s">
        <v>1733</v>
      </c>
      <c r="AX30" s="24" t="s">
        <v>1008</v>
      </c>
      <c r="AY30" s="24" t="s">
        <v>1727</v>
      </c>
    </row>
    <row r="31" customFormat="false" ht="15" hidden="false" customHeight="true" outlineLevel="0" collapsed="false">
      <c r="A31" s="24" t="s">
        <v>1011</v>
      </c>
      <c r="B31" s="24" t="s">
        <v>1011</v>
      </c>
      <c r="C31" s="24" t="s">
        <v>1012</v>
      </c>
      <c r="D31" s="24" t="n">
        <v>2022</v>
      </c>
      <c r="E31" s="24" t="s">
        <v>813</v>
      </c>
      <c r="F31" s="24" t="s">
        <v>1015</v>
      </c>
      <c r="G31" s="24" t="s">
        <v>1016</v>
      </c>
      <c r="H31" s="24" t="n">
        <v>24.724</v>
      </c>
      <c r="I31" s="24" t="n">
        <v>90.437</v>
      </c>
      <c r="J31" s="24" t="s">
        <v>83</v>
      </c>
      <c r="K31" s="24" t="s">
        <v>1734</v>
      </c>
      <c r="L31" s="24" t="s">
        <v>84</v>
      </c>
      <c r="M31" s="24" t="s">
        <v>85</v>
      </c>
      <c r="N31" s="24" t="s">
        <v>86</v>
      </c>
      <c r="O31" s="24" t="s">
        <v>1666</v>
      </c>
      <c r="P31" s="24"/>
      <c r="Q31" s="24"/>
      <c r="R31" s="24"/>
      <c r="S31" s="24"/>
      <c r="T31" s="24" t="n">
        <v>1.3</v>
      </c>
      <c r="U31" s="24"/>
      <c r="V31" s="24" t="n">
        <v>1.3</v>
      </c>
      <c r="W31" s="24"/>
      <c r="X31" s="24"/>
      <c r="Y31" s="24"/>
      <c r="Z31" s="24"/>
      <c r="AA31" s="24"/>
      <c r="AB31" s="24" t="n">
        <v>2</v>
      </c>
      <c r="AC31" s="24" t="n">
        <v>3</v>
      </c>
      <c r="AD31" s="24" t="n">
        <f aca="false">IF(AND(N(AB31)&gt;0,N(AC31)&gt;0),SQRT(2*AB31/AC31),"")</f>
        <v>1.15470053837925</v>
      </c>
      <c r="AE31" s="24" t="n">
        <v>13</v>
      </c>
      <c r="AF31" s="24"/>
      <c r="AG31" s="24"/>
      <c r="AH31" s="24" t="n">
        <v>2400</v>
      </c>
      <c r="AI31" s="24" t="n">
        <v>24.724</v>
      </c>
      <c r="AJ31" s="24" t="n">
        <v>8</v>
      </c>
      <c r="AK31" s="24"/>
      <c r="AL31" s="24"/>
      <c r="AM31" s="24" t="n">
        <v>6.92</v>
      </c>
      <c r="AN31" s="24" t="n">
        <v>13.2</v>
      </c>
      <c r="AO31" s="24" t="n">
        <v>1.58</v>
      </c>
      <c r="AP31" s="24" t="n">
        <v>11</v>
      </c>
      <c r="AQ31" s="24" t="n">
        <v>76</v>
      </c>
      <c r="AR31" s="24" t="s">
        <v>89</v>
      </c>
      <c r="AS31" s="24" t="s">
        <v>1735</v>
      </c>
      <c r="AT31" s="24" t="s">
        <v>1736</v>
      </c>
      <c r="AU31" s="24" t="s">
        <v>1737</v>
      </c>
      <c r="AV31" s="24" t="s">
        <v>1738</v>
      </c>
      <c r="AW31" s="25" t="s">
        <v>1739</v>
      </c>
      <c r="AX31" s="24" t="s">
        <v>1030</v>
      </c>
      <c r="AY31" s="24" t="s">
        <v>1740</v>
      </c>
    </row>
    <row r="32" customFormat="false" ht="15" hidden="false" customHeight="true" outlineLevel="0" collapsed="false">
      <c r="A32" s="24" t="s">
        <v>1011</v>
      </c>
      <c r="B32" s="24" t="s">
        <v>1011</v>
      </c>
      <c r="C32" s="24" t="s">
        <v>1012</v>
      </c>
      <c r="D32" s="24" t="n">
        <v>2022</v>
      </c>
      <c r="E32" s="24" t="s">
        <v>813</v>
      </c>
      <c r="F32" s="24" t="s">
        <v>1015</v>
      </c>
      <c r="G32" s="24" t="s">
        <v>1016</v>
      </c>
      <c r="H32" s="24" t="n">
        <v>24.724</v>
      </c>
      <c r="I32" s="24" t="n">
        <v>90.437</v>
      </c>
      <c r="J32" s="24" t="s">
        <v>83</v>
      </c>
      <c r="K32" s="24" t="s">
        <v>1734</v>
      </c>
      <c r="L32" s="24" t="s">
        <v>84</v>
      </c>
      <c r="M32" s="24" t="s">
        <v>85</v>
      </c>
      <c r="N32" s="24" t="s">
        <v>86</v>
      </c>
      <c r="O32" s="24" t="s">
        <v>1666</v>
      </c>
      <c r="P32" s="24"/>
      <c r="Q32" s="24"/>
      <c r="R32" s="24"/>
      <c r="S32" s="24"/>
      <c r="T32" s="24" t="n">
        <v>1.27</v>
      </c>
      <c r="U32" s="24"/>
      <c r="V32" s="24" t="n">
        <v>1.28</v>
      </c>
      <c r="W32" s="24"/>
      <c r="X32" s="24"/>
      <c r="Y32" s="24"/>
      <c r="Z32" s="24"/>
      <c r="AA32" s="24"/>
      <c r="AB32" s="24" t="n">
        <v>2</v>
      </c>
      <c r="AC32" s="24" t="n">
        <v>3</v>
      </c>
      <c r="AD32" s="24" t="n">
        <f aca="false">IF(AND(N(AB32)&gt;0,N(AC32)&gt;0),SQRT(2*AB32/AC32),"")</f>
        <v>1.15470053837925</v>
      </c>
      <c r="AE32" s="24" t="n">
        <v>13</v>
      </c>
      <c r="AF32" s="24"/>
      <c r="AG32" s="24"/>
      <c r="AH32" s="24" t="n">
        <v>2400</v>
      </c>
      <c r="AI32" s="24" t="n">
        <v>24.724</v>
      </c>
      <c r="AJ32" s="24" t="n">
        <v>8</v>
      </c>
      <c r="AK32" s="24"/>
      <c r="AL32" s="24"/>
      <c r="AM32" s="24" t="n">
        <v>6.92</v>
      </c>
      <c r="AN32" s="24" t="n">
        <v>13.2</v>
      </c>
      <c r="AO32" s="24" t="n">
        <v>1.58</v>
      </c>
      <c r="AP32" s="24" t="n">
        <v>11</v>
      </c>
      <c r="AQ32" s="24" t="n">
        <v>76</v>
      </c>
      <c r="AR32" s="24" t="s">
        <v>89</v>
      </c>
      <c r="AS32" s="24" t="s">
        <v>1735</v>
      </c>
      <c r="AT32" s="24" t="s">
        <v>1736</v>
      </c>
      <c r="AU32" s="24" t="s">
        <v>1737</v>
      </c>
      <c r="AV32" s="24" t="s">
        <v>1738</v>
      </c>
      <c r="AW32" s="25" t="s">
        <v>1741</v>
      </c>
      <c r="AX32" s="24" t="s">
        <v>1030</v>
      </c>
      <c r="AY32" s="24" t="s">
        <v>1740</v>
      </c>
    </row>
    <row r="33" customFormat="false" ht="15" hidden="false" customHeight="true" outlineLevel="0" collapsed="false">
      <c r="A33" s="24" t="s">
        <v>1034</v>
      </c>
      <c r="B33" s="24" t="s">
        <v>1034</v>
      </c>
      <c r="C33" s="24" t="s">
        <v>1035</v>
      </c>
      <c r="D33" s="24" t="n">
        <v>2022</v>
      </c>
      <c r="E33" s="24" t="s">
        <v>80</v>
      </c>
      <c r="F33" s="24" t="s">
        <v>912</v>
      </c>
      <c r="G33" s="24" t="s">
        <v>913</v>
      </c>
      <c r="H33" s="24" t="n">
        <v>29.706</v>
      </c>
      <c r="I33" s="24" t="n">
        <v>76.956</v>
      </c>
      <c r="J33" s="24" t="s">
        <v>83</v>
      </c>
      <c r="K33" s="24" t="n">
        <v>2019</v>
      </c>
      <c r="L33" s="24" t="s">
        <v>84</v>
      </c>
      <c r="M33" s="24" t="s">
        <v>85</v>
      </c>
      <c r="N33" s="24" t="s">
        <v>86</v>
      </c>
      <c r="O33" s="24" t="s">
        <v>1720</v>
      </c>
      <c r="P33" s="24" t="n">
        <v>1.39</v>
      </c>
      <c r="Q33" s="24" t="n">
        <v>1.5</v>
      </c>
      <c r="R33" s="24"/>
      <c r="S33" s="24"/>
      <c r="T33" s="24"/>
      <c r="U33" s="24"/>
      <c r="V33" s="24"/>
      <c r="W33" s="24"/>
      <c r="X33" s="24" t="n">
        <v>1.41</v>
      </c>
      <c r="Y33" s="24"/>
      <c r="Z33" s="24"/>
      <c r="AA33" s="24"/>
      <c r="AB33" s="24" t="n">
        <v>2</v>
      </c>
      <c r="AC33" s="24" t="n">
        <v>3</v>
      </c>
      <c r="AD33" s="24" t="n">
        <f aca="false">IF(AND(N(AB33)&gt;0,N(AC33)&gt;0),SQRT(2*AB33/AC33),"")</f>
        <v>1.15470053837925</v>
      </c>
      <c r="AE33" s="24"/>
      <c r="AF33" s="24"/>
      <c r="AG33" s="24"/>
      <c r="AH33" s="24" t="n">
        <v>670</v>
      </c>
      <c r="AI33" s="24" t="n">
        <v>29.706</v>
      </c>
      <c r="AJ33" s="24" t="n">
        <v>10</v>
      </c>
      <c r="AK33" s="24"/>
      <c r="AL33" s="24"/>
      <c r="AM33" s="24"/>
      <c r="AN33" s="24"/>
      <c r="AO33" s="24"/>
      <c r="AP33" s="24"/>
      <c r="AQ33" s="24"/>
      <c r="AR33" s="24" t="s">
        <v>89</v>
      </c>
      <c r="AS33" s="24" t="s">
        <v>1742</v>
      </c>
      <c r="AT33" s="24" t="s">
        <v>1743</v>
      </c>
      <c r="AU33" s="24" t="s">
        <v>1744</v>
      </c>
      <c r="AV33" s="24" t="s">
        <v>1725</v>
      </c>
      <c r="AW33" s="25" t="s">
        <v>1745</v>
      </c>
      <c r="AX33" s="24" t="s">
        <v>1046</v>
      </c>
      <c r="AY33" s="24" t="s">
        <v>1746</v>
      </c>
    </row>
    <row r="34" customFormat="false" ht="14.25" hidden="false" customHeight="false" outlineLevel="0" collapsed="false">
      <c r="A34" s="24" t="s">
        <v>1034</v>
      </c>
      <c r="B34" s="24" t="s">
        <v>1034</v>
      </c>
      <c r="C34" s="24" t="s">
        <v>1035</v>
      </c>
      <c r="D34" s="24" t="n">
        <v>2022</v>
      </c>
      <c r="E34" s="24" t="s">
        <v>80</v>
      </c>
      <c r="F34" s="24" t="s">
        <v>912</v>
      </c>
      <c r="G34" s="24" t="s">
        <v>913</v>
      </c>
      <c r="H34" s="24" t="n">
        <v>29.706</v>
      </c>
      <c r="I34" s="24" t="n">
        <v>76.956</v>
      </c>
      <c r="J34" s="24" t="s">
        <v>83</v>
      </c>
      <c r="K34" s="24" t="n">
        <v>2019</v>
      </c>
      <c r="L34" s="24" t="s">
        <v>84</v>
      </c>
      <c r="M34" s="24" t="s">
        <v>85</v>
      </c>
      <c r="N34" s="24" t="s">
        <v>86</v>
      </c>
      <c r="O34" s="24" t="s">
        <v>1747</v>
      </c>
      <c r="P34" s="24" t="n">
        <v>1.58</v>
      </c>
      <c r="Q34" s="24" t="n">
        <v>1.66</v>
      </c>
      <c r="R34" s="24"/>
      <c r="S34" s="24"/>
      <c r="T34" s="24"/>
      <c r="U34" s="24"/>
      <c r="V34" s="24"/>
      <c r="W34" s="24"/>
      <c r="X34" s="24" t="n">
        <v>1.61</v>
      </c>
      <c r="Y34" s="24"/>
      <c r="Z34" s="24"/>
      <c r="AA34" s="24"/>
      <c r="AB34" s="24" t="n">
        <v>2</v>
      </c>
      <c r="AC34" s="24" t="n">
        <v>3</v>
      </c>
      <c r="AD34" s="24" t="n">
        <f aca="false">IF(AND(N(AB34)&gt;0,N(AC34)&gt;0),SQRT(2*AB34/AC34),"")</f>
        <v>1.15470053837925</v>
      </c>
      <c r="AE34" s="24"/>
      <c r="AF34" s="24"/>
      <c r="AG34" s="24"/>
      <c r="AH34" s="24" t="n">
        <v>670</v>
      </c>
      <c r="AI34" s="24" t="n">
        <v>29.706</v>
      </c>
      <c r="AJ34" s="24" t="n">
        <v>10</v>
      </c>
      <c r="AK34" s="24"/>
      <c r="AL34" s="24"/>
      <c r="AM34" s="24"/>
      <c r="AN34" s="24"/>
      <c r="AO34" s="24"/>
      <c r="AP34" s="24"/>
      <c r="AQ34" s="24"/>
      <c r="AR34" s="24" t="s">
        <v>89</v>
      </c>
      <c r="AS34" s="24" t="s">
        <v>1742</v>
      </c>
      <c r="AT34" s="24" t="s">
        <v>1743</v>
      </c>
      <c r="AU34" s="24" t="s">
        <v>1744</v>
      </c>
      <c r="AV34" s="24" t="s">
        <v>1725</v>
      </c>
      <c r="AW34" s="25" t="s">
        <v>1748</v>
      </c>
      <c r="AX34" s="24" t="s">
        <v>1046</v>
      </c>
      <c r="AY34" s="24" t="s">
        <v>1746</v>
      </c>
    </row>
    <row r="35" customFormat="false" ht="14.25" hidden="false" customHeight="false" outlineLevel="0" collapsed="false">
      <c r="A35" s="24" t="s">
        <v>1034</v>
      </c>
      <c r="B35" s="24" t="s">
        <v>1034</v>
      </c>
      <c r="C35" s="24" t="s">
        <v>1035</v>
      </c>
      <c r="D35" s="24" t="n">
        <v>2022</v>
      </c>
      <c r="E35" s="24" t="s">
        <v>80</v>
      </c>
      <c r="F35" s="24" t="s">
        <v>912</v>
      </c>
      <c r="G35" s="24" t="s">
        <v>913</v>
      </c>
      <c r="H35" s="24" t="n">
        <v>29.706</v>
      </c>
      <c r="I35" s="24" t="n">
        <v>76.956</v>
      </c>
      <c r="J35" s="24" t="s">
        <v>83</v>
      </c>
      <c r="K35" s="24" t="n">
        <v>2019</v>
      </c>
      <c r="L35" s="24" t="s">
        <v>84</v>
      </c>
      <c r="M35" s="24" t="s">
        <v>85</v>
      </c>
      <c r="N35" s="24" t="s">
        <v>1673</v>
      </c>
      <c r="O35" s="24" t="s">
        <v>1674</v>
      </c>
      <c r="P35" s="24" t="n">
        <v>1.71</v>
      </c>
      <c r="Q35" s="24" t="n">
        <v>1.72</v>
      </c>
      <c r="R35" s="24"/>
      <c r="S35" s="24"/>
      <c r="T35" s="24"/>
      <c r="U35" s="24"/>
      <c r="V35" s="24"/>
      <c r="W35" s="24"/>
      <c r="X35" s="24" t="n">
        <v>1.68</v>
      </c>
      <c r="Y35" s="24"/>
      <c r="Z35" s="24"/>
      <c r="AA35" s="24"/>
      <c r="AB35" s="24" t="n">
        <v>1</v>
      </c>
      <c r="AC35" s="24" t="n">
        <v>3</v>
      </c>
      <c r="AD35" s="24" t="n">
        <f aca="false">IF(AND(N(AB35)&gt;0,N(AC35)&gt;0),SQRT(2*AB35/AC35),"")</f>
        <v>0.816496580927726</v>
      </c>
      <c r="AE35" s="24"/>
      <c r="AF35" s="24"/>
      <c r="AG35" s="24"/>
      <c r="AH35" s="24" t="n">
        <v>670</v>
      </c>
      <c r="AI35" s="24" t="n">
        <v>29.706</v>
      </c>
      <c r="AJ35" s="24" t="n">
        <v>10</v>
      </c>
      <c r="AK35" s="24"/>
      <c r="AL35" s="24"/>
      <c r="AM35" s="24"/>
      <c r="AN35" s="24"/>
      <c r="AO35" s="24"/>
      <c r="AP35" s="24"/>
      <c r="AQ35" s="24"/>
      <c r="AR35" s="24" t="s">
        <v>89</v>
      </c>
      <c r="AS35" s="24" t="s">
        <v>1742</v>
      </c>
      <c r="AT35" s="24" t="s">
        <v>1743</v>
      </c>
      <c r="AU35" s="24" t="s">
        <v>1744</v>
      </c>
      <c r="AV35" s="24" t="s">
        <v>1725</v>
      </c>
      <c r="AW35" s="25" t="s">
        <v>1749</v>
      </c>
      <c r="AX35" s="24" t="s">
        <v>1046</v>
      </c>
      <c r="AY35" s="24" t="s">
        <v>1746</v>
      </c>
    </row>
    <row r="36" customFormat="false" ht="14.25" hidden="false" customHeight="false" outlineLevel="0" collapsed="false">
      <c r="A36" s="34" t="n">
        <v>170</v>
      </c>
      <c r="B36" s="34" t="n">
        <v>170</v>
      </c>
      <c r="C36" s="34" t="s">
        <v>971</v>
      </c>
      <c r="D36" s="34" t="n">
        <v>2003</v>
      </c>
      <c r="E36" s="34" t="s">
        <v>854</v>
      </c>
      <c r="F36" s="34" t="s">
        <v>887</v>
      </c>
      <c r="G36" s="34" t="s">
        <v>1750</v>
      </c>
      <c r="H36" s="34" t="n">
        <v>30.933</v>
      </c>
      <c r="I36" s="34" t="n">
        <v>75.867</v>
      </c>
      <c r="J36" s="34" t="s">
        <v>891</v>
      </c>
      <c r="K36" s="34" t="n">
        <v>1996</v>
      </c>
      <c r="L36" s="34" t="s">
        <v>842</v>
      </c>
      <c r="M36" s="34" t="s">
        <v>978</v>
      </c>
      <c r="N36" s="34" t="s">
        <v>86</v>
      </c>
      <c r="O36" s="34" t="s">
        <v>1720</v>
      </c>
      <c r="P36" s="34"/>
      <c r="Q36" s="34" t="n">
        <v>1.479</v>
      </c>
      <c r="R36" s="34" t="n">
        <v>1.44</v>
      </c>
      <c r="S36" s="34"/>
      <c r="T36" s="34"/>
      <c r="U36" s="34" t="n">
        <v>1.509</v>
      </c>
      <c r="V36" s="34"/>
      <c r="W36" s="34"/>
      <c r="X36" s="34"/>
      <c r="Y36" s="34"/>
      <c r="Z36" s="34"/>
      <c r="AA36" s="34"/>
      <c r="AB36" s="34" t="n">
        <v>6</v>
      </c>
      <c r="AC36" s="34" t="n">
        <v>3</v>
      </c>
      <c r="AD36" s="34" t="n">
        <f aca="false">IF(AND(N(AB36)&gt;0,N(AC36)&gt;0),SQRT(2*AB36/AC36),"")</f>
        <v>2</v>
      </c>
      <c r="AE36" s="34" t="n">
        <v>12</v>
      </c>
      <c r="AF36" s="34"/>
      <c r="AG36" s="34"/>
      <c r="AH36" s="34"/>
      <c r="AI36" s="34" t="n">
        <v>30.933</v>
      </c>
      <c r="AJ36" s="34" t="n">
        <v>3</v>
      </c>
      <c r="AK36" s="34"/>
      <c r="AL36" s="34"/>
      <c r="AM36" s="34"/>
      <c r="AN36" s="34" t="n">
        <v>3.3</v>
      </c>
      <c r="AO36" s="34"/>
      <c r="AP36" s="34" t="n">
        <v>71</v>
      </c>
      <c r="AQ36" s="34" t="n">
        <v>17</v>
      </c>
      <c r="AR36" s="34" t="s">
        <v>89</v>
      </c>
      <c r="AS36" s="34" t="s">
        <v>1751</v>
      </c>
      <c r="AT36" s="34" t="s">
        <v>1752</v>
      </c>
      <c r="AU36" s="34" t="s">
        <v>1753</v>
      </c>
      <c r="AV36" s="34" t="s">
        <v>1754</v>
      </c>
      <c r="AW36" s="35" t="s">
        <v>1755</v>
      </c>
      <c r="AX36" s="34" t="s">
        <v>984</v>
      </c>
      <c r="AY36" s="34" t="s">
        <v>1756</v>
      </c>
    </row>
    <row r="37" customFormat="false" ht="14.25" hidden="false" customHeight="false" outlineLevel="0" collapsed="false">
      <c r="A37" s="34" t="n">
        <v>170</v>
      </c>
      <c r="B37" s="34" t="n">
        <v>170</v>
      </c>
      <c r="C37" s="34" t="s">
        <v>971</v>
      </c>
      <c r="D37" s="34" t="n">
        <v>2003</v>
      </c>
      <c r="E37" s="34" t="s">
        <v>854</v>
      </c>
      <c r="F37" s="34" t="s">
        <v>887</v>
      </c>
      <c r="G37" s="34" t="s">
        <v>1750</v>
      </c>
      <c r="H37" s="34" t="n">
        <v>30.933</v>
      </c>
      <c r="I37" s="34" t="n">
        <v>75.867</v>
      </c>
      <c r="J37" s="34" t="s">
        <v>891</v>
      </c>
      <c r="K37" s="34" t="n">
        <v>1996</v>
      </c>
      <c r="L37" s="34" t="s">
        <v>842</v>
      </c>
      <c r="M37" s="34" t="s">
        <v>978</v>
      </c>
      <c r="N37" s="34" t="s">
        <v>86</v>
      </c>
      <c r="O37" s="34" t="s">
        <v>1757</v>
      </c>
      <c r="P37" s="34"/>
      <c r="Q37" s="34" t="n">
        <v>1.529</v>
      </c>
      <c r="R37" s="34" t="n">
        <v>1.49</v>
      </c>
      <c r="S37" s="34"/>
      <c r="T37" s="34"/>
      <c r="U37" s="34" t="n">
        <v>1.559</v>
      </c>
      <c r="V37" s="34"/>
      <c r="W37" s="34"/>
      <c r="X37" s="34"/>
      <c r="Y37" s="34"/>
      <c r="Z37" s="34"/>
      <c r="AA37" s="34"/>
      <c r="AB37" s="34" t="n">
        <v>6</v>
      </c>
      <c r="AC37" s="34" t="n">
        <v>3</v>
      </c>
      <c r="AD37" s="34" t="n">
        <f aca="false">IF(AND(N(AB37)&gt;0,N(AC37)&gt;0),SQRT(2*AB37/AC37),"")</f>
        <v>2</v>
      </c>
      <c r="AE37" s="34" t="n">
        <v>12</v>
      </c>
      <c r="AF37" s="34"/>
      <c r="AG37" s="34"/>
      <c r="AH37" s="34"/>
      <c r="AI37" s="34" t="n">
        <v>30.933</v>
      </c>
      <c r="AJ37" s="34" t="n">
        <v>3</v>
      </c>
      <c r="AK37" s="34"/>
      <c r="AL37" s="34"/>
      <c r="AM37" s="34"/>
      <c r="AN37" s="34" t="n">
        <v>3.3</v>
      </c>
      <c r="AO37" s="34"/>
      <c r="AP37" s="34" t="n">
        <v>71</v>
      </c>
      <c r="AQ37" s="34" t="n">
        <v>17</v>
      </c>
      <c r="AR37" s="34" t="s">
        <v>89</v>
      </c>
      <c r="AS37" s="34" t="s">
        <v>1751</v>
      </c>
      <c r="AT37" s="34" t="s">
        <v>1752</v>
      </c>
      <c r="AU37" s="34" t="s">
        <v>1753</v>
      </c>
      <c r="AV37" s="34" t="s">
        <v>1754</v>
      </c>
      <c r="AW37" s="35" t="s">
        <v>1758</v>
      </c>
      <c r="AX37" s="34" t="s">
        <v>984</v>
      </c>
      <c r="AY37" s="34" t="s">
        <v>1756</v>
      </c>
    </row>
    <row r="38" customFormat="false" ht="14.25" hidden="false" customHeight="false" outlineLevel="0" collapsed="false">
      <c r="A38" s="34" t="n">
        <v>170</v>
      </c>
      <c r="B38" s="34" t="n">
        <v>170</v>
      </c>
      <c r="C38" s="34" t="s">
        <v>971</v>
      </c>
      <c r="D38" s="34" t="n">
        <v>2003</v>
      </c>
      <c r="E38" s="34" t="s">
        <v>854</v>
      </c>
      <c r="F38" s="34" t="s">
        <v>887</v>
      </c>
      <c r="G38" s="34" t="s">
        <v>1750</v>
      </c>
      <c r="H38" s="34" t="n">
        <v>30.933</v>
      </c>
      <c r="I38" s="34" t="n">
        <v>75.867</v>
      </c>
      <c r="J38" s="34" t="s">
        <v>891</v>
      </c>
      <c r="K38" s="34" t="n">
        <v>1996</v>
      </c>
      <c r="L38" s="34" t="s">
        <v>842</v>
      </c>
      <c r="M38" s="34" t="s">
        <v>978</v>
      </c>
      <c r="N38" s="34" t="s">
        <v>86</v>
      </c>
      <c r="O38" s="34" t="s">
        <v>1759</v>
      </c>
      <c r="P38" s="34"/>
      <c r="Q38" s="34" t="n">
        <v>1.579</v>
      </c>
      <c r="R38" s="34" t="n">
        <v>1.53</v>
      </c>
      <c r="S38" s="34"/>
      <c r="T38" s="34"/>
      <c r="U38" s="34" t="n">
        <v>1.629</v>
      </c>
      <c r="V38" s="34"/>
      <c r="W38" s="34"/>
      <c r="X38" s="34"/>
      <c r="Y38" s="34"/>
      <c r="Z38" s="34"/>
      <c r="AA38" s="34"/>
      <c r="AB38" s="34" t="n">
        <v>6</v>
      </c>
      <c r="AC38" s="34" t="n">
        <v>3</v>
      </c>
      <c r="AD38" s="34" t="n">
        <f aca="false">IF(AND(N(AB38)&gt;0,N(AC38)&gt;0),SQRT(2*AB38/AC38),"")</f>
        <v>2</v>
      </c>
      <c r="AE38" s="34" t="n">
        <v>12</v>
      </c>
      <c r="AF38" s="34"/>
      <c r="AG38" s="34"/>
      <c r="AH38" s="34"/>
      <c r="AI38" s="34" t="n">
        <v>30.933</v>
      </c>
      <c r="AJ38" s="34" t="n">
        <v>3</v>
      </c>
      <c r="AK38" s="34"/>
      <c r="AL38" s="34"/>
      <c r="AM38" s="34"/>
      <c r="AN38" s="34" t="n">
        <v>3.3</v>
      </c>
      <c r="AO38" s="34"/>
      <c r="AP38" s="34" t="n">
        <v>71</v>
      </c>
      <c r="AQ38" s="34" t="n">
        <v>17</v>
      </c>
      <c r="AR38" s="34" t="s">
        <v>89</v>
      </c>
      <c r="AS38" s="34" t="s">
        <v>1751</v>
      </c>
      <c r="AT38" s="34" t="s">
        <v>1752</v>
      </c>
      <c r="AU38" s="34" t="s">
        <v>1753</v>
      </c>
      <c r="AV38" s="34" t="s">
        <v>1754</v>
      </c>
      <c r="AW38" s="35" t="s">
        <v>1760</v>
      </c>
      <c r="AX38" s="34" t="s">
        <v>984</v>
      </c>
      <c r="AY38" s="34" t="s">
        <v>1756</v>
      </c>
    </row>
    <row r="39" customFormat="false" ht="14.25" hidden="false" customHeight="false" outlineLevel="0" collapsed="false">
      <c r="A39" s="34" t="n">
        <v>170</v>
      </c>
      <c r="B39" s="34" t="n">
        <v>170</v>
      </c>
      <c r="C39" s="34" t="s">
        <v>971</v>
      </c>
      <c r="D39" s="34" t="n">
        <v>2003</v>
      </c>
      <c r="E39" s="34" t="s">
        <v>854</v>
      </c>
      <c r="F39" s="34" t="s">
        <v>887</v>
      </c>
      <c r="G39" s="34" t="s">
        <v>1750</v>
      </c>
      <c r="H39" s="34" t="n">
        <v>30.933</v>
      </c>
      <c r="I39" s="34" t="n">
        <v>75.867</v>
      </c>
      <c r="J39" s="34" t="s">
        <v>891</v>
      </c>
      <c r="K39" s="34" t="n">
        <v>1996</v>
      </c>
      <c r="L39" s="34" t="s">
        <v>842</v>
      </c>
      <c r="M39" s="34" t="s">
        <v>978</v>
      </c>
      <c r="N39" s="34" t="s">
        <v>86</v>
      </c>
      <c r="O39" s="34" t="s">
        <v>1761</v>
      </c>
      <c r="P39" s="34"/>
      <c r="Q39" s="34" t="n">
        <v>1.619</v>
      </c>
      <c r="R39" s="34" t="n">
        <v>1.51</v>
      </c>
      <c r="S39" s="34"/>
      <c r="T39" s="34"/>
      <c r="U39" s="34" t="n">
        <v>1.659</v>
      </c>
      <c r="V39" s="34"/>
      <c r="W39" s="34"/>
      <c r="X39" s="34"/>
      <c r="Y39" s="34"/>
      <c r="Z39" s="34"/>
      <c r="AA39" s="34"/>
      <c r="AB39" s="34" t="n">
        <v>6</v>
      </c>
      <c r="AC39" s="34" t="n">
        <v>3</v>
      </c>
      <c r="AD39" s="34" t="n">
        <f aca="false">IF(AND(N(AB39)&gt;0,N(AC39)&gt;0),SQRT(2*AB39/AC39),"")</f>
        <v>2</v>
      </c>
      <c r="AE39" s="34" t="n">
        <v>12</v>
      </c>
      <c r="AF39" s="34"/>
      <c r="AG39" s="34"/>
      <c r="AH39" s="34"/>
      <c r="AI39" s="34" t="n">
        <v>30.933</v>
      </c>
      <c r="AJ39" s="34" t="n">
        <v>3</v>
      </c>
      <c r="AK39" s="34"/>
      <c r="AL39" s="34"/>
      <c r="AM39" s="34"/>
      <c r="AN39" s="34" t="n">
        <v>3.3</v>
      </c>
      <c r="AO39" s="34"/>
      <c r="AP39" s="34" t="n">
        <v>71</v>
      </c>
      <c r="AQ39" s="34" t="n">
        <v>17</v>
      </c>
      <c r="AR39" s="34" t="s">
        <v>89</v>
      </c>
      <c r="AS39" s="34" t="s">
        <v>1751</v>
      </c>
      <c r="AT39" s="34" t="s">
        <v>1752</v>
      </c>
      <c r="AU39" s="34" t="s">
        <v>1753</v>
      </c>
      <c r="AV39" s="34" t="s">
        <v>1754</v>
      </c>
      <c r="AW39" s="35" t="s">
        <v>1762</v>
      </c>
      <c r="AX39" s="34" t="s">
        <v>984</v>
      </c>
      <c r="AY39" s="34" t="s">
        <v>1756</v>
      </c>
    </row>
    <row r="40" customFormat="false" ht="14.25" hidden="false" customHeight="false" outlineLevel="0" collapsed="false">
      <c r="A40" s="34" t="n">
        <v>170</v>
      </c>
      <c r="B40" s="34" t="n">
        <v>170</v>
      </c>
      <c r="C40" s="34" t="s">
        <v>971</v>
      </c>
      <c r="D40" s="34" t="n">
        <v>2003</v>
      </c>
      <c r="E40" s="34" t="s">
        <v>854</v>
      </c>
      <c r="F40" s="34" t="s">
        <v>887</v>
      </c>
      <c r="G40" s="34" t="s">
        <v>1750</v>
      </c>
      <c r="H40" s="34" t="n">
        <v>30.933</v>
      </c>
      <c r="I40" s="34" t="n">
        <v>75.867</v>
      </c>
      <c r="J40" s="34" t="s">
        <v>891</v>
      </c>
      <c r="K40" s="34" t="n">
        <v>1996</v>
      </c>
      <c r="L40" s="34" t="s">
        <v>842</v>
      </c>
      <c r="M40" s="34" t="s">
        <v>978</v>
      </c>
      <c r="N40" s="34" t="s">
        <v>1673</v>
      </c>
      <c r="O40" s="34" t="s">
        <v>1763</v>
      </c>
      <c r="P40" s="34"/>
      <c r="Q40" s="34" t="n">
        <v>1.749</v>
      </c>
      <c r="R40" s="34" t="n">
        <v>1.51</v>
      </c>
      <c r="S40" s="34"/>
      <c r="T40" s="34"/>
      <c r="U40" s="34" t="n">
        <v>1.639</v>
      </c>
      <c r="V40" s="34"/>
      <c r="W40" s="34"/>
      <c r="X40" s="34"/>
      <c r="Y40" s="34"/>
      <c r="Z40" s="34"/>
      <c r="AA40" s="34"/>
      <c r="AB40" s="34" t="n">
        <v>7</v>
      </c>
      <c r="AC40" s="34" t="n">
        <v>3</v>
      </c>
      <c r="AD40" s="34" t="n">
        <f aca="false">IF(AND(N(AB40)&gt;0,N(AC40)&gt;0),SQRT(2*AB40/AC40),"")</f>
        <v>2.16024689946929</v>
      </c>
      <c r="AE40" s="34" t="n">
        <v>12</v>
      </c>
      <c r="AF40" s="34"/>
      <c r="AG40" s="34"/>
      <c r="AH40" s="34"/>
      <c r="AI40" s="34" t="n">
        <v>30.933</v>
      </c>
      <c r="AJ40" s="34" t="n">
        <v>3</v>
      </c>
      <c r="AK40" s="34"/>
      <c r="AL40" s="34"/>
      <c r="AM40" s="34"/>
      <c r="AN40" s="34" t="n">
        <v>3.3</v>
      </c>
      <c r="AO40" s="34"/>
      <c r="AP40" s="34" t="n">
        <v>71</v>
      </c>
      <c r="AQ40" s="34" t="n">
        <v>17</v>
      </c>
      <c r="AR40" s="34" t="s">
        <v>89</v>
      </c>
      <c r="AS40" s="34" t="s">
        <v>1751</v>
      </c>
      <c r="AT40" s="34" t="s">
        <v>1752</v>
      </c>
      <c r="AU40" s="34" t="s">
        <v>1753</v>
      </c>
      <c r="AV40" s="34" t="s">
        <v>1754</v>
      </c>
      <c r="AW40" s="35" t="s">
        <v>1764</v>
      </c>
      <c r="AX40" s="34" t="s">
        <v>984</v>
      </c>
      <c r="AY40" s="34" t="s">
        <v>1756</v>
      </c>
    </row>
    <row r="41" customFormat="false" ht="14.25" hidden="false" customHeight="false" outlineLevel="0" collapsed="false">
      <c r="A41" s="34" t="n">
        <v>170</v>
      </c>
      <c r="B41" s="34" t="n">
        <v>170</v>
      </c>
      <c r="C41" s="34" t="s">
        <v>971</v>
      </c>
      <c r="D41" s="34" t="n">
        <v>2003</v>
      </c>
      <c r="E41" s="34" t="s">
        <v>854</v>
      </c>
      <c r="F41" s="34" t="s">
        <v>887</v>
      </c>
      <c r="G41" s="34" t="s">
        <v>1750</v>
      </c>
      <c r="H41" s="34" t="n">
        <v>30.933</v>
      </c>
      <c r="I41" s="34" t="n">
        <v>75.867</v>
      </c>
      <c r="J41" s="34" t="s">
        <v>891</v>
      </c>
      <c r="K41" s="34" t="n">
        <v>1996</v>
      </c>
      <c r="L41" s="34" t="s">
        <v>842</v>
      </c>
      <c r="M41" s="34" t="s">
        <v>978</v>
      </c>
      <c r="N41" s="34" t="s">
        <v>1673</v>
      </c>
      <c r="O41" s="34" t="s">
        <v>1765</v>
      </c>
      <c r="P41" s="34"/>
      <c r="Q41" s="34" t="n">
        <v>1.739</v>
      </c>
      <c r="R41" s="34" t="n">
        <v>1.51</v>
      </c>
      <c r="S41" s="34"/>
      <c r="T41" s="34"/>
      <c r="U41" s="34" t="n">
        <v>1.559</v>
      </c>
      <c r="V41" s="34"/>
      <c r="W41" s="34"/>
      <c r="X41" s="34"/>
      <c r="Y41" s="34"/>
      <c r="Z41" s="34"/>
      <c r="AA41" s="34"/>
      <c r="AB41" s="34" t="n">
        <v>7</v>
      </c>
      <c r="AC41" s="34" t="n">
        <v>3</v>
      </c>
      <c r="AD41" s="34" t="n">
        <f aca="false">IF(AND(N(AB41)&gt;0,N(AC41)&gt;0),SQRT(2*AB41/AC41),"")</f>
        <v>2.16024689946929</v>
      </c>
      <c r="AE41" s="34" t="n">
        <v>12</v>
      </c>
      <c r="AF41" s="34"/>
      <c r="AG41" s="34"/>
      <c r="AH41" s="34"/>
      <c r="AI41" s="34" t="n">
        <v>30.933</v>
      </c>
      <c r="AJ41" s="34" t="n">
        <v>3</v>
      </c>
      <c r="AK41" s="34"/>
      <c r="AL41" s="34"/>
      <c r="AM41" s="34"/>
      <c r="AN41" s="34" t="n">
        <v>3.3</v>
      </c>
      <c r="AO41" s="34"/>
      <c r="AP41" s="34" t="n">
        <v>71</v>
      </c>
      <c r="AQ41" s="34" t="n">
        <v>17</v>
      </c>
      <c r="AR41" s="34" t="s">
        <v>89</v>
      </c>
      <c r="AS41" s="34" t="s">
        <v>1751</v>
      </c>
      <c r="AT41" s="34" t="s">
        <v>1752</v>
      </c>
      <c r="AU41" s="34" t="s">
        <v>1753</v>
      </c>
      <c r="AV41" s="34" t="s">
        <v>1754</v>
      </c>
      <c r="AW41" s="35" t="s">
        <v>1766</v>
      </c>
      <c r="AX41" s="34" t="s">
        <v>984</v>
      </c>
      <c r="AY41" s="34" t="s">
        <v>1756</v>
      </c>
    </row>
    <row r="42" customFormat="false" ht="14.25" hidden="false" customHeight="false" outlineLevel="0" collapsed="false">
      <c r="A42" s="34" t="n">
        <v>170</v>
      </c>
      <c r="B42" s="34" t="n">
        <v>170</v>
      </c>
      <c r="C42" s="34" t="s">
        <v>971</v>
      </c>
      <c r="D42" s="34" t="n">
        <v>2003</v>
      </c>
      <c r="E42" s="34" t="s">
        <v>854</v>
      </c>
      <c r="F42" s="34" t="s">
        <v>887</v>
      </c>
      <c r="G42" s="34" t="s">
        <v>1750</v>
      </c>
      <c r="H42" s="34" t="n">
        <v>30.933</v>
      </c>
      <c r="I42" s="34" t="n">
        <v>75.867</v>
      </c>
      <c r="J42" s="34" t="s">
        <v>891</v>
      </c>
      <c r="K42" s="34" t="n">
        <v>1996</v>
      </c>
      <c r="L42" s="34" t="s">
        <v>842</v>
      </c>
      <c r="M42" s="34" t="s">
        <v>978</v>
      </c>
      <c r="N42" s="34" t="s">
        <v>1673</v>
      </c>
      <c r="O42" s="34" t="s">
        <v>1767</v>
      </c>
      <c r="P42" s="34"/>
      <c r="Q42" s="34" t="n">
        <v>1.719</v>
      </c>
      <c r="R42" s="34" t="n">
        <v>1.5</v>
      </c>
      <c r="S42" s="34"/>
      <c r="T42" s="34"/>
      <c r="U42" s="34" t="n">
        <v>1.549</v>
      </c>
      <c r="V42" s="34"/>
      <c r="W42" s="34"/>
      <c r="X42" s="34"/>
      <c r="Y42" s="34"/>
      <c r="Z42" s="34"/>
      <c r="AA42" s="34"/>
      <c r="AB42" s="34" t="n">
        <v>7</v>
      </c>
      <c r="AC42" s="34" t="n">
        <v>3</v>
      </c>
      <c r="AD42" s="34" t="n">
        <f aca="false">IF(AND(N(AB42)&gt;0,N(AC42)&gt;0),SQRT(2*AB42/AC42),"")</f>
        <v>2.16024689946929</v>
      </c>
      <c r="AE42" s="34" t="n">
        <v>12</v>
      </c>
      <c r="AF42" s="34"/>
      <c r="AG42" s="34"/>
      <c r="AH42" s="34"/>
      <c r="AI42" s="34" t="n">
        <v>30.933</v>
      </c>
      <c r="AJ42" s="34" t="n">
        <v>3</v>
      </c>
      <c r="AK42" s="34"/>
      <c r="AL42" s="34"/>
      <c r="AM42" s="34"/>
      <c r="AN42" s="34" t="n">
        <v>3.3</v>
      </c>
      <c r="AO42" s="34"/>
      <c r="AP42" s="34" t="n">
        <v>71</v>
      </c>
      <c r="AQ42" s="34" t="n">
        <v>17</v>
      </c>
      <c r="AR42" s="34" t="s">
        <v>89</v>
      </c>
      <c r="AS42" s="34" t="s">
        <v>1751</v>
      </c>
      <c r="AT42" s="34" t="s">
        <v>1752</v>
      </c>
      <c r="AU42" s="34" t="s">
        <v>1753</v>
      </c>
      <c r="AV42" s="34" t="s">
        <v>1754</v>
      </c>
      <c r="AW42" s="35" t="s">
        <v>1768</v>
      </c>
      <c r="AX42" s="34" t="s">
        <v>984</v>
      </c>
      <c r="AY42" s="34" t="s">
        <v>1756</v>
      </c>
    </row>
    <row r="43" customFormat="false" ht="14.25" hidden="false" customHeight="false" outlineLevel="0" collapsed="false">
      <c r="A43" s="34" t="n">
        <v>170</v>
      </c>
      <c r="B43" s="34" t="n">
        <v>170</v>
      </c>
      <c r="C43" s="34" t="s">
        <v>971</v>
      </c>
      <c r="D43" s="34" t="n">
        <v>2003</v>
      </c>
      <c r="E43" s="34" t="s">
        <v>854</v>
      </c>
      <c r="F43" s="34" t="s">
        <v>887</v>
      </c>
      <c r="G43" s="34" t="s">
        <v>1750</v>
      </c>
      <c r="H43" s="34" t="n">
        <v>30.933</v>
      </c>
      <c r="I43" s="34" t="n">
        <v>75.867</v>
      </c>
      <c r="J43" s="34" t="s">
        <v>891</v>
      </c>
      <c r="K43" s="34" t="n">
        <v>1996</v>
      </c>
      <c r="L43" s="34" t="s">
        <v>842</v>
      </c>
      <c r="M43" s="34" t="s">
        <v>978</v>
      </c>
      <c r="N43" s="34" t="s">
        <v>1673</v>
      </c>
      <c r="O43" s="34" t="s">
        <v>1769</v>
      </c>
      <c r="P43" s="34"/>
      <c r="Q43" s="34" t="n">
        <v>1.669</v>
      </c>
      <c r="R43" s="34" t="n">
        <v>1.49</v>
      </c>
      <c r="S43" s="34"/>
      <c r="T43" s="34"/>
      <c r="U43" s="34" t="n">
        <v>1.53</v>
      </c>
      <c r="V43" s="34"/>
      <c r="W43" s="34"/>
      <c r="X43" s="34"/>
      <c r="Y43" s="34"/>
      <c r="Z43" s="34"/>
      <c r="AA43" s="34"/>
      <c r="AB43" s="34" t="n">
        <v>7</v>
      </c>
      <c r="AC43" s="34" t="n">
        <v>3</v>
      </c>
      <c r="AD43" s="34" t="n">
        <f aca="false">IF(AND(N(AB43)&gt;0,N(AC43)&gt;0),SQRT(2*AB43/AC43),"")</f>
        <v>2.16024689946929</v>
      </c>
      <c r="AE43" s="34" t="n">
        <v>12</v>
      </c>
      <c r="AF43" s="34"/>
      <c r="AG43" s="34"/>
      <c r="AH43" s="34"/>
      <c r="AI43" s="34" t="n">
        <v>30.933</v>
      </c>
      <c r="AJ43" s="34" t="n">
        <v>3</v>
      </c>
      <c r="AK43" s="34"/>
      <c r="AL43" s="34"/>
      <c r="AM43" s="34"/>
      <c r="AN43" s="34" t="n">
        <v>3.3</v>
      </c>
      <c r="AO43" s="34"/>
      <c r="AP43" s="34" t="n">
        <v>71</v>
      </c>
      <c r="AQ43" s="34" t="n">
        <v>17</v>
      </c>
      <c r="AR43" s="34" t="s">
        <v>89</v>
      </c>
      <c r="AS43" s="34" t="s">
        <v>1751</v>
      </c>
      <c r="AT43" s="34" t="s">
        <v>1752</v>
      </c>
      <c r="AU43" s="34" t="s">
        <v>1753</v>
      </c>
      <c r="AV43" s="34" t="s">
        <v>1754</v>
      </c>
      <c r="AW43" s="35" t="s">
        <v>1770</v>
      </c>
      <c r="AX43" s="34" t="s">
        <v>984</v>
      </c>
      <c r="AY43" s="34" t="s">
        <v>1756</v>
      </c>
    </row>
    <row r="44" customFormat="false" ht="14.25" hidden="false" customHeight="false" outlineLevel="0" collapsed="false">
      <c r="A44" s="34" t="n">
        <v>170</v>
      </c>
      <c r="B44" s="34" t="n">
        <v>170</v>
      </c>
      <c r="C44" s="34" t="s">
        <v>971</v>
      </c>
      <c r="D44" s="34" t="n">
        <v>2003</v>
      </c>
      <c r="E44" s="34" t="s">
        <v>854</v>
      </c>
      <c r="F44" s="34" t="s">
        <v>887</v>
      </c>
      <c r="G44" s="34" t="s">
        <v>1750</v>
      </c>
      <c r="H44" s="34" t="n">
        <v>30.933</v>
      </c>
      <c r="I44" s="34" t="n">
        <v>75.867</v>
      </c>
      <c r="J44" s="34" t="s">
        <v>891</v>
      </c>
      <c r="K44" s="34" t="n">
        <v>1996</v>
      </c>
      <c r="L44" s="34" t="s">
        <v>842</v>
      </c>
      <c r="M44" s="34" t="s">
        <v>978</v>
      </c>
      <c r="N44" s="34" t="s">
        <v>1673</v>
      </c>
      <c r="O44" s="34" t="s">
        <v>1771</v>
      </c>
      <c r="P44" s="34"/>
      <c r="Q44" s="34" t="n">
        <v>1.57</v>
      </c>
      <c r="R44" s="34" t="n">
        <v>1.52</v>
      </c>
      <c r="S44" s="34"/>
      <c r="T44" s="34"/>
      <c r="U44" s="34" t="n">
        <v>1.52</v>
      </c>
      <c r="V44" s="34"/>
      <c r="W44" s="34"/>
      <c r="X44" s="34"/>
      <c r="Y44" s="34"/>
      <c r="Z44" s="34"/>
      <c r="AA44" s="34"/>
      <c r="AB44" s="34" t="n">
        <v>7</v>
      </c>
      <c r="AC44" s="34" t="n">
        <v>3</v>
      </c>
      <c r="AD44" s="34" t="n">
        <f aca="false">IF(AND(N(AB44)&gt;0,N(AC44)&gt;0),SQRT(2*AB44/AC44),"")</f>
        <v>2.16024689946929</v>
      </c>
      <c r="AE44" s="34" t="n">
        <v>12</v>
      </c>
      <c r="AF44" s="34"/>
      <c r="AG44" s="34"/>
      <c r="AH44" s="34"/>
      <c r="AI44" s="34" t="n">
        <v>30.933</v>
      </c>
      <c r="AJ44" s="34" t="n">
        <v>3</v>
      </c>
      <c r="AK44" s="34"/>
      <c r="AL44" s="34"/>
      <c r="AM44" s="34"/>
      <c r="AN44" s="34" t="n">
        <v>3.3</v>
      </c>
      <c r="AO44" s="34"/>
      <c r="AP44" s="34" t="n">
        <v>71</v>
      </c>
      <c r="AQ44" s="34" t="n">
        <v>17</v>
      </c>
      <c r="AR44" s="34" t="s">
        <v>89</v>
      </c>
      <c r="AS44" s="34" t="s">
        <v>1751</v>
      </c>
      <c r="AT44" s="34" t="s">
        <v>1752</v>
      </c>
      <c r="AU44" s="34" t="s">
        <v>1753</v>
      </c>
      <c r="AV44" s="34" t="s">
        <v>1754</v>
      </c>
      <c r="AW44" s="35" t="s">
        <v>1772</v>
      </c>
      <c r="AX44" s="34" t="s">
        <v>984</v>
      </c>
      <c r="AY44" s="34" t="s">
        <v>1756</v>
      </c>
    </row>
    <row r="45" customFormat="false" ht="14.25" hidden="false" customHeight="false" outlineLevel="0" collapsed="false">
      <c r="A45" s="24" t="n">
        <v>170</v>
      </c>
      <c r="B45" s="24" t="n">
        <v>170</v>
      </c>
      <c r="C45" s="24" t="s">
        <v>971</v>
      </c>
      <c r="D45" s="24" t="n">
        <v>2003</v>
      </c>
      <c r="E45" s="24" t="s">
        <v>854</v>
      </c>
      <c r="F45" s="24" t="s">
        <v>887</v>
      </c>
      <c r="G45" s="24" t="s">
        <v>1750</v>
      </c>
      <c r="H45" s="24" t="n">
        <v>30.933</v>
      </c>
      <c r="I45" s="24" t="n">
        <v>75.867</v>
      </c>
      <c r="J45" s="24" t="s">
        <v>891</v>
      </c>
      <c r="K45" s="24" t="s">
        <v>1773</v>
      </c>
      <c r="L45" s="24" t="s">
        <v>842</v>
      </c>
      <c r="M45" s="24" t="s">
        <v>978</v>
      </c>
      <c r="N45" s="24" t="s">
        <v>86</v>
      </c>
      <c r="O45" s="24" t="s">
        <v>1720</v>
      </c>
      <c r="P45" s="24"/>
      <c r="Q45" s="24" t="n">
        <v>1.31</v>
      </c>
      <c r="R45" s="24" t="n">
        <v>1.27</v>
      </c>
      <c r="S45" s="24"/>
      <c r="T45" s="24"/>
      <c r="U45" s="24" t="n">
        <v>1.34</v>
      </c>
      <c r="V45" s="24"/>
      <c r="W45" s="24"/>
      <c r="X45" s="24"/>
      <c r="Y45" s="24"/>
      <c r="Z45" s="24"/>
      <c r="AA45" s="24"/>
      <c r="AB45" s="24" t="n">
        <v>6</v>
      </c>
      <c r="AC45" s="24" t="n">
        <v>3</v>
      </c>
      <c r="AD45" s="24" t="n">
        <f aca="false">IF(AND(N(AB45)&gt;0,N(AC45)&gt;0),SQRT(2*AB45/AC45),"")</f>
        <v>2</v>
      </c>
      <c r="AE45" s="24" t="n">
        <v>12</v>
      </c>
      <c r="AF45" s="24"/>
      <c r="AG45" s="24"/>
      <c r="AH45" s="24"/>
      <c r="AI45" s="24" t="n">
        <v>30.933</v>
      </c>
      <c r="AJ45" s="24" t="n">
        <v>3</v>
      </c>
      <c r="AK45" s="24"/>
      <c r="AL45" s="24"/>
      <c r="AM45" s="24"/>
      <c r="AN45" s="24" t="n">
        <v>3.3</v>
      </c>
      <c r="AO45" s="24"/>
      <c r="AP45" s="24" t="n">
        <v>71</v>
      </c>
      <c r="AQ45" s="24" t="n">
        <v>17</v>
      </c>
      <c r="AR45" s="24" t="s">
        <v>89</v>
      </c>
      <c r="AS45" s="24" t="s">
        <v>1751</v>
      </c>
      <c r="AT45" s="24" t="s">
        <v>1774</v>
      </c>
      <c r="AU45" s="24" t="s">
        <v>1753</v>
      </c>
      <c r="AV45" s="24" t="s">
        <v>1775</v>
      </c>
      <c r="AW45" s="25" t="s">
        <v>1776</v>
      </c>
      <c r="AX45" s="24" t="s">
        <v>984</v>
      </c>
      <c r="AY45" s="24" t="s">
        <v>1756</v>
      </c>
    </row>
    <row r="46" customFormat="false" ht="14.25" hidden="false" customHeight="false" outlineLevel="0" collapsed="false">
      <c r="A46" s="24" t="n">
        <v>170</v>
      </c>
      <c r="B46" s="24" t="n">
        <v>170</v>
      </c>
      <c r="C46" s="24" t="s">
        <v>971</v>
      </c>
      <c r="D46" s="24" t="n">
        <v>2003</v>
      </c>
      <c r="E46" s="24" t="s">
        <v>854</v>
      </c>
      <c r="F46" s="24" t="s">
        <v>887</v>
      </c>
      <c r="G46" s="24" t="s">
        <v>1750</v>
      </c>
      <c r="H46" s="24" t="n">
        <v>30.933</v>
      </c>
      <c r="I46" s="24" t="n">
        <v>75.867</v>
      </c>
      <c r="J46" s="24" t="s">
        <v>891</v>
      </c>
      <c r="K46" s="24" t="s">
        <v>1773</v>
      </c>
      <c r="L46" s="24" t="s">
        <v>842</v>
      </c>
      <c r="M46" s="24" t="s">
        <v>978</v>
      </c>
      <c r="N46" s="24" t="s">
        <v>86</v>
      </c>
      <c r="O46" s="24" t="s">
        <v>1757</v>
      </c>
      <c r="P46" s="24"/>
      <c r="Q46" s="24" t="n">
        <v>1.427</v>
      </c>
      <c r="R46" s="24" t="n">
        <v>1.42</v>
      </c>
      <c r="S46" s="24"/>
      <c r="T46" s="24"/>
      <c r="U46" s="24" t="n">
        <v>1.427</v>
      </c>
      <c r="V46" s="24"/>
      <c r="W46" s="24"/>
      <c r="X46" s="24"/>
      <c r="Y46" s="24"/>
      <c r="Z46" s="24"/>
      <c r="AA46" s="24"/>
      <c r="AB46" s="24" t="n">
        <v>6</v>
      </c>
      <c r="AC46" s="24" t="n">
        <v>3</v>
      </c>
      <c r="AD46" s="24" t="n">
        <f aca="false">IF(AND(N(AB46)&gt;0,N(AC46)&gt;0),SQRT(2*AB46/AC46),"")</f>
        <v>2</v>
      </c>
      <c r="AE46" s="24" t="n">
        <v>12</v>
      </c>
      <c r="AF46" s="24"/>
      <c r="AG46" s="24"/>
      <c r="AH46" s="24"/>
      <c r="AI46" s="24" t="n">
        <v>30.933</v>
      </c>
      <c r="AJ46" s="24" t="n">
        <v>3</v>
      </c>
      <c r="AK46" s="24"/>
      <c r="AL46" s="24"/>
      <c r="AM46" s="24"/>
      <c r="AN46" s="24" t="n">
        <v>3.3</v>
      </c>
      <c r="AO46" s="24"/>
      <c r="AP46" s="24" t="n">
        <v>71</v>
      </c>
      <c r="AQ46" s="24" t="n">
        <v>17</v>
      </c>
      <c r="AR46" s="24" t="s">
        <v>89</v>
      </c>
      <c r="AS46" s="24" t="s">
        <v>1751</v>
      </c>
      <c r="AT46" s="24" t="s">
        <v>1774</v>
      </c>
      <c r="AU46" s="24" t="s">
        <v>1753</v>
      </c>
      <c r="AV46" s="24" t="s">
        <v>1775</v>
      </c>
      <c r="AW46" s="25" t="s">
        <v>1777</v>
      </c>
      <c r="AX46" s="24" t="s">
        <v>984</v>
      </c>
      <c r="AY46" s="24" t="s">
        <v>1756</v>
      </c>
    </row>
    <row r="47" customFormat="false" ht="14.25" hidden="false" customHeight="false" outlineLevel="0" collapsed="false">
      <c r="A47" s="24" t="n">
        <v>170</v>
      </c>
      <c r="B47" s="24" t="n">
        <v>170</v>
      </c>
      <c r="C47" s="24" t="s">
        <v>971</v>
      </c>
      <c r="D47" s="24" t="n">
        <v>2003</v>
      </c>
      <c r="E47" s="24" t="s">
        <v>854</v>
      </c>
      <c r="F47" s="24" t="s">
        <v>887</v>
      </c>
      <c r="G47" s="24" t="s">
        <v>1750</v>
      </c>
      <c r="H47" s="24" t="n">
        <v>30.933</v>
      </c>
      <c r="I47" s="24" t="n">
        <v>75.867</v>
      </c>
      <c r="J47" s="24" t="s">
        <v>891</v>
      </c>
      <c r="K47" s="24" t="s">
        <v>1773</v>
      </c>
      <c r="L47" s="24" t="s">
        <v>842</v>
      </c>
      <c r="M47" s="24" t="s">
        <v>978</v>
      </c>
      <c r="N47" s="24" t="s">
        <v>86</v>
      </c>
      <c r="O47" s="24" t="s">
        <v>1759</v>
      </c>
      <c r="P47" s="24"/>
      <c r="Q47" s="24" t="n">
        <v>1.56</v>
      </c>
      <c r="R47" s="24" t="n">
        <v>1.49</v>
      </c>
      <c r="S47" s="24"/>
      <c r="T47" s="24"/>
      <c r="U47" s="24" t="n">
        <v>1.54</v>
      </c>
      <c r="V47" s="24"/>
      <c r="W47" s="24"/>
      <c r="X47" s="24"/>
      <c r="Y47" s="24"/>
      <c r="Z47" s="24"/>
      <c r="AA47" s="24"/>
      <c r="AB47" s="24" t="n">
        <v>6</v>
      </c>
      <c r="AC47" s="24" t="n">
        <v>3</v>
      </c>
      <c r="AD47" s="24" t="n">
        <f aca="false">IF(AND(N(AB47)&gt;0,N(AC47)&gt;0),SQRT(2*AB47/AC47),"")</f>
        <v>2</v>
      </c>
      <c r="AE47" s="24" t="n">
        <v>12</v>
      </c>
      <c r="AF47" s="24"/>
      <c r="AG47" s="24"/>
      <c r="AH47" s="24"/>
      <c r="AI47" s="24" t="n">
        <v>30.933</v>
      </c>
      <c r="AJ47" s="24" t="n">
        <v>3</v>
      </c>
      <c r="AK47" s="24"/>
      <c r="AL47" s="24"/>
      <c r="AM47" s="24"/>
      <c r="AN47" s="24" t="n">
        <v>3.3</v>
      </c>
      <c r="AO47" s="24"/>
      <c r="AP47" s="24" t="n">
        <v>71</v>
      </c>
      <c r="AQ47" s="24" t="n">
        <v>17</v>
      </c>
      <c r="AR47" s="24" t="s">
        <v>89</v>
      </c>
      <c r="AS47" s="24" t="s">
        <v>1751</v>
      </c>
      <c r="AT47" s="24" t="s">
        <v>1774</v>
      </c>
      <c r="AU47" s="24" t="s">
        <v>1753</v>
      </c>
      <c r="AV47" s="24" t="s">
        <v>1775</v>
      </c>
      <c r="AW47" s="25" t="s">
        <v>1778</v>
      </c>
      <c r="AX47" s="24" t="s">
        <v>984</v>
      </c>
      <c r="AY47" s="24" t="s">
        <v>1756</v>
      </c>
    </row>
    <row r="48" customFormat="false" ht="14.25" hidden="false" customHeight="false" outlineLevel="0" collapsed="false">
      <c r="A48" s="24" t="n">
        <v>170</v>
      </c>
      <c r="B48" s="24" t="n">
        <v>170</v>
      </c>
      <c r="C48" s="24" t="s">
        <v>971</v>
      </c>
      <c r="D48" s="24" t="n">
        <v>2003</v>
      </c>
      <c r="E48" s="24" t="s">
        <v>854</v>
      </c>
      <c r="F48" s="24" t="s">
        <v>887</v>
      </c>
      <c r="G48" s="24" t="s">
        <v>1750</v>
      </c>
      <c r="H48" s="24" t="n">
        <v>30.933</v>
      </c>
      <c r="I48" s="24" t="n">
        <v>75.867</v>
      </c>
      <c r="J48" s="24" t="s">
        <v>891</v>
      </c>
      <c r="K48" s="24" t="s">
        <v>1773</v>
      </c>
      <c r="L48" s="24" t="s">
        <v>842</v>
      </c>
      <c r="M48" s="24" t="s">
        <v>978</v>
      </c>
      <c r="N48" s="24" t="s">
        <v>86</v>
      </c>
      <c r="O48" s="24" t="s">
        <v>1761</v>
      </c>
      <c r="P48" s="24"/>
      <c r="Q48" s="24" t="n">
        <v>1.571</v>
      </c>
      <c r="R48" s="24" t="n">
        <v>1.53</v>
      </c>
      <c r="S48" s="24"/>
      <c r="T48" s="24"/>
      <c r="U48" s="24" t="n">
        <v>1.55</v>
      </c>
      <c r="V48" s="24"/>
      <c r="W48" s="24"/>
      <c r="X48" s="24"/>
      <c r="Y48" s="24"/>
      <c r="Z48" s="24"/>
      <c r="AA48" s="24"/>
      <c r="AB48" s="24" t="n">
        <v>6</v>
      </c>
      <c r="AC48" s="24" t="n">
        <v>3</v>
      </c>
      <c r="AD48" s="24" t="n">
        <f aca="false">IF(AND(N(AB48)&gt;0,N(AC48)&gt;0),SQRT(2*AB48/AC48),"")</f>
        <v>2</v>
      </c>
      <c r="AE48" s="24" t="n">
        <v>12</v>
      </c>
      <c r="AF48" s="24"/>
      <c r="AG48" s="24"/>
      <c r="AH48" s="24"/>
      <c r="AI48" s="24" t="n">
        <v>30.933</v>
      </c>
      <c r="AJ48" s="24" t="n">
        <v>3</v>
      </c>
      <c r="AK48" s="24"/>
      <c r="AL48" s="24"/>
      <c r="AM48" s="24"/>
      <c r="AN48" s="24" t="n">
        <v>3.3</v>
      </c>
      <c r="AO48" s="24"/>
      <c r="AP48" s="24" t="n">
        <v>71</v>
      </c>
      <c r="AQ48" s="24" t="n">
        <v>17</v>
      </c>
      <c r="AR48" s="24" t="s">
        <v>89</v>
      </c>
      <c r="AS48" s="24" t="s">
        <v>1751</v>
      </c>
      <c r="AT48" s="24" t="s">
        <v>1774</v>
      </c>
      <c r="AU48" s="24" t="s">
        <v>1753</v>
      </c>
      <c r="AV48" s="24" t="s">
        <v>1775</v>
      </c>
      <c r="AW48" s="25" t="s">
        <v>1779</v>
      </c>
      <c r="AX48" s="24" t="s">
        <v>984</v>
      </c>
      <c r="AY48" s="24" t="s">
        <v>1756</v>
      </c>
    </row>
    <row r="49" customFormat="false" ht="14.25" hidden="false" customHeight="false" outlineLevel="0" collapsed="false">
      <c r="A49" s="24" t="n">
        <v>170</v>
      </c>
      <c r="B49" s="24" t="n">
        <v>170</v>
      </c>
      <c r="C49" s="24" t="s">
        <v>971</v>
      </c>
      <c r="D49" s="24" t="n">
        <v>2003</v>
      </c>
      <c r="E49" s="24" t="s">
        <v>854</v>
      </c>
      <c r="F49" s="24" t="s">
        <v>887</v>
      </c>
      <c r="G49" s="24" t="s">
        <v>1750</v>
      </c>
      <c r="H49" s="24" t="n">
        <v>30.933</v>
      </c>
      <c r="I49" s="24" t="n">
        <v>75.867</v>
      </c>
      <c r="J49" s="24" t="s">
        <v>891</v>
      </c>
      <c r="K49" s="24" t="s">
        <v>1773</v>
      </c>
      <c r="L49" s="24" t="s">
        <v>842</v>
      </c>
      <c r="M49" s="24" t="s">
        <v>978</v>
      </c>
      <c r="N49" s="24" t="s">
        <v>1673</v>
      </c>
      <c r="O49" s="24" t="s">
        <v>1763</v>
      </c>
      <c r="P49" s="24"/>
      <c r="Q49" s="24" t="n">
        <v>1.761</v>
      </c>
      <c r="R49" s="24" t="n">
        <v>1.54</v>
      </c>
      <c r="S49" s="24"/>
      <c r="T49" s="24"/>
      <c r="U49" s="24" t="n">
        <v>1.54</v>
      </c>
      <c r="V49" s="24"/>
      <c r="W49" s="24"/>
      <c r="X49" s="24"/>
      <c r="Y49" s="24"/>
      <c r="Z49" s="24"/>
      <c r="AA49" s="24"/>
      <c r="AB49" s="24" t="n">
        <v>5</v>
      </c>
      <c r="AC49" s="24" t="n">
        <v>3</v>
      </c>
      <c r="AD49" s="24" t="n">
        <f aca="false">IF(AND(N(AB49)&gt;0,N(AC49)&gt;0),SQRT(2*AB49/AC49),"")</f>
        <v>1.82574185835055</v>
      </c>
      <c r="AE49" s="24" t="n">
        <v>12</v>
      </c>
      <c r="AF49" s="24"/>
      <c r="AG49" s="24"/>
      <c r="AH49" s="24"/>
      <c r="AI49" s="24" t="n">
        <v>30.933</v>
      </c>
      <c r="AJ49" s="24" t="n">
        <v>3</v>
      </c>
      <c r="AK49" s="24"/>
      <c r="AL49" s="24"/>
      <c r="AM49" s="24"/>
      <c r="AN49" s="24" t="n">
        <v>3.3</v>
      </c>
      <c r="AO49" s="24"/>
      <c r="AP49" s="24" t="n">
        <v>71</v>
      </c>
      <c r="AQ49" s="24" t="n">
        <v>17</v>
      </c>
      <c r="AR49" s="24" t="s">
        <v>89</v>
      </c>
      <c r="AS49" s="24" t="s">
        <v>1751</v>
      </c>
      <c r="AT49" s="24" t="s">
        <v>1774</v>
      </c>
      <c r="AU49" s="24" t="s">
        <v>1753</v>
      </c>
      <c r="AV49" s="24" t="s">
        <v>1775</v>
      </c>
      <c r="AW49" s="25" t="s">
        <v>1780</v>
      </c>
      <c r="AX49" s="24" t="s">
        <v>984</v>
      </c>
      <c r="AY49" s="24" t="s">
        <v>1756</v>
      </c>
    </row>
    <row r="50" customFormat="false" ht="14.25" hidden="false" customHeight="false" outlineLevel="0" collapsed="false">
      <c r="A50" s="24" t="n">
        <v>170</v>
      </c>
      <c r="B50" s="24" t="n">
        <v>170</v>
      </c>
      <c r="C50" s="24" t="s">
        <v>971</v>
      </c>
      <c r="D50" s="24" t="n">
        <v>2003</v>
      </c>
      <c r="E50" s="24" t="s">
        <v>854</v>
      </c>
      <c r="F50" s="24" t="s">
        <v>887</v>
      </c>
      <c r="G50" s="24" t="s">
        <v>1750</v>
      </c>
      <c r="H50" s="24" t="n">
        <v>30.933</v>
      </c>
      <c r="I50" s="24" t="n">
        <v>75.867</v>
      </c>
      <c r="J50" s="24" t="s">
        <v>891</v>
      </c>
      <c r="K50" s="24" t="s">
        <v>1773</v>
      </c>
      <c r="L50" s="24" t="s">
        <v>842</v>
      </c>
      <c r="M50" s="24" t="s">
        <v>978</v>
      </c>
      <c r="N50" s="24" t="s">
        <v>1673</v>
      </c>
      <c r="O50" s="24" t="s">
        <v>1765</v>
      </c>
      <c r="P50" s="24"/>
      <c r="Q50" s="24" t="n">
        <v>1.751</v>
      </c>
      <c r="R50" s="24" t="n">
        <v>1.55</v>
      </c>
      <c r="S50" s="24"/>
      <c r="T50" s="24"/>
      <c r="U50" s="24" t="n">
        <v>1.55</v>
      </c>
      <c r="V50" s="24"/>
      <c r="W50" s="24"/>
      <c r="X50" s="24"/>
      <c r="Y50" s="24"/>
      <c r="Z50" s="24"/>
      <c r="AA50" s="24"/>
      <c r="AB50" s="24" t="n">
        <v>5</v>
      </c>
      <c r="AC50" s="24" t="n">
        <v>3</v>
      </c>
      <c r="AD50" s="24" t="n">
        <f aca="false">IF(AND(N(AB50)&gt;0,N(AC50)&gt;0),SQRT(2*AB50/AC50),"")</f>
        <v>1.82574185835055</v>
      </c>
      <c r="AE50" s="24" t="n">
        <v>12</v>
      </c>
      <c r="AF50" s="24"/>
      <c r="AG50" s="24"/>
      <c r="AH50" s="24"/>
      <c r="AI50" s="24" t="n">
        <v>30.933</v>
      </c>
      <c r="AJ50" s="24" t="n">
        <v>3</v>
      </c>
      <c r="AK50" s="24"/>
      <c r="AL50" s="24"/>
      <c r="AM50" s="24"/>
      <c r="AN50" s="24" t="n">
        <v>3.3</v>
      </c>
      <c r="AO50" s="24"/>
      <c r="AP50" s="24" t="n">
        <v>71</v>
      </c>
      <c r="AQ50" s="24" t="n">
        <v>17</v>
      </c>
      <c r="AR50" s="24" t="s">
        <v>89</v>
      </c>
      <c r="AS50" s="24" t="s">
        <v>1751</v>
      </c>
      <c r="AT50" s="24" t="s">
        <v>1774</v>
      </c>
      <c r="AU50" s="24" t="s">
        <v>1753</v>
      </c>
      <c r="AV50" s="24" t="s">
        <v>1775</v>
      </c>
      <c r="AW50" s="25" t="s">
        <v>1781</v>
      </c>
      <c r="AX50" s="24" t="s">
        <v>984</v>
      </c>
      <c r="AY50" s="24" t="s">
        <v>1756</v>
      </c>
    </row>
    <row r="51" customFormat="false" ht="14.25" hidden="false" customHeight="false" outlineLevel="0" collapsed="false">
      <c r="A51" s="24" t="n">
        <v>170</v>
      </c>
      <c r="B51" s="24" t="n">
        <v>170</v>
      </c>
      <c r="C51" s="24" t="s">
        <v>971</v>
      </c>
      <c r="D51" s="24" t="n">
        <v>2003</v>
      </c>
      <c r="E51" s="24" t="s">
        <v>854</v>
      </c>
      <c r="F51" s="24" t="s">
        <v>887</v>
      </c>
      <c r="G51" s="24" t="s">
        <v>1750</v>
      </c>
      <c r="H51" s="24" t="n">
        <v>30.933</v>
      </c>
      <c r="I51" s="24" t="n">
        <v>75.867</v>
      </c>
      <c r="J51" s="24" t="s">
        <v>891</v>
      </c>
      <c r="K51" s="24" t="s">
        <v>1773</v>
      </c>
      <c r="L51" s="24" t="s">
        <v>842</v>
      </c>
      <c r="M51" s="24" t="s">
        <v>978</v>
      </c>
      <c r="N51" s="24" t="s">
        <v>1673</v>
      </c>
      <c r="O51" s="24" t="s">
        <v>1767</v>
      </c>
      <c r="P51" s="24"/>
      <c r="Q51" s="24" t="n">
        <v>1.731</v>
      </c>
      <c r="R51" s="24" t="n">
        <v>1.52</v>
      </c>
      <c r="S51" s="24"/>
      <c r="T51" s="24"/>
      <c r="U51" s="24" t="n">
        <v>1.57</v>
      </c>
      <c r="V51" s="24"/>
      <c r="W51" s="24"/>
      <c r="X51" s="24"/>
      <c r="Y51" s="24"/>
      <c r="Z51" s="24"/>
      <c r="AA51" s="24"/>
      <c r="AB51" s="24" t="n">
        <v>5</v>
      </c>
      <c r="AC51" s="24" t="n">
        <v>3</v>
      </c>
      <c r="AD51" s="24" t="n">
        <f aca="false">IF(AND(N(AB51)&gt;0,N(AC51)&gt;0),SQRT(2*AB51/AC51),"")</f>
        <v>1.82574185835055</v>
      </c>
      <c r="AE51" s="24" t="n">
        <v>12</v>
      </c>
      <c r="AF51" s="24"/>
      <c r="AG51" s="24"/>
      <c r="AH51" s="24"/>
      <c r="AI51" s="24" t="n">
        <v>30.933</v>
      </c>
      <c r="AJ51" s="24" t="n">
        <v>3</v>
      </c>
      <c r="AK51" s="24"/>
      <c r="AL51" s="24"/>
      <c r="AM51" s="24"/>
      <c r="AN51" s="24" t="n">
        <v>3.3</v>
      </c>
      <c r="AO51" s="24"/>
      <c r="AP51" s="24" t="n">
        <v>71</v>
      </c>
      <c r="AQ51" s="24" t="n">
        <v>17</v>
      </c>
      <c r="AR51" s="24" t="s">
        <v>89</v>
      </c>
      <c r="AS51" s="24" t="s">
        <v>1751</v>
      </c>
      <c r="AT51" s="24" t="s">
        <v>1774</v>
      </c>
      <c r="AU51" s="24" t="s">
        <v>1753</v>
      </c>
      <c r="AV51" s="24" t="s">
        <v>1775</v>
      </c>
      <c r="AW51" s="25" t="s">
        <v>1781</v>
      </c>
      <c r="AX51" s="24" t="s">
        <v>984</v>
      </c>
      <c r="AY51" s="24" t="s">
        <v>1756</v>
      </c>
    </row>
    <row r="52" customFormat="false" ht="14.25" hidden="false" customHeight="false" outlineLevel="0" collapsed="false">
      <c r="A52" s="34" t="n">
        <v>170</v>
      </c>
      <c r="B52" s="34" t="n">
        <v>170</v>
      </c>
      <c r="C52" s="34" t="s">
        <v>971</v>
      </c>
      <c r="D52" s="34" t="n">
        <v>2003</v>
      </c>
      <c r="E52" s="34" t="s">
        <v>854</v>
      </c>
      <c r="F52" s="34" t="s">
        <v>887</v>
      </c>
      <c r="G52" s="34" t="s">
        <v>1750</v>
      </c>
      <c r="H52" s="34" t="n">
        <v>30.933</v>
      </c>
      <c r="I52" s="34" t="n">
        <v>75.867</v>
      </c>
      <c r="J52" s="34" t="s">
        <v>891</v>
      </c>
      <c r="K52" s="34" t="n">
        <v>1994</v>
      </c>
      <c r="L52" s="34" t="s">
        <v>842</v>
      </c>
      <c r="M52" s="34" t="s">
        <v>978</v>
      </c>
      <c r="N52" s="34" t="s">
        <v>1673</v>
      </c>
      <c r="O52" s="34" t="s">
        <v>1782</v>
      </c>
      <c r="P52" s="34"/>
      <c r="Q52" s="34" t="n">
        <v>1.56</v>
      </c>
      <c r="R52" s="34"/>
      <c r="S52" s="34"/>
      <c r="T52" s="34"/>
      <c r="U52" s="34" t="n">
        <v>1.49</v>
      </c>
      <c r="V52" s="34"/>
      <c r="W52" s="34"/>
      <c r="X52" s="34"/>
      <c r="Y52" s="34"/>
      <c r="Z52" s="34"/>
      <c r="AA52" s="34"/>
      <c r="AB52" s="34" t="n">
        <v>5</v>
      </c>
      <c r="AC52" s="34" t="n">
        <v>3</v>
      </c>
      <c r="AD52" s="34" t="n">
        <f aca="false">IF(AND(N(AB52)&gt;0,N(AC52)&gt;0),SQRT(2*AB52/AC52),"")</f>
        <v>1.82574185835055</v>
      </c>
      <c r="AE52" s="34" t="n">
        <v>12</v>
      </c>
      <c r="AF52" s="34"/>
      <c r="AG52" s="34"/>
      <c r="AH52" s="34"/>
      <c r="AI52" s="34" t="n">
        <v>30.933</v>
      </c>
      <c r="AJ52" s="34" t="n">
        <v>1</v>
      </c>
      <c r="AK52" s="34"/>
      <c r="AL52" s="34"/>
      <c r="AM52" s="34"/>
      <c r="AN52" s="34" t="n">
        <v>3.3</v>
      </c>
      <c r="AO52" s="34"/>
      <c r="AP52" s="34" t="n">
        <v>71</v>
      </c>
      <c r="AQ52" s="34" t="n">
        <v>17</v>
      </c>
      <c r="AR52" s="34" t="s">
        <v>89</v>
      </c>
      <c r="AS52" s="34" t="s">
        <v>1751</v>
      </c>
      <c r="AT52" s="34" t="s">
        <v>1783</v>
      </c>
      <c r="AU52" s="34" t="s">
        <v>1753</v>
      </c>
      <c r="AV52" s="34" t="s">
        <v>1702</v>
      </c>
      <c r="AW52" s="35" t="s">
        <v>1784</v>
      </c>
      <c r="AX52" s="34" t="s">
        <v>984</v>
      </c>
      <c r="AY52" s="34" t="s">
        <v>1785</v>
      </c>
    </row>
    <row r="53" customFormat="false" ht="14.25" hidden="false" customHeight="false" outlineLevel="0" collapsed="false">
      <c r="A53" s="34" t="n">
        <v>170</v>
      </c>
      <c r="B53" s="34" t="n">
        <v>170</v>
      </c>
      <c r="C53" s="34" t="s">
        <v>971</v>
      </c>
      <c r="D53" s="34" t="n">
        <v>2003</v>
      </c>
      <c r="E53" s="34" t="s">
        <v>854</v>
      </c>
      <c r="F53" s="34" t="s">
        <v>887</v>
      </c>
      <c r="G53" s="34" t="s">
        <v>1750</v>
      </c>
      <c r="H53" s="34" t="n">
        <v>30.933</v>
      </c>
      <c r="I53" s="34" t="n">
        <v>75.867</v>
      </c>
      <c r="J53" s="34" t="s">
        <v>891</v>
      </c>
      <c r="K53" s="34" t="n">
        <v>1995</v>
      </c>
      <c r="L53" s="34" t="s">
        <v>842</v>
      </c>
      <c r="M53" s="34" t="s">
        <v>978</v>
      </c>
      <c r="N53" s="34" t="s">
        <v>1673</v>
      </c>
      <c r="O53" s="34" t="s">
        <v>1782</v>
      </c>
      <c r="P53" s="34"/>
      <c r="Q53" s="34" t="n">
        <v>1.71</v>
      </c>
      <c r="R53" s="34"/>
      <c r="S53" s="34"/>
      <c r="T53" s="34"/>
      <c r="U53" s="34" t="n">
        <v>1.53</v>
      </c>
      <c r="V53" s="34"/>
      <c r="W53" s="34"/>
      <c r="X53" s="34"/>
      <c r="Y53" s="34"/>
      <c r="Z53" s="34"/>
      <c r="AA53" s="34"/>
      <c r="AB53" s="34" t="n">
        <v>5</v>
      </c>
      <c r="AC53" s="34" t="n">
        <v>3</v>
      </c>
      <c r="AD53" s="34" t="n">
        <f aca="false">IF(AND(N(AB53)&gt;0,N(AC53)&gt;0),SQRT(2*AB53/AC53),"")</f>
        <v>1.82574185835055</v>
      </c>
      <c r="AE53" s="34" t="n">
        <v>12</v>
      </c>
      <c r="AF53" s="34"/>
      <c r="AG53" s="34"/>
      <c r="AH53" s="34"/>
      <c r="AI53" s="34" t="n">
        <v>30.933</v>
      </c>
      <c r="AJ53" s="34" t="n">
        <v>2</v>
      </c>
      <c r="AK53" s="34"/>
      <c r="AL53" s="34"/>
      <c r="AM53" s="34"/>
      <c r="AN53" s="34" t="n">
        <v>3.3</v>
      </c>
      <c r="AO53" s="34"/>
      <c r="AP53" s="34" t="n">
        <v>71</v>
      </c>
      <c r="AQ53" s="34" t="n">
        <v>17</v>
      </c>
      <c r="AR53" s="34" t="s">
        <v>89</v>
      </c>
      <c r="AS53" s="34" t="s">
        <v>1751</v>
      </c>
      <c r="AT53" s="34" t="s">
        <v>1786</v>
      </c>
      <c r="AU53" s="34" t="s">
        <v>1753</v>
      </c>
      <c r="AV53" s="34" t="s">
        <v>1702</v>
      </c>
      <c r="AW53" s="35" t="s">
        <v>1787</v>
      </c>
      <c r="AX53" s="34" t="s">
        <v>984</v>
      </c>
      <c r="AY53" s="34" t="s">
        <v>1785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1788</v>
      </c>
      <c r="Q1" s="27" t="s">
        <v>1789</v>
      </c>
      <c r="R1" s="27" t="s">
        <v>1790</v>
      </c>
      <c r="S1" s="27" t="s">
        <v>1791</v>
      </c>
      <c r="T1" s="27" t="s">
        <v>1792</v>
      </c>
      <c r="U1" s="27" t="s">
        <v>1793</v>
      </c>
      <c r="V1" s="27" t="s">
        <v>1794</v>
      </c>
      <c r="W1" s="27" t="s">
        <v>1795</v>
      </c>
      <c r="X1" s="30" t="s">
        <v>1796</v>
      </c>
      <c r="Y1" s="30" t="s">
        <v>1797</v>
      </c>
      <c r="Z1" s="30" t="s">
        <v>1798</v>
      </c>
      <c r="AA1" s="30" t="s">
        <v>1799</v>
      </c>
      <c r="AB1" s="27" t="s">
        <v>1800</v>
      </c>
      <c r="AC1" s="28" t="s">
        <v>35</v>
      </c>
      <c r="AD1" s="28" t="s">
        <v>33</v>
      </c>
      <c r="AE1" s="28" t="s">
        <v>37</v>
      </c>
      <c r="AF1" s="21" t="s">
        <v>73</v>
      </c>
      <c r="AG1" s="21" t="s">
        <v>796</v>
      </c>
      <c r="AH1" s="21" t="s">
        <v>797</v>
      </c>
      <c r="AI1" s="21" t="s">
        <v>74</v>
      </c>
      <c r="AJ1" s="21" t="s">
        <v>1659</v>
      </c>
      <c r="AK1" s="21" t="s">
        <v>1660</v>
      </c>
      <c r="AL1" s="21" t="s">
        <v>798</v>
      </c>
      <c r="AM1" s="21" t="s">
        <v>799</v>
      </c>
      <c r="AN1" s="21" t="s">
        <v>75</v>
      </c>
      <c r="AO1" s="21" t="s">
        <v>794</v>
      </c>
      <c r="AP1" s="21" t="s">
        <v>795</v>
      </c>
      <c r="AQ1" s="21" t="s">
        <v>792</v>
      </c>
      <c r="AR1" s="21" t="s">
        <v>793</v>
      </c>
      <c r="AS1" s="22" t="s">
        <v>76</v>
      </c>
      <c r="AT1" s="22" t="s">
        <v>77</v>
      </c>
      <c r="AU1" s="22" t="s">
        <v>1661</v>
      </c>
      <c r="AV1" s="22" t="s">
        <v>1662</v>
      </c>
      <c r="AW1" s="22" t="s">
        <v>78</v>
      </c>
      <c r="AX1" s="22" t="s">
        <v>811</v>
      </c>
      <c r="AY1" s="22" t="s">
        <v>1663</v>
      </c>
      <c r="AZ1" s="22" t="s">
        <v>1664</v>
      </c>
      <c r="BB1" s="31" t="s">
        <v>1665</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1801</v>
      </c>
      <c r="Q1" s="27" t="s">
        <v>1802</v>
      </c>
      <c r="R1" s="27" t="s">
        <v>1803</v>
      </c>
      <c r="S1" s="27" t="s">
        <v>1804</v>
      </c>
      <c r="T1" s="27" t="s">
        <v>1805</v>
      </c>
      <c r="U1" s="27" t="s">
        <v>1806</v>
      </c>
      <c r="V1" s="27" t="s">
        <v>1807</v>
      </c>
      <c r="W1" s="27" t="s">
        <v>1808</v>
      </c>
      <c r="X1" s="30" t="s">
        <v>1809</v>
      </c>
      <c r="Y1" s="30" t="s">
        <v>1810</v>
      </c>
      <c r="Z1" s="30" t="s">
        <v>1811</v>
      </c>
      <c r="AA1" s="30" t="s">
        <v>1812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763</v>
      </c>
      <c r="AS2" s="18" t="s">
        <v>1667</v>
      </c>
      <c r="AT2" s="18" t="s">
        <v>1668</v>
      </c>
      <c r="AU2" s="18" t="s">
        <v>1669</v>
      </c>
      <c r="AV2" s="18" t="s">
        <v>1813</v>
      </c>
      <c r="AW2" s="32" t="s">
        <v>1814</v>
      </c>
      <c r="AX2" s="18" t="s">
        <v>898</v>
      </c>
      <c r="AY2" s="18" t="s">
        <v>1815</v>
      </c>
      <c r="BA2" s="33" t="s">
        <v>763</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763</v>
      </c>
      <c r="AS3" s="18" t="s">
        <v>1667</v>
      </c>
      <c r="AT3" s="18" t="s">
        <v>1668</v>
      </c>
      <c r="AU3" s="18" t="s">
        <v>1669</v>
      </c>
      <c r="AV3" s="18" t="s">
        <v>1813</v>
      </c>
      <c r="AW3" s="32" t="s">
        <v>1814</v>
      </c>
      <c r="AX3" s="18" t="s">
        <v>898</v>
      </c>
      <c r="AY3" s="18" t="s">
        <v>1815</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1666</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1816</v>
      </c>
      <c r="AS4" s="5" t="s">
        <v>1676</v>
      </c>
      <c r="AT4" s="5" t="s">
        <v>1677</v>
      </c>
      <c r="AU4" s="5" t="s">
        <v>1678</v>
      </c>
      <c r="AV4" s="5" t="s">
        <v>1679</v>
      </c>
      <c r="AW4" s="23" t="s">
        <v>1817</v>
      </c>
      <c r="AX4" s="5" t="s">
        <v>850</v>
      </c>
      <c r="AY4" s="5" t="s">
        <v>1818</v>
      </c>
    </row>
    <row r="5" customFormat="false" ht="15" hidden="false" customHeight="true" outlineLevel="0" collapsed="false">
      <c r="A5" s="5" t="n">
        <v>165</v>
      </c>
      <c r="B5" s="5" t="n">
        <v>165</v>
      </c>
      <c r="C5" s="5" t="s">
        <v>832</v>
      </c>
      <c r="D5" s="5" t="n">
        <v>2012</v>
      </c>
      <c r="E5" s="5" t="s">
        <v>833</v>
      </c>
      <c r="F5" s="5" t="s">
        <v>836</v>
      </c>
      <c r="G5" s="5" t="s">
        <v>837</v>
      </c>
      <c r="H5" s="5" t="n">
        <v>28.633</v>
      </c>
      <c r="I5" s="5" t="n">
        <v>77.183</v>
      </c>
      <c r="J5" s="5" t="s">
        <v>83</v>
      </c>
      <c r="K5" s="5" t="s">
        <v>1675</v>
      </c>
      <c r="L5" s="5" t="s">
        <v>842</v>
      </c>
      <c r="M5" s="5" t="s">
        <v>85</v>
      </c>
      <c r="N5" s="5" t="s">
        <v>86</v>
      </c>
      <c r="O5" s="5" t="s">
        <v>1666</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1816</v>
      </c>
      <c r="AS5" s="5" t="s">
        <v>1682</v>
      </c>
      <c r="AT5" s="5" t="s">
        <v>1683</v>
      </c>
      <c r="AU5" s="5" t="s">
        <v>1678</v>
      </c>
      <c r="AV5" s="5" t="s">
        <v>1679</v>
      </c>
      <c r="AW5" s="23" t="s">
        <v>1819</v>
      </c>
      <c r="AX5" s="5" t="s">
        <v>850</v>
      </c>
      <c r="AY5" s="5" t="s">
        <v>1818</v>
      </c>
      <c r="BA5" s="5" t="s">
        <v>89</v>
      </c>
    </row>
    <row r="6" customFormat="false" ht="15" hidden="false" customHeight="true" outlineLevel="0" collapsed="false">
      <c r="A6" s="5" t="s">
        <v>952</v>
      </c>
      <c r="B6" s="5" t="s">
        <v>952</v>
      </c>
      <c r="C6" s="5" t="s">
        <v>953</v>
      </c>
      <c r="D6" s="5" t="n">
        <v>2023</v>
      </c>
      <c r="E6" s="5" t="s">
        <v>954</v>
      </c>
      <c r="F6" s="5" t="s">
        <v>957</v>
      </c>
      <c r="G6" s="5" t="s">
        <v>958</v>
      </c>
      <c r="H6" s="5" t="n">
        <v>35.27</v>
      </c>
      <c r="I6" s="5" t="n">
        <v>119.38</v>
      </c>
      <c r="J6" s="5" t="s">
        <v>891</v>
      </c>
      <c r="K6" s="5" t="n">
        <v>2018</v>
      </c>
      <c r="L6" s="5" t="s">
        <v>842</v>
      </c>
      <c r="M6" s="5"/>
      <c r="N6" s="5" t="s">
        <v>86</v>
      </c>
      <c r="O6" s="5" t="s">
        <v>1685</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763</v>
      </c>
      <c r="AS6" s="5" t="s">
        <v>1686</v>
      </c>
      <c r="AT6" s="5" t="s">
        <v>1687</v>
      </c>
      <c r="AU6" s="5" t="s">
        <v>1688</v>
      </c>
      <c r="AV6" s="5" t="s">
        <v>1820</v>
      </c>
      <c r="AW6" s="23" t="s">
        <v>1821</v>
      </c>
      <c r="AX6" s="5" t="s">
        <v>968</v>
      </c>
      <c r="AY6" s="5" t="s">
        <v>1815</v>
      </c>
    </row>
    <row r="7" customFormat="false" ht="15" hidden="false" customHeight="true" outlineLevel="0" collapsed="false">
      <c r="A7" s="5" t="s">
        <v>952</v>
      </c>
      <c r="B7" s="5" t="s">
        <v>952</v>
      </c>
      <c r="C7" s="5" t="s">
        <v>953</v>
      </c>
      <c r="D7" s="5" t="n">
        <v>2023</v>
      </c>
      <c r="E7" s="5" t="s">
        <v>954</v>
      </c>
      <c r="F7" s="5" t="s">
        <v>957</v>
      </c>
      <c r="G7" s="5" t="s">
        <v>958</v>
      </c>
      <c r="H7" s="5" t="n">
        <v>35.27</v>
      </c>
      <c r="I7" s="5" t="n">
        <v>119.38</v>
      </c>
      <c r="J7" s="5" t="s">
        <v>891</v>
      </c>
      <c r="K7" s="5" t="n">
        <v>2019</v>
      </c>
      <c r="L7" s="5" t="s">
        <v>842</v>
      </c>
      <c r="M7" s="5"/>
      <c r="N7" s="5" t="s">
        <v>86</v>
      </c>
      <c r="O7" s="5" t="s">
        <v>1685</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763</v>
      </c>
      <c r="AS7" s="5" t="s">
        <v>1686</v>
      </c>
      <c r="AT7" s="5" t="s">
        <v>1692</v>
      </c>
      <c r="AU7" s="5" t="s">
        <v>1688</v>
      </c>
      <c r="AV7" s="5" t="s">
        <v>1820</v>
      </c>
      <c r="AW7" s="23" t="s">
        <v>1821</v>
      </c>
      <c r="AX7" s="5" t="s">
        <v>968</v>
      </c>
      <c r="AY7" s="5" t="s">
        <v>1815</v>
      </c>
    </row>
    <row r="8" customFormat="false" ht="15" hidden="false" customHeight="true" outlineLevel="0" collapsed="false">
      <c r="A8" s="5" t="s">
        <v>952</v>
      </c>
      <c r="B8" s="5" t="s">
        <v>952</v>
      </c>
      <c r="C8" s="5" t="s">
        <v>953</v>
      </c>
      <c r="D8" s="5" t="n">
        <v>2023</v>
      </c>
      <c r="E8" s="5" t="s">
        <v>954</v>
      </c>
      <c r="F8" s="5" t="s">
        <v>957</v>
      </c>
      <c r="G8" s="5" t="s">
        <v>958</v>
      </c>
      <c r="H8" s="5" t="n">
        <v>35.27</v>
      </c>
      <c r="I8" s="5" t="n">
        <v>119.38</v>
      </c>
      <c r="J8" s="5" t="s">
        <v>891</v>
      </c>
      <c r="K8" s="5" t="n">
        <v>2020</v>
      </c>
      <c r="L8" s="5" t="s">
        <v>842</v>
      </c>
      <c r="M8" s="5"/>
      <c r="N8" s="5" t="s">
        <v>86</v>
      </c>
      <c r="O8" s="5" t="s">
        <v>1685</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763</v>
      </c>
      <c r="AS8" s="5" t="s">
        <v>1686</v>
      </c>
      <c r="AT8" s="5" t="s">
        <v>1693</v>
      </c>
      <c r="AU8" s="5" t="s">
        <v>1688</v>
      </c>
      <c r="AV8" s="5" t="s">
        <v>1820</v>
      </c>
      <c r="AW8" s="23" t="s">
        <v>1821</v>
      </c>
      <c r="AX8" s="5" t="s">
        <v>968</v>
      </c>
      <c r="AY8" s="5" t="s">
        <v>1815</v>
      </c>
    </row>
    <row r="9" customFormat="false" ht="15" hidden="false" customHeight="true" outlineLevel="0" collapsed="false">
      <c r="A9" s="5" t="s">
        <v>952</v>
      </c>
      <c r="B9" s="5" t="s">
        <v>952</v>
      </c>
      <c r="C9" s="5" t="s">
        <v>953</v>
      </c>
      <c r="D9" s="5" t="n">
        <v>2023</v>
      </c>
      <c r="E9" s="5" t="s">
        <v>954</v>
      </c>
      <c r="F9" s="5" t="s">
        <v>957</v>
      </c>
      <c r="G9" s="5" t="s">
        <v>958</v>
      </c>
      <c r="H9" s="5" t="n">
        <v>35.27</v>
      </c>
      <c r="I9" s="5" t="n">
        <v>119.38</v>
      </c>
      <c r="J9" s="5" t="s">
        <v>891</v>
      </c>
      <c r="K9" s="5" t="n">
        <v>2018</v>
      </c>
      <c r="L9" s="5" t="s">
        <v>842</v>
      </c>
      <c r="M9" s="5"/>
      <c r="N9" s="5" t="s">
        <v>1673</v>
      </c>
      <c r="O9" s="5" t="s">
        <v>1694</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763</v>
      </c>
      <c r="AS9" s="5" t="s">
        <v>1686</v>
      </c>
      <c r="AT9" s="5" t="s">
        <v>1687</v>
      </c>
      <c r="AU9" s="5" t="s">
        <v>1688</v>
      </c>
      <c r="AV9" s="5" t="s">
        <v>1820</v>
      </c>
      <c r="AW9" s="23" t="s">
        <v>1821</v>
      </c>
      <c r="AX9" s="5" t="s">
        <v>968</v>
      </c>
      <c r="AY9" s="5" t="s">
        <v>1815</v>
      </c>
    </row>
    <row r="10" customFormat="false" ht="15" hidden="false" customHeight="true" outlineLevel="0" collapsed="false">
      <c r="A10" s="5" t="s">
        <v>952</v>
      </c>
      <c r="B10" s="5" t="s">
        <v>952</v>
      </c>
      <c r="C10" s="5" t="s">
        <v>953</v>
      </c>
      <c r="D10" s="5" t="n">
        <v>2023</v>
      </c>
      <c r="E10" s="5" t="s">
        <v>954</v>
      </c>
      <c r="F10" s="5" t="s">
        <v>957</v>
      </c>
      <c r="G10" s="5" t="s">
        <v>958</v>
      </c>
      <c r="H10" s="5" t="n">
        <v>35.27</v>
      </c>
      <c r="I10" s="5" t="n">
        <v>119.38</v>
      </c>
      <c r="J10" s="5" t="s">
        <v>891</v>
      </c>
      <c r="K10" s="5" t="n">
        <v>2019</v>
      </c>
      <c r="L10" s="5" t="s">
        <v>842</v>
      </c>
      <c r="M10" s="5"/>
      <c r="N10" s="5" t="s">
        <v>1673</v>
      </c>
      <c r="O10" s="5" t="s">
        <v>1694</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763</v>
      </c>
      <c r="AS10" s="5" t="s">
        <v>1686</v>
      </c>
      <c r="AT10" s="5" t="s">
        <v>1692</v>
      </c>
      <c r="AU10" s="5" t="s">
        <v>1688</v>
      </c>
      <c r="AV10" s="5" t="s">
        <v>1820</v>
      </c>
      <c r="AW10" s="23" t="s">
        <v>1821</v>
      </c>
      <c r="AX10" s="5" t="s">
        <v>968</v>
      </c>
      <c r="AY10" s="5" t="s">
        <v>1815</v>
      </c>
    </row>
    <row r="11" customFormat="false" ht="15" hidden="false" customHeight="true" outlineLevel="0" collapsed="false">
      <c r="A11" s="5" t="s">
        <v>952</v>
      </c>
      <c r="B11" s="5" t="s">
        <v>952</v>
      </c>
      <c r="C11" s="5" t="s">
        <v>953</v>
      </c>
      <c r="D11" s="5" t="n">
        <v>2023</v>
      </c>
      <c r="E11" s="5" t="s">
        <v>954</v>
      </c>
      <c r="F11" s="5" t="s">
        <v>957</v>
      </c>
      <c r="G11" s="5" t="s">
        <v>958</v>
      </c>
      <c r="H11" s="5" t="n">
        <v>35.27</v>
      </c>
      <c r="I11" s="5" t="n">
        <v>119.38</v>
      </c>
      <c r="J11" s="5" t="s">
        <v>891</v>
      </c>
      <c r="K11" s="5" t="n">
        <v>2020</v>
      </c>
      <c r="L11" s="5" t="s">
        <v>842</v>
      </c>
      <c r="M11" s="5"/>
      <c r="N11" s="5" t="s">
        <v>1673</v>
      </c>
      <c r="O11" s="5" t="s">
        <v>1694</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763</v>
      </c>
      <c r="AS11" s="5" t="s">
        <v>1686</v>
      </c>
      <c r="AT11" s="5" t="s">
        <v>1693</v>
      </c>
      <c r="AU11" s="5" t="s">
        <v>1688</v>
      </c>
      <c r="AV11" s="5" t="s">
        <v>1820</v>
      </c>
      <c r="AW11" s="23" t="s">
        <v>1821</v>
      </c>
      <c r="AX11" s="5" t="s">
        <v>968</v>
      </c>
      <c r="AY11" s="5" t="s">
        <v>1815</v>
      </c>
    </row>
    <row r="12" customFormat="false" ht="15" hidden="false" customHeight="true" outlineLevel="0" collapsed="false">
      <c r="A12" s="5" t="s">
        <v>952</v>
      </c>
      <c r="B12" s="5" t="s">
        <v>952</v>
      </c>
      <c r="C12" s="5" t="s">
        <v>953</v>
      </c>
      <c r="D12" s="5" t="n">
        <v>2023</v>
      </c>
      <c r="E12" s="5" t="s">
        <v>954</v>
      </c>
      <c r="F12" s="5" t="s">
        <v>957</v>
      </c>
      <c r="G12" s="5" t="s">
        <v>958</v>
      </c>
      <c r="H12" s="5" t="n">
        <v>35.27</v>
      </c>
      <c r="I12" s="5" t="n">
        <v>119.38</v>
      </c>
      <c r="J12" s="5" t="s">
        <v>891</v>
      </c>
      <c r="K12" s="5" t="n">
        <v>2018</v>
      </c>
      <c r="L12" s="5" t="s">
        <v>842</v>
      </c>
      <c r="M12" s="5"/>
      <c r="N12" s="5" t="s">
        <v>1673</v>
      </c>
      <c r="O12" s="5" t="s">
        <v>1696</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763</v>
      </c>
      <c r="AS12" s="5" t="s">
        <v>1686</v>
      </c>
      <c r="AT12" s="5" t="s">
        <v>1687</v>
      </c>
      <c r="AU12" s="5" t="s">
        <v>1688</v>
      </c>
      <c r="AV12" s="5" t="s">
        <v>1820</v>
      </c>
      <c r="AW12" s="23" t="s">
        <v>1821</v>
      </c>
      <c r="AX12" s="5" t="s">
        <v>968</v>
      </c>
      <c r="AY12" s="5" t="s">
        <v>1815</v>
      </c>
    </row>
    <row r="13" customFormat="false" ht="15" hidden="false" customHeight="true" outlineLevel="0" collapsed="false">
      <c r="A13" s="5" t="s">
        <v>952</v>
      </c>
      <c r="B13" s="5" t="s">
        <v>952</v>
      </c>
      <c r="C13" s="5" t="s">
        <v>953</v>
      </c>
      <c r="D13" s="5" t="n">
        <v>2023</v>
      </c>
      <c r="E13" s="5" t="s">
        <v>954</v>
      </c>
      <c r="F13" s="5" t="s">
        <v>957</v>
      </c>
      <c r="G13" s="5" t="s">
        <v>958</v>
      </c>
      <c r="H13" s="5" t="n">
        <v>35.27</v>
      </c>
      <c r="I13" s="5" t="n">
        <v>119.38</v>
      </c>
      <c r="J13" s="5" t="s">
        <v>891</v>
      </c>
      <c r="K13" s="5" t="n">
        <v>2019</v>
      </c>
      <c r="L13" s="5" t="s">
        <v>842</v>
      </c>
      <c r="M13" s="5"/>
      <c r="N13" s="5" t="s">
        <v>1673</v>
      </c>
      <c r="O13" s="5" t="s">
        <v>1696</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763</v>
      </c>
      <c r="AS13" s="5" t="s">
        <v>1686</v>
      </c>
      <c r="AT13" s="5" t="s">
        <v>1692</v>
      </c>
      <c r="AU13" s="5" t="s">
        <v>1688</v>
      </c>
      <c r="AV13" s="5" t="s">
        <v>1820</v>
      </c>
      <c r="AW13" s="23" t="s">
        <v>1821</v>
      </c>
      <c r="AX13" s="5" t="s">
        <v>968</v>
      </c>
      <c r="AY13" s="5" t="s">
        <v>1815</v>
      </c>
    </row>
    <row r="14" customFormat="false" ht="15" hidden="false" customHeight="true" outlineLevel="0" collapsed="false">
      <c r="A14" s="5" t="s">
        <v>952</v>
      </c>
      <c r="B14" s="5" t="s">
        <v>952</v>
      </c>
      <c r="C14" s="5" t="s">
        <v>953</v>
      </c>
      <c r="D14" s="5" t="n">
        <v>2023</v>
      </c>
      <c r="E14" s="5" t="s">
        <v>954</v>
      </c>
      <c r="F14" s="5" t="s">
        <v>957</v>
      </c>
      <c r="G14" s="5" t="s">
        <v>958</v>
      </c>
      <c r="H14" s="5" t="n">
        <v>35.27</v>
      </c>
      <c r="I14" s="5" t="n">
        <v>119.38</v>
      </c>
      <c r="J14" s="5" t="s">
        <v>891</v>
      </c>
      <c r="K14" s="5" t="n">
        <v>2020</v>
      </c>
      <c r="L14" s="5" t="s">
        <v>842</v>
      </c>
      <c r="M14" s="5"/>
      <c r="N14" s="5" t="s">
        <v>1673</v>
      </c>
      <c r="O14" s="5" t="s">
        <v>1696</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763</v>
      </c>
      <c r="AS14" s="5" t="s">
        <v>1686</v>
      </c>
      <c r="AT14" s="5" t="s">
        <v>1693</v>
      </c>
      <c r="AU14" s="5" t="s">
        <v>1688</v>
      </c>
      <c r="AV14" s="5" t="s">
        <v>1820</v>
      </c>
      <c r="AW14" s="23" t="s">
        <v>1821</v>
      </c>
      <c r="AX14" s="5" t="s">
        <v>968</v>
      </c>
      <c r="AY14" s="5" t="s">
        <v>1815</v>
      </c>
    </row>
    <row r="15" customFormat="false" ht="15" hidden="false" customHeight="true" outlineLevel="0" collapsed="false">
      <c r="A15" s="18" t="s">
        <v>935</v>
      </c>
      <c r="B15" s="18" t="s">
        <v>935</v>
      </c>
      <c r="C15" s="18" t="s">
        <v>936</v>
      </c>
      <c r="D15" s="18" t="n">
        <v>2020</v>
      </c>
      <c r="E15" s="18" t="s">
        <v>937</v>
      </c>
      <c r="F15" s="18" t="s">
        <v>836</v>
      </c>
      <c r="G15" s="18" t="s">
        <v>940</v>
      </c>
      <c r="H15" s="18" t="n">
        <v>28.4</v>
      </c>
      <c r="I15" s="18" t="n">
        <v>77.1</v>
      </c>
      <c r="J15" s="18" t="s">
        <v>83</v>
      </c>
      <c r="K15" s="18" t="s">
        <v>1698</v>
      </c>
      <c r="L15" s="18" t="s">
        <v>823</v>
      </c>
      <c r="M15" s="18" t="s">
        <v>85</v>
      </c>
      <c r="N15" s="18" t="s">
        <v>86</v>
      </c>
      <c r="O15" s="18" t="s">
        <v>1666</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763</v>
      </c>
      <c r="AS15" s="18" t="s">
        <v>1699</v>
      </c>
      <c r="AT15" s="18" t="s">
        <v>1700</v>
      </c>
      <c r="AU15" s="18" t="s">
        <v>1701</v>
      </c>
      <c r="AV15" s="18" t="s">
        <v>1822</v>
      </c>
      <c r="AW15" s="32" t="s">
        <v>1823</v>
      </c>
      <c r="AX15" s="18" t="s">
        <v>949</v>
      </c>
      <c r="AY15" s="18" t="s">
        <v>1815</v>
      </c>
    </row>
    <row r="16" customFormat="false" ht="15" hidden="false" customHeight="true" outlineLevel="0" collapsed="false">
      <c r="A16" s="18" t="s">
        <v>935</v>
      </c>
      <c r="B16" s="18" t="s">
        <v>935</v>
      </c>
      <c r="C16" s="18" t="s">
        <v>936</v>
      </c>
      <c r="D16" s="18" t="n">
        <v>2020</v>
      </c>
      <c r="E16" s="18" t="s">
        <v>937</v>
      </c>
      <c r="F16" s="18" t="s">
        <v>836</v>
      </c>
      <c r="G16" s="18" t="s">
        <v>940</v>
      </c>
      <c r="H16" s="18" t="n">
        <v>28.4</v>
      </c>
      <c r="I16" s="18" t="n">
        <v>77.1</v>
      </c>
      <c r="J16" s="18" t="s">
        <v>83</v>
      </c>
      <c r="K16" s="18" t="s">
        <v>1698</v>
      </c>
      <c r="L16" s="18" t="s">
        <v>823</v>
      </c>
      <c r="M16" s="18" t="s">
        <v>85</v>
      </c>
      <c r="N16" s="18" t="s">
        <v>86</v>
      </c>
      <c r="O16" s="18" t="s">
        <v>1666</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763</v>
      </c>
      <c r="AS16" s="18" t="s">
        <v>1705</v>
      </c>
      <c r="AT16" s="18" t="s">
        <v>1700</v>
      </c>
      <c r="AU16" s="18" t="s">
        <v>1701</v>
      </c>
      <c r="AV16" s="18" t="s">
        <v>1822</v>
      </c>
      <c r="AW16" s="32" t="s">
        <v>1824</v>
      </c>
      <c r="AX16" s="18" t="s">
        <v>949</v>
      </c>
      <c r="AY16" s="18" t="s">
        <v>1815</v>
      </c>
    </row>
    <row r="17" customFormat="false" ht="15" hidden="false" customHeight="true" outlineLevel="0" collapsed="false">
      <c r="A17" s="18" t="s">
        <v>935</v>
      </c>
      <c r="B17" s="18" t="s">
        <v>935</v>
      </c>
      <c r="C17" s="18" t="s">
        <v>936</v>
      </c>
      <c r="D17" s="18" t="n">
        <v>2020</v>
      </c>
      <c r="E17" s="18" t="s">
        <v>937</v>
      </c>
      <c r="F17" s="18" t="s">
        <v>836</v>
      </c>
      <c r="G17" s="18" t="s">
        <v>940</v>
      </c>
      <c r="H17" s="18" t="n">
        <v>28.4</v>
      </c>
      <c r="I17" s="18" t="n">
        <v>77.1</v>
      </c>
      <c r="J17" s="18" t="s">
        <v>83</v>
      </c>
      <c r="K17" s="18" t="s">
        <v>1698</v>
      </c>
      <c r="L17" s="18" t="s">
        <v>823</v>
      </c>
      <c r="M17" s="18" t="s">
        <v>85</v>
      </c>
      <c r="N17" s="18" t="s">
        <v>86</v>
      </c>
      <c r="O17" s="18" t="s">
        <v>1666</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763</v>
      </c>
      <c r="AS17" s="18" t="s">
        <v>1707</v>
      </c>
      <c r="AT17" s="18" t="s">
        <v>1700</v>
      </c>
      <c r="AU17" s="18" t="s">
        <v>1701</v>
      </c>
      <c r="AV17" s="18" t="s">
        <v>1822</v>
      </c>
      <c r="AW17" s="32" t="s">
        <v>1825</v>
      </c>
      <c r="AX17" s="18" t="s">
        <v>949</v>
      </c>
      <c r="AY17" s="18" t="s">
        <v>1815</v>
      </c>
    </row>
    <row r="18" customFormat="false" ht="15" hidden="false" customHeight="true" outlineLevel="0" collapsed="false">
      <c r="A18" s="18" t="s">
        <v>935</v>
      </c>
      <c r="B18" s="18" t="s">
        <v>935</v>
      </c>
      <c r="C18" s="18" t="s">
        <v>936</v>
      </c>
      <c r="D18" s="18" t="n">
        <v>2020</v>
      </c>
      <c r="E18" s="18" t="s">
        <v>937</v>
      </c>
      <c r="F18" s="18" t="s">
        <v>836</v>
      </c>
      <c r="G18" s="18" t="s">
        <v>940</v>
      </c>
      <c r="H18" s="18" t="n">
        <v>28.4</v>
      </c>
      <c r="I18" s="18" t="n">
        <v>77.1</v>
      </c>
      <c r="J18" s="18" t="s">
        <v>83</v>
      </c>
      <c r="K18" s="18" t="s">
        <v>1698</v>
      </c>
      <c r="L18" s="18" t="s">
        <v>823</v>
      </c>
      <c r="M18" s="18" t="s">
        <v>85</v>
      </c>
      <c r="N18" s="18" t="s">
        <v>86</v>
      </c>
      <c r="O18" s="18" t="s">
        <v>1666</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763</v>
      </c>
      <c r="AS18" s="18" t="s">
        <v>1709</v>
      </c>
      <c r="AT18" s="18" t="s">
        <v>1700</v>
      </c>
      <c r="AU18" s="18" t="s">
        <v>1701</v>
      </c>
      <c r="AV18" s="18" t="s">
        <v>1822</v>
      </c>
      <c r="AW18" s="32" t="s">
        <v>1826</v>
      </c>
      <c r="AX18" s="18" t="s">
        <v>949</v>
      </c>
      <c r="AY18" s="18" t="s">
        <v>1815</v>
      </c>
    </row>
    <row r="19" customFormat="false" ht="15" hidden="false" customHeight="true" outlineLevel="0" collapsed="false">
      <c r="A19" s="18" t="s">
        <v>935</v>
      </c>
      <c r="B19" s="18" t="s">
        <v>935</v>
      </c>
      <c r="C19" s="18" t="s">
        <v>936</v>
      </c>
      <c r="D19" s="18" t="n">
        <v>2020</v>
      </c>
      <c r="E19" s="18" t="s">
        <v>937</v>
      </c>
      <c r="F19" s="18" t="s">
        <v>836</v>
      </c>
      <c r="G19" s="18" t="s">
        <v>940</v>
      </c>
      <c r="H19" s="18" t="n">
        <v>28.4</v>
      </c>
      <c r="I19" s="18" t="n">
        <v>77.1</v>
      </c>
      <c r="J19" s="18" t="s">
        <v>83</v>
      </c>
      <c r="K19" s="18" t="s">
        <v>1698</v>
      </c>
      <c r="L19" s="18" t="s">
        <v>823</v>
      </c>
      <c r="M19" s="18" t="s">
        <v>85</v>
      </c>
      <c r="N19" s="18" t="s">
        <v>86</v>
      </c>
      <c r="O19" s="18" t="s">
        <v>1666</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763</v>
      </c>
      <c r="AS19" s="18" t="s">
        <v>1711</v>
      </c>
      <c r="AT19" s="18" t="s">
        <v>1700</v>
      </c>
      <c r="AU19" s="18" t="s">
        <v>1701</v>
      </c>
      <c r="AV19" s="18" t="s">
        <v>1822</v>
      </c>
      <c r="AW19" s="32" t="s">
        <v>1827</v>
      </c>
      <c r="AX19" s="18" t="s">
        <v>949</v>
      </c>
      <c r="AY19" s="18" t="s">
        <v>1815</v>
      </c>
    </row>
    <row r="20" customFormat="false" ht="15" hidden="false" customHeight="true" outlineLevel="0" collapsed="false">
      <c r="A20" s="18" t="s">
        <v>935</v>
      </c>
      <c r="B20" s="18" t="s">
        <v>935</v>
      </c>
      <c r="C20" s="18" t="s">
        <v>936</v>
      </c>
      <c r="D20" s="18" t="n">
        <v>2020</v>
      </c>
      <c r="E20" s="18" t="s">
        <v>937</v>
      </c>
      <c r="F20" s="18" t="s">
        <v>836</v>
      </c>
      <c r="G20" s="18" t="s">
        <v>940</v>
      </c>
      <c r="H20" s="18" t="n">
        <v>28.4</v>
      </c>
      <c r="I20" s="18" t="n">
        <v>77.1</v>
      </c>
      <c r="J20" s="18" t="s">
        <v>83</v>
      </c>
      <c r="K20" s="18" t="s">
        <v>1698</v>
      </c>
      <c r="L20" s="18" t="s">
        <v>823</v>
      </c>
      <c r="M20" s="18" t="s">
        <v>85</v>
      </c>
      <c r="N20" s="18" t="s">
        <v>86</v>
      </c>
      <c r="O20" s="18" t="s">
        <v>1666</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763</v>
      </c>
      <c r="AS20" s="18" t="s">
        <v>1713</v>
      </c>
      <c r="AT20" s="18" t="s">
        <v>1700</v>
      </c>
      <c r="AU20" s="18" t="s">
        <v>1701</v>
      </c>
      <c r="AV20" s="18" t="s">
        <v>1822</v>
      </c>
      <c r="AW20" s="32" t="s">
        <v>1828</v>
      </c>
      <c r="AX20" s="18" t="s">
        <v>949</v>
      </c>
      <c r="AY20" s="18" t="s">
        <v>1815</v>
      </c>
    </row>
    <row r="21" customFormat="false" ht="15" hidden="false" customHeight="true" outlineLevel="0" collapsed="false">
      <c r="A21" s="18" t="s">
        <v>935</v>
      </c>
      <c r="B21" s="18" t="s">
        <v>935</v>
      </c>
      <c r="C21" s="18" t="s">
        <v>936</v>
      </c>
      <c r="D21" s="18" t="n">
        <v>2020</v>
      </c>
      <c r="E21" s="18" t="s">
        <v>937</v>
      </c>
      <c r="F21" s="18" t="s">
        <v>836</v>
      </c>
      <c r="G21" s="18" t="s">
        <v>940</v>
      </c>
      <c r="H21" s="18" t="n">
        <v>28.4</v>
      </c>
      <c r="I21" s="18" t="n">
        <v>77.1</v>
      </c>
      <c r="J21" s="18" t="s">
        <v>83</v>
      </c>
      <c r="K21" s="18" t="s">
        <v>1698</v>
      </c>
      <c r="L21" s="18" t="s">
        <v>823</v>
      </c>
      <c r="M21" s="18" t="s">
        <v>85</v>
      </c>
      <c r="N21" s="18" t="s">
        <v>86</v>
      </c>
      <c r="O21" s="18" t="s">
        <v>1666</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763</v>
      </c>
      <c r="AS21" s="18" t="s">
        <v>1715</v>
      </c>
      <c r="AT21" s="18" t="s">
        <v>1700</v>
      </c>
      <c r="AU21" s="18" t="s">
        <v>1701</v>
      </c>
      <c r="AV21" s="18" t="s">
        <v>1822</v>
      </c>
      <c r="AW21" s="32" t="s">
        <v>1829</v>
      </c>
      <c r="AX21" s="18" t="s">
        <v>949</v>
      </c>
      <c r="AY21" s="18" t="s">
        <v>1815</v>
      </c>
    </row>
    <row r="22" customFormat="false" ht="15" hidden="false" customHeight="true" outlineLevel="0" collapsed="false">
      <c r="A22" s="18" t="s">
        <v>935</v>
      </c>
      <c r="B22" s="18" t="s">
        <v>935</v>
      </c>
      <c r="C22" s="18" t="s">
        <v>936</v>
      </c>
      <c r="D22" s="18" t="n">
        <v>2020</v>
      </c>
      <c r="E22" s="18" t="s">
        <v>937</v>
      </c>
      <c r="F22" s="18" t="s">
        <v>836</v>
      </c>
      <c r="G22" s="18" t="s">
        <v>940</v>
      </c>
      <c r="H22" s="18" t="n">
        <v>28.4</v>
      </c>
      <c r="I22" s="18" t="n">
        <v>77.1</v>
      </c>
      <c r="J22" s="18" t="s">
        <v>83</v>
      </c>
      <c r="K22" s="18" t="s">
        <v>1698</v>
      </c>
      <c r="L22" s="18" t="s">
        <v>823</v>
      </c>
      <c r="M22" s="18" t="s">
        <v>85</v>
      </c>
      <c r="N22" s="18" t="s">
        <v>86</v>
      </c>
      <c r="O22" s="18" t="s">
        <v>1666</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763</v>
      </c>
      <c r="AS22" s="18" t="s">
        <v>1717</v>
      </c>
      <c r="AT22" s="18" t="s">
        <v>1700</v>
      </c>
      <c r="AU22" s="18" t="s">
        <v>1701</v>
      </c>
      <c r="AV22" s="18" t="s">
        <v>1822</v>
      </c>
      <c r="AW22" s="32" t="s">
        <v>1830</v>
      </c>
      <c r="AX22" s="18" t="s">
        <v>949</v>
      </c>
      <c r="AY22" s="18" t="s">
        <v>1815</v>
      </c>
    </row>
    <row r="23" customFormat="false" ht="15" hidden="false" customHeight="true" outlineLevel="0" collapsed="false">
      <c r="A23" s="24" t="s">
        <v>988</v>
      </c>
      <c r="B23" s="24" t="s">
        <v>988</v>
      </c>
      <c r="C23" s="24" t="s">
        <v>989</v>
      </c>
      <c r="D23" s="24" t="n">
        <v>2011</v>
      </c>
      <c r="E23" s="24" t="s">
        <v>990</v>
      </c>
      <c r="F23" s="24" t="s">
        <v>857</v>
      </c>
      <c r="G23" s="24" t="s">
        <v>993</v>
      </c>
      <c r="H23" s="24" t="n">
        <v>29.017</v>
      </c>
      <c r="I23" s="24" t="n">
        <v>77.75</v>
      </c>
      <c r="J23" s="24" t="s">
        <v>83</v>
      </c>
      <c r="K23" s="24" t="s">
        <v>1719</v>
      </c>
      <c r="L23" s="24" t="s">
        <v>84</v>
      </c>
      <c r="M23" s="24" t="s">
        <v>85</v>
      </c>
      <c r="N23" s="24" t="s">
        <v>86</v>
      </c>
      <c r="O23" s="24" t="s">
        <v>1720</v>
      </c>
      <c r="P23" s="24"/>
      <c r="Q23" s="24" t="n">
        <f aca="false">ROUND((1-BD!Q23/2.65)*100,2)</f>
        <v>44.15</v>
      </c>
      <c r="R23" s="24" t="n">
        <f aca="false">ROUND((1-BD!R23/2.65)*100,2)</f>
        <v>41.51</v>
      </c>
      <c r="S23" s="24"/>
      <c r="T23" s="24"/>
      <c r="U23" s="24" t="n">
        <f aca="false">ROUND((1-BD!U23/2.65)*100,2)</f>
        <v>44.53</v>
      </c>
      <c r="V23" s="24"/>
      <c r="W23" s="24"/>
      <c r="X23" s="24"/>
      <c r="Y23" s="24" t="n">
        <f aca="false">ROUND((1-BD!Y23/2.65)*100,2)</f>
        <v>43.4</v>
      </c>
      <c r="Z23" s="24"/>
      <c r="AA23" s="24"/>
      <c r="AB23" s="24" t="n">
        <v>9</v>
      </c>
      <c r="AC23" s="24" t="n">
        <v>3</v>
      </c>
      <c r="AD23" s="24" t="n">
        <f aca="false">IF(AND(N(AB23)&gt;0,N(AC23)&gt;0),SQRT(2*AB23/AC23),"")</f>
        <v>2.44948974278318</v>
      </c>
      <c r="AE23" s="24" t="n">
        <v>19</v>
      </c>
      <c r="AF23" s="24" t="n">
        <v>2</v>
      </c>
      <c r="AG23" s="24" t="n">
        <v>43</v>
      </c>
      <c r="AH23" s="24" t="n">
        <v>800</v>
      </c>
      <c r="AI23" s="24" t="n">
        <v>29.017</v>
      </c>
      <c r="AJ23" s="24" t="s">
        <v>1721</v>
      </c>
      <c r="AK23" s="24"/>
      <c r="AL23" s="24"/>
      <c r="AM23" s="24" t="n">
        <v>8.1</v>
      </c>
      <c r="AN23" s="24"/>
      <c r="AO23" s="24"/>
      <c r="AP23" s="24" t="n">
        <v>55</v>
      </c>
      <c r="AQ23" s="24" t="n">
        <v>26</v>
      </c>
      <c r="AR23" s="24" t="s">
        <v>763</v>
      </c>
      <c r="AS23" s="24" t="s">
        <v>1722</v>
      </c>
      <c r="AT23" s="24" t="s">
        <v>1723</v>
      </c>
      <c r="AU23" s="24" t="s">
        <v>1724</v>
      </c>
      <c r="AV23" s="24" t="s">
        <v>1831</v>
      </c>
      <c r="AW23" s="25" t="s">
        <v>1832</v>
      </c>
      <c r="AX23" s="24" t="s">
        <v>1008</v>
      </c>
      <c r="AY23" s="24" t="s">
        <v>1833</v>
      </c>
    </row>
    <row r="24" customFormat="false" ht="15" hidden="false" customHeight="true" outlineLevel="0" collapsed="false">
      <c r="A24" s="24" t="s">
        <v>988</v>
      </c>
      <c r="B24" s="24" t="s">
        <v>988</v>
      </c>
      <c r="C24" s="24" t="s">
        <v>989</v>
      </c>
      <c r="D24" s="24" t="n">
        <v>2011</v>
      </c>
      <c r="E24" s="24" t="s">
        <v>990</v>
      </c>
      <c r="F24" s="24" t="s">
        <v>857</v>
      </c>
      <c r="G24" s="24" t="s">
        <v>993</v>
      </c>
      <c r="H24" s="24" t="n">
        <v>29.017</v>
      </c>
      <c r="I24" s="24" t="n">
        <v>77.75</v>
      </c>
      <c r="J24" s="24" t="s">
        <v>83</v>
      </c>
      <c r="K24" s="24" t="s">
        <v>1719</v>
      </c>
      <c r="L24" s="24" t="s">
        <v>84</v>
      </c>
      <c r="M24" s="24" t="s">
        <v>85</v>
      </c>
      <c r="N24" s="24" t="s">
        <v>86</v>
      </c>
      <c r="O24" s="24" t="s">
        <v>1720</v>
      </c>
      <c r="P24" s="24"/>
      <c r="Q24" s="24" t="n">
        <f aca="false">ROUND((1-BD!Q24/2.65)*100,2)</f>
        <v>44.15</v>
      </c>
      <c r="R24" s="24" t="n">
        <f aca="false">ROUND((1-BD!R24/2.65)*100,2)</f>
        <v>41.51</v>
      </c>
      <c r="S24" s="24"/>
      <c r="T24" s="24"/>
      <c r="U24" s="24" t="n">
        <f aca="false">ROUND((1-BD!U24/2.65)*100,2)</f>
        <v>43.4</v>
      </c>
      <c r="V24" s="24"/>
      <c r="W24" s="24"/>
      <c r="X24" s="24"/>
      <c r="Y24" s="24" t="n">
        <f aca="false">ROUND((1-BD!Y24/2.65)*100,2)</f>
        <v>43.4</v>
      </c>
      <c r="Z24" s="24"/>
      <c r="AA24" s="24"/>
      <c r="AB24" s="24" t="n">
        <v>9</v>
      </c>
      <c r="AC24" s="24" t="n">
        <v>3</v>
      </c>
      <c r="AD24" s="24" t="n">
        <f aca="false">IF(AND(N(AB24)&gt;0,N(AC24)&gt;0),SQRT(2*AB24/AC24),"")</f>
        <v>2.44948974278318</v>
      </c>
      <c r="AE24" s="24" t="n">
        <v>19</v>
      </c>
      <c r="AF24" s="24" t="n">
        <v>2</v>
      </c>
      <c r="AG24" s="24" t="n">
        <v>43</v>
      </c>
      <c r="AH24" s="24" t="n">
        <v>800</v>
      </c>
      <c r="AI24" s="24" t="n">
        <v>29.017</v>
      </c>
      <c r="AJ24" s="24" t="s">
        <v>1721</v>
      </c>
      <c r="AK24" s="24"/>
      <c r="AL24" s="24"/>
      <c r="AM24" s="24" t="n">
        <v>8.1</v>
      </c>
      <c r="AN24" s="24"/>
      <c r="AO24" s="24"/>
      <c r="AP24" s="24" t="n">
        <v>55</v>
      </c>
      <c r="AQ24" s="24" t="n">
        <v>26</v>
      </c>
      <c r="AR24" s="24" t="s">
        <v>763</v>
      </c>
      <c r="AS24" s="24" t="s">
        <v>1722</v>
      </c>
      <c r="AT24" s="24" t="s">
        <v>1723</v>
      </c>
      <c r="AU24" s="24" t="s">
        <v>1724</v>
      </c>
      <c r="AV24" s="24" t="s">
        <v>1831</v>
      </c>
      <c r="AW24" s="25" t="s">
        <v>1834</v>
      </c>
      <c r="AX24" s="24" t="s">
        <v>1008</v>
      </c>
      <c r="AY24" s="24" t="s">
        <v>1833</v>
      </c>
    </row>
    <row r="25" customFormat="false" ht="15" hidden="false" customHeight="true" outlineLevel="0" collapsed="false">
      <c r="A25" s="24" t="s">
        <v>988</v>
      </c>
      <c r="B25" s="24" t="s">
        <v>988</v>
      </c>
      <c r="C25" s="24" t="s">
        <v>989</v>
      </c>
      <c r="D25" s="24" t="n">
        <v>2011</v>
      </c>
      <c r="E25" s="24" t="s">
        <v>990</v>
      </c>
      <c r="F25" s="24" t="s">
        <v>857</v>
      </c>
      <c r="G25" s="24" t="s">
        <v>993</v>
      </c>
      <c r="H25" s="24" t="n">
        <v>29.017</v>
      </c>
      <c r="I25" s="24" t="n">
        <v>77.75</v>
      </c>
      <c r="J25" s="24" t="s">
        <v>83</v>
      </c>
      <c r="K25" s="24" t="s">
        <v>1719</v>
      </c>
      <c r="L25" s="24" t="s">
        <v>84</v>
      </c>
      <c r="M25" s="24" t="s">
        <v>85</v>
      </c>
      <c r="N25" s="24" t="s">
        <v>86</v>
      </c>
      <c r="O25" s="24" t="s">
        <v>1729</v>
      </c>
      <c r="P25" s="24"/>
      <c r="Q25" s="24" t="n">
        <f aca="false">ROUND((1-BD!Q25/2.65)*100,2)</f>
        <v>40.38</v>
      </c>
      <c r="R25" s="24" t="n">
        <f aca="false">ROUND((1-BD!R25/2.65)*100,2)</f>
        <v>39.62</v>
      </c>
      <c r="S25" s="24"/>
      <c r="T25" s="24"/>
      <c r="U25" s="24" t="n">
        <f aca="false">ROUND((1-BD!U25/2.65)*100,2)</f>
        <v>39.62</v>
      </c>
      <c r="V25" s="24"/>
      <c r="W25" s="24"/>
      <c r="X25" s="24"/>
      <c r="Y25" s="24" t="n">
        <f aca="false">ROUND((1-BD!Y25/2.65)*100,2)</f>
        <v>40</v>
      </c>
      <c r="Z25" s="24"/>
      <c r="AA25" s="24"/>
      <c r="AB25" s="24" t="n">
        <v>9</v>
      </c>
      <c r="AC25" s="24" t="n">
        <v>3</v>
      </c>
      <c r="AD25" s="24" t="n">
        <f aca="false">IF(AND(N(AB25)&gt;0,N(AC25)&gt;0),SQRT(2*AB25/AC25),"")</f>
        <v>2.44948974278318</v>
      </c>
      <c r="AE25" s="24" t="n">
        <v>19</v>
      </c>
      <c r="AF25" s="24" t="n">
        <v>2</v>
      </c>
      <c r="AG25" s="24" t="n">
        <v>43</v>
      </c>
      <c r="AH25" s="24" t="n">
        <v>800</v>
      </c>
      <c r="AI25" s="24" t="n">
        <v>29.017</v>
      </c>
      <c r="AJ25" s="24" t="s">
        <v>1721</v>
      </c>
      <c r="AK25" s="24"/>
      <c r="AL25" s="24"/>
      <c r="AM25" s="24" t="n">
        <v>8.1</v>
      </c>
      <c r="AN25" s="24"/>
      <c r="AO25" s="24"/>
      <c r="AP25" s="24" t="n">
        <v>55</v>
      </c>
      <c r="AQ25" s="24" t="n">
        <v>26</v>
      </c>
      <c r="AR25" s="24" t="s">
        <v>763</v>
      </c>
      <c r="AS25" s="24" t="s">
        <v>1722</v>
      </c>
      <c r="AT25" s="24" t="s">
        <v>1723</v>
      </c>
      <c r="AU25" s="24" t="s">
        <v>1724</v>
      </c>
      <c r="AV25" s="24" t="s">
        <v>1831</v>
      </c>
      <c r="AW25" s="25" t="s">
        <v>1832</v>
      </c>
      <c r="AX25" s="24" t="s">
        <v>1008</v>
      </c>
      <c r="AY25" s="24" t="s">
        <v>1833</v>
      </c>
    </row>
    <row r="26" customFormat="false" ht="15" hidden="false" customHeight="true" outlineLevel="0" collapsed="false">
      <c r="A26" s="24" t="s">
        <v>988</v>
      </c>
      <c r="B26" s="24" t="s">
        <v>988</v>
      </c>
      <c r="C26" s="24" t="s">
        <v>989</v>
      </c>
      <c r="D26" s="24" t="n">
        <v>2011</v>
      </c>
      <c r="E26" s="24" t="s">
        <v>990</v>
      </c>
      <c r="F26" s="24" t="s">
        <v>857</v>
      </c>
      <c r="G26" s="24" t="s">
        <v>993</v>
      </c>
      <c r="H26" s="24" t="n">
        <v>29.017</v>
      </c>
      <c r="I26" s="24" t="n">
        <v>77.75</v>
      </c>
      <c r="J26" s="24" t="s">
        <v>83</v>
      </c>
      <c r="K26" s="24" t="s">
        <v>1719</v>
      </c>
      <c r="L26" s="24" t="s">
        <v>84</v>
      </c>
      <c r="M26" s="24" t="s">
        <v>85</v>
      </c>
      <c r="N26" s="24" t="s">
        <v>86</v>
      </c>
      <c r="O26" s="24" t="s">
        <v>1729</v>
      </c>
      <c r="P26" s="24"/>
      <c r="Q26" s="24" t="n">
        <f aca="false">ROUND((1-BD!Q26/2.65)*100,2)</f>
        <v>40.38</v>
      </c>
      <c r="R26" s="24" t="n">
        <f aca="false">ROUND((1-BD!R26/2.65)*100,2)</f>
        <v>39.25</v>
      </c>
      <c r="S26" s="24"/>
      <c r="T26" s="24"/>
      <c r="U26" s="24" t="n">
        <f aca="false">ROUND((1-BD!U26/2.65)*100,2)</f>
        <v>40</v>
      </c>
      <c r="V26" s="24"/>
      <c r="W26" s="24"/>
      <c r="X26" s="24"/>
      <c r="Y26" s="24" t="n">
        <f aca="false">ROUND((1-BD!Y26/2.65)*100,2)</f>
        <v>40</v>
      </c>
      <c r="Z26" s="24"/>
      <c r="AA26" s="24"/>
      <c r="AB26" s="24" t="n">
        <v>9</v>
      </c>
      <c r="AC26" s="24" t="n">
        <v>3</v>
      </c>
      <c r="AD26" s="24" t="n">
        <f aca="false">IF(AND(N(AB26)&gt;0,N(AC26)&gt;0),SQRT(2*AB26/AC26),"")</f>
        <v>2.44948974278318</v>
      </c>
      <c r="AE26" s="24" t="n">
        <v>19</v>
      </c>
      <c r="AF26" s="24" t="n">
        <v>2</v>
      </c>
      <c r="AG26" s="24" t="n">
        <v>43</v>
      </c>
      <c r="AH26" s="24" t="n">
        <v>800</v>
      </c>
      <c r="AI26" s="24" t="n">
        <v>29.017</v>
      </c>
      <c r="AJ26" s="24" t="s">
        <v>1721</v>
      </c>
      <c r="AK26" s="24"/>
      <c r="AL26" s="24"/>
      <c r="AM26" s="24" t="n">
        <v>8.1</v>
      </c>
      <c r="AN26" s="24"/>
      <c r="AO26" s="24"/>
      <c r="AP26" s="24" t="n">
        <v>55</v>
      </c>
      <c r="AQ26" s="24" t="n">
        <v>26</v>
      </c>
      <c r="AR26" s="24" t="s">
        <v>763</v>
      </c>
      <c r="AS26" s="24" t="s">
        <v>1722</v>
      </c>
      <c r="AT26" s="24" t="s">
        <v>1723</v>
      </c>
      <c r="AU26" s="24" t="s">
        <v>1724</v>
      </c>
      <c r="AV26" s="24" t="s">
        <v>1831</v>
      </c>
      <c r="AW26" s="25" t="s">
        <v>1834</v>
      </c>
      <c r="AX26" s="24" t="s">
        <v>1008</v>
      </c>
      <c r="AY26" s="24" t="s">
        <v>1833</v>
      </c>
    </row>
    <row r="27" customFormat="false" ht="15" hidden="false" customHeight="true" outlineLevel="0" collapsed="false">
      <c r="A27" s="24" t="s">
        <v>988</v>
      </c>
      <c r="B27" s="24" t="s">
        <v>988</v>
      </c>
      <c r="C27" s="24" t="s">
        <v>989</v>
      </c>
      <c r="D27" s="24" t="n">
        <v>2011</v>
      </c>
      <c r="E27" s="24" t="s">
        <v>990</v>
      </c>
      <c r="F27" s="24" t="s">
        <v>857</v>
      </c>
      <c r="G27" s="24" t="s">
        <v>993</v>
      </c>
      <c r="H27" s="24" t="n">
        <v>29.017</v>
      </c>
      <c r="I27" s="24" t="n">
        <v>77.75</v>
      </c>
      <c r="J27" s="24" t="s">
        <v>83</v>
      </c>
      <c r="K27" s="24" t="s">
        <v>1719</v>
      </c>
      <c r="L27" s="24" t="s">
        <v>84</v>
      </c>
      <c r="M27" s="24" t="s">
        <v>85</v>
      </c>
      <c r="N27" s="24" t="s">
        <v>86</v>
      </c>
      <c r="O27" s="24" t="s">
        <v>1730</v>
      </c>
      <c r="P27" s="24"/>
      <c r="Q27" s="24" t="n">
        <f aca="false">ROUND((1-BD!Q27/2.65)*100,2)</f>
        <v>34.34</v>
      </c>
      <c r="R27" s="24" t="n">
        <f aca="false">ROUND((1-BD!R27/2.65)*100,2)</f>
        <v>36.98</v>
      </c>
      <c r="S27" s="24"/>
      <c r="T27" s="24"/>
      <c r="U27" s="24" t="n">
        <f aca="false">ROUND((1-BD!U27/2.65)*100,2)</f>
        <v>37.36</v>
      </c>
      <c r="V27" s="24"/>
      <c r="W27" s="24"/>
      <c r="X27" s="24"/>
      <c r="Y27" s="24" t="n">
        <f aca="false">ROUND((1-BD!Y27/2.65)*100,2)</f>
        <v>33.96</v>
      </c>
      <c r="Z27" s="24"/>
      <c r="AA27" s="24"/>
      <c r="AB27" s="24" t="n">
        <v>9</v>
      </c>
      <c r="AC27" s="24" t="n">
        <v>3</v>
      </c>
      <c r="AD27" s="24" t="n">
        <f aca="false">IF(AND(N(AB27)&gt;0,N(AC27)&gt;0),SQRT(2*AB27/AC27),"")</f>
        <v>2.44948974278318</v>
      </c>
      <c r="AE27" s="24" t="n">
        <v>19</v>
      </c>
      <c r="AF27" s="24" t="n">
        <v>2</v>
      </c>
      <c r="AG27" s="24" t="n">
        <v>43</v>
      </c>
      <c r="AH27" s="24" t="n">
        <v>800</v>
      </c>
      <c r="AI27" s="24" t="n">
        <v>29.017</v>
      </c>
      <c r="AJ27" s="24" t="s">
        <v>1721</v>
      </c>
      <c r="AK27" s="24"/>
      <c r="AL27" s="24"/>
      <c r="AM27" s="24" t="n">
        <v>8.1</v>
      </c>
      <c r="AN27" s="24"/>
      <c r="AO27" s="24"/>
      <c r="AP27" s="24" t="n">
        <v>55</v>
      </c>
      <c r="AQ27" s="24" t="n">
        <v>26</v>
      </c>
      <c r="AR27" s="24" t="s">
        <v>763</v>
      </c>
      <c r="AS27" s="24" t="s">
        <v>1722</v>
      </c>
      <c r="AT27" s="24" t="s">
        <v>1723</v>
      </c>
      <c r="AU27" s="24" t="s">
        <v>1724</v>
      </c>
      <c r="AV27" s="24" t="s">
        <v>1831</v>
      </c>
      <c r="AW27" s="25" t="s">
        <v>1832</v>
      </c>
      <c r="AX27" s="24" t="s">
        <v>1008</v>
      </c>
      <c r="AY27" s="24" t="s">
        <v>1833</v>
      </c>
    </row>
    <row r="28" customFormat="false" ht="15" hidden="false" customHeight="true" outlineLevel="0" collapsed="false">
      <c r="A28" s="24" t="s">
        <v>988</v>
      </c>
      <c r="B28" s="24" t="s">
        <v>988</v>
      </c>
      <c r="C28" s="24" t="s">
        <v>989</v>
      </c>
      <c r="D28" s="24" t="n">
        <v>2011</v>
      </c>
      <c r="E28" s="24" t="s">
        <v>990</v>
      </c>
      <c r="F28" s="24" t="s">
        <v>857</v>
      </c>
      <c r="G28" s="24" t="s">
        <v>993</v>
      </c>
      <c r="H28" s="24" t="n">
        <v>29.017</v>
      </c>
      <c r="I28" s="24" t="n">
        <v>77.75</v>
      </c>
      <c r="J28" s="24" t="s">
        <v>83</v>
      </c>
      <c r="K28" s="24" t="s">
        <v>1719</v>
      </c>
      <c r="L28" s="24" t="s">
        <v>84</v>
      </c>
      <c r="M28" s="24" t="s">
        <v>85</v>
      </c>
      <c r="N28" s="24" t="s">
        <v>86</v>
      </c>
      <c r="O28" s="24" t="s">
        <v>1730</v>
      </c>
      <c r="P28" s="24"/>
      <c r="Q28" s="24" t="n">
        <f aca="false">ROUND((1-BD!Q28/2.65)*100,2)</f>
        <v>34.34</v>
      </c>
      <c r="R28" s="24" t="n">
        <f aca="false">ROUND((1-BD!R28/2.65)*100,2)</f>
        <v>36.98</v>
      </c>
      <c r="S28" s="24"/>
      <c r="T28" s="24"/>
      <c r="U28" s="24" t="n">
        <f aca="false">ROUND((1-BD!U28/2.65)*100,2)</f>
        <v>36.98</v>
      </c>
      <c r="V28" s="24"/>
      <c r="W28" s="24"/>
      <c r="X28" s="24"/>
      <c r="Y28" s="24" t="n">
        <f aca="false">ROUND((1-BD!Y28/2.65)*100,2)</f>
        <v>33.96</v>
      </c>
      <c r="Z28" s="24"/>
      <c r="AA28" s="24"/>
      <c r="AB28" s="24" t="n">
        <v>9</v>
      </c>
      <c r="AC28" s="24" t="n">
        <v>3</v>
      </c>
      <c r="AD28" s="24" t="n">
        <f aca="false">IF(AND(N(AB28)&gt;0,N(AC28)&gt;0),SQRT(2*AB28/AC28),"")</f>
        <v>2.44948974278318</v>
      </c>
      <c r="AE28" s="24" t="n">
        <v>19</v>
      </c>
      <c r="AF28" s="24" t="n">
        <v>2</v>
      </c>
      <c r="AG28" s="24" t="n">
        <v>43</v>
      </c>
      <c r="AH28" s="24" t="n">
        <v>800</v>
      </c>
      <c r="AI28" s="24" t="n">
        <v>29.017</v>
      </c>
      <c r="AJ28" s="24" t="s">
        <v>1721</v>
      </c>
      <c r="AK28" s="24"/>
      <c r="AL28" s="24"/>
      <c r="AM28" s="24" t="n">
        <v>8.1</v>
      </c>
      <c r="AN28" s="24"/>
      <c r="AO28" s="24"/>
      <c r="AP28" s="24" t="n">
        <v>55</v>
      </c>
      <c r="AQ28" s="24" t="n">
        <v>26</v>
      </c>
      <c r="AR28" s="24" t="s">
        <v>763</v>
      </c>
      <c r="AS28" s="24" t="s">
        <v>1722</v>
      </c>
      <c r="AT28" s="24" t="s">
        <v>1723</v>
      </c>
      <c r="AU28" s="24" t="s">
        <v>1724</v>
      </c>
      <c r="AV28" s="24" t="s">
        <v>1831</v>
      </c>
      <c r="AW28" s="25" t="s">
        <v>1834</v>
      </c>
      <c r="AX28" s="24" t="s">
        <v>1008</v>
      </c>
      <c r="AY28" s="24" t="s">
        <v>1833</v>
      </c>
    </row>
    <row r="29" customFormat="false" ht="15" hidden="false" customHeight="true" outlineLevel="0" collapsed="false">
      <c r="A29" s="24" t="s">
        <v>988</v>
      </c>
      <c r="B29" s="24" t="s">
        <v>988</v>
      </c>
      <c r="C29" s="24" t="s">
        <v>989</v>
      </c>
      <c r="D29" s="24" t="n">
        <v>2011</v>
      </c>
      <c r="E29" s="24" t="s">
        <v>990</v>
      </c>
      <c r="F29" s="24" t="s">
        <v>857</v>
      </c>
      <c r="G29" s="24" t="s">
        <v>993</v>
      </c>
      <c r="H29" s="24" t="n">
        <v>29.017</v>
      </c>
      <c r="I29" s="24" t="n">
        <v>77.75</v>
      </c>
      <c r="J29" s="24" t="s">
        <v>83</v>
      </c>
      <c r="K29" s="24" t="s">
        <v>1719</v>
      </c>
      <c r="L29" s="24" t="s">
        <v>84</v>
      </c>
      <c r="M29" s="24" t="s">
        <v>85</v>
      </c>
      <c r="N29" s="24" t="s">
        <v>1673</v>
      </c>
      <c r="O29" s="24" t="s">
        <v>1731</v>
      </c>
      <c r="P29" s="24"/>
      <c r="Q29" s="24" t="n">
        <f aca="false">ROUND((1-BD!Q29/2.65)*100,2)</f>
        <v>33.58</v>
      </c>
      <c r="R29" s="24" t="n">
        <f aca="false">ROUND((1-BD!R29/2.65)*100,2)</f>
        <v>35.47</v>
      </c>
      <c r="S29" s="24"/>
      <c r="T29" s="24"/>
      <c r="U29" s="24" t="n">
        <f aca="false">ROUND((1-BD!U29/2.65)*100,2)</f>
        <v>35.85</v>
      </c>
      <c r="V29" s="24"/>
      <c r="W29" s="24"/>
      <c r="X29" s="24"/>
      <c r="Y29" s="24" t="n">
        <f aca="false">ROUND((1-BD!Y29/2.65)*100,2)</f>
        <v>33.21</v>
      </c>
      <c r="Z29" s="24"/>
      <c r="AA29" s="24"/>
      <c r="AB29" s="24" t="n">
        <v>6</v>
      </c>
      <c r="AC29" s="24" t="n">
        <v>3</v>
      </c>
      <c r="AD29" s="24" t="n">
        <f aca="false">IF(AND(N(AB29)&gt;0,N(AC29)&gt;0),SQRT(2*AB29/AC29),"")</f>
        <v>2</v>
      </c>
      <c r="AE29" s="24" t="n">
        <v>19</v>
      </c>
      <c r="AF29" s="24" t="n">
        <v>2</v>
      </c>
      <c r="AG29" s="24" t="n">
        <v>43</v>
      </c>
      <c r="AH29" s="24" t="n">
        <v>800</v>
      </c>
      <c r="AI29" s="24" t="n">
        <v>29.017</v>
      </c>
      <c r="AJ29" s="24" t="s">
        <v>1721</v>
      </c>
      <c r="AK29" s="24"/>
      <c r="AL29" s="24"/>
      <c r="AM29" s="24" t="n">
        <v>8.1</v>
      </c>
      <c r="AN29" s="24"/>
      <c r="AO29" s="24"/>
      <c r="AP29" s="24" t="n">
        <v>55</v>
      </c>
      <c r="AQ29" s="24" t="n">
        <v>26</v>
      </c>
      <c r="AR29" s="24" t="s">
        <v>763</v>
      </c>
      <c r="AS29" s="24" t="s">
        <v>1722</v>
      </c>
      <c r="AT29" s="24" t="s">
        <v>1723</v>
      </c>
      <c r="AU29" s="24" t="s">
        <v>1724</v>
      </c>
      <c r="AV29" s="24" t="s">
        <v>1831</v>
      </c>
      <c r="AW29" s="25" t="s">
        <v>1832</v>
      </c>
      <c r="AX29" s="24" t="s">
        <v>1008</v>
      </c>
      <c r="AY29" s="24" t="s">
        <v>1833</v>
      </c>
    </row>
    <row r="30" customFormat="false" ht="15" hidden="false" customHeight="true" outlineLevel="0" collapsed="false">
      <c r="A30" s="24" t="s">
        <v>988</v>
      </c>
      <c r="B30" s="24" t="s">
        <v>988</v>
      </c>
      <c r="C30" s="24" t="s">
        <v>989</v>
      </c>
      <c r="D30" s="24" t="n">
        <v>2011</v>
      </c>
      <c r="E30" s="24" t="s">
        <v>990</v>
      </c>
      <c r="F30" s="24" t="s">
        <v>857</v>
      </c>
      <c r="G30" s="24" t="s">
        <v>993</v>
      </c>
      <c r="H30" s="24" t="n">
        <v>29.017</v>
      </c>
      <c r="I30" s="24" t="n">
        <v>77.75</v>
      </c>
      <c r="J30" s="24" t="s">
        <v>83</v>
      </c>
      <c r="K30" s="24" t="s">
        <v>1719</v>
      </c>
      <c r="L30" s="24" t="s">
        <v>84</v>
      </c>
      <c r="M30" s="24" t="s">
        <v>85</v>
      </c>
      <c r="N30" s="24" t="s">
        <v>1673</v>
      </c>
      <c r="O30" s="24" t="s">
        <v>1731</v>
      </c>
      <c r="P30" s="24"/>
      <c r="Q30" s="24" t="n">
        <f aca="false">ROUND((1-BD!Q30/2.65)*100,2)</f>
        <v>33.58</v>
      </c>
      <c r="R30" s="24" t="n">
        <f aca="false">ROUND((1-BD!R30/2.65)*100,2)</f>
        <v>35.47</v>
      </c>
      <c r="S30" s="24"/>
      <c r="T30" s="24"/>
      <c r="U30" s="24" t="n">
        <f aca="false">ROUND((1-BD!U30/2.65)*100,2)</f>
        <v>35.47</v>
      </c>
      <c r="V30" s="24"/>
      <c r="W30" s="24"/>
      <c r="X30" s="24"/>
      <c r="Y30" s="24" t="n">
        <f aca="false">ROUND((1-BD!Y30/2.65)*100,2)</f>
        <v>33.21</v>
      </c>
      <c r="Z30" s="24"/>
      <c r="AA30" s="24"/>
      <c r="AB30" s="24" t="n">
        <v>6</v>
      </c>
      <c r="AC30" s="24" t="n">
        <v>3</v>
      </c>
      <c r="AD30" s="24" t="n">
        <f aca="false">IF(AND(N(AB30)&gt;0,N(AC30)&gt;0),SQRT(2*AB30/AC30),"")</f>
        <v>2</v>
      </c>
      <c r="AE30" s="24" t="n">
        <v>19</v>
      </c>
      <c r="AF30" s="24" t="n">
        <v>2</v>
      </c>
      <c r="AG30" s="24" t="n">
        <v>43</v>
      </c>
      <c r="AH30" s="24" t="n">
        <v>800</v>
      </c>
      <c r="AI30" s="24" t="n">
        <v>29.017</v>
      </c>
      <c r="AJ30" s="24" t="s">
        <v>1721</v>
      </c>
      <c r="AK30" s="24"/>
      <c r="AL30" s="24"/>
      <c r="AM30" s="24" t="n">
        <v>8.1</v>
      </c>
      <c r="AN30" s="24"/>
      <c r="AO30" s="24"/>
      <c r="AP30" s="24" t="n">
        <v>55</v>
      </c>
      <c r="AQ30" s="24" t="n">
        <v>26</v>
      </c>
      <c r="AR30" s="24" t="s">
        <v>763</v>
      </c>
      <c r="AS30" s="24" t="s">
        <v>1722</v>
      </c>
      <c r="AT30" s="24" t="s">
        <v>1723</v>
      </c>
      <c r="AU30" s="24" t="s">
        <v>1724</v>
      </c>
      <c r="AV30" s="24" t="s">
        <v>1831</v>
      </c>
      <c r="AW30" s="25" t="s">
        <v>1834</v>
      </c>
      <c r="AX30" s="24" t="s">
        <v>1008</v>
      </c>
      <c r="AY30" s="24" t="s">
        <v>1833</v>
      </c>
    </row>
    <row r="31" customFormat="false" ht="15" hidden="false" customHeight="true" outlineLevel="0" collapsed="false">
      <c r="A31" s="24" t="s">
        <v>1011</v>
      </c>
      <c r="B31" s="24" t="s">
        <v>1011</v>
      </c>
      <c r="C31" s="24" t="s">
        <v>1012</v>
      </c>
      <c r="D31" s="24" t="n">
        <v>2022</v>
      </c>
      <c r="E31" s="24" t="s">
        <v>813</v>
      </c>
      <c r="F31" s="24" t="s">
        <v>1015</v>
      </c>
      <c r="G31" s="24" t="s">
        <v>1016</v>
      </c>
      <c r="H31" s="24" t="n">
        <v>24.724</v>
      </c>
      <c r="I31" s="24" t="n">
        <v>90.437</v>
      </c>
      <c r="J31" s="24" t="s">
        <v>83</v>
      </c>
      <c r="K31" s="24" t="s">
        <v>1734</v>
      </c>
      <c r="L31" s="24" t="s">
        <v>84</v>
      </c>
      <c r="M31" s="24" t="s">
        <v>85</v>
      </c>
      <c r="N31" s="24" t="s">
        <v>86</v>
      </c>
      <c r="O31" s="24" t="s">
        <v>1666</v>
      </c>
      <c r="P31" s="24"/>
      <c r="Q31" s="24"/>
      <c r="R31" s="24"/>
      <c r="S31" s="24"/>
      <c r="T31" s="24" t="n">
        <f aca="false">ROUND((1-BD!T31/2.65)*100,2)</f>
        <v>50.94</v>
      </c>
      <c r="U31" s="24"/>
      <c r="V31" s="24" t="n">
        <f aca="false">ROUND((1-BD!V31/2.65)*100,2)</f>
        <v>50.94</v>
      </c>
      <c r="W31" s="24"/>
      <c r="X31" s="24"/>
      <c r="Y31" s="24"/>
      <c r="Z31" s="24"/>
      <c r="AA31" s="24"/>
      <c r="AB31" s="24" t="n">
        <v>2</v>
      </c>
      <c r="AC31" s="24" t="n">
        <v>3</v>
      </c>
      <c r="AD31" s="24" t="n">
        <f aca="false">IF(AND(N(AB31)&gt;0,N(AC31)&gt;0),SQRT(2*AB31/AC31),"")</f>
        <v>1.15470053837925</v>
      </c>
      <c r="AE31" s="24" t="n">
        <v>13</v>
      </c>
      <c r="AF31" s="24"/>
      <c r="AG31" s="24"/>
      <c r="AH31" s="24" t="n">
        <v>2400</v>
      </c>
      <c r="AI31" s="24" t="n">
        <v>24.724</v>
      </c>
      <c r="AJ31" s="24" t="n">
        <v>8</v>
      </c>
      <c r="AK31" s="24"/>
      <c r="AL31" s="24"/>
      <c r="AM31" s="24" t="n">
        <v>6.92</v>
      </c>
      <c r="AN31" s="24" t="n">
        <v>13.2</v>
      </c>
      <c r="AO31" s="24" t="n">
        <v>1.58</v>
      </c>
      <c r="AP31" s="24" t="n">
        <v>11</v>
      </c>
      <c r="AQ31" s="24" t="n">
        <v>76</v>
      </c>
      <c r="AR31" s="24" t="s">
        <v>763</v>
      </c>
      <c r="AS31" s="24" t="s">
        <v>1735</v>
      </c>
      <c r="AT31" s="24" t="s">
        <v>1736</v>
      </c>
      <c r="AU31" s="24" t="s">
        <v>1737</v>
      </c>
      <c r="AV31" s="24" t="s">
        <v>1835</v>
      </c>
      <c r="AW31" s="25" t="s">
        <v>1836</v>
      </c>
      <c r="AX31" s="24" t="s">
        <v>1030</v>
      </c>
      <c r="AY31" s="24" t="s">
        <v>1815</v>
      </c>
    </row>
    <row r="32" customFormat="false" ht="15" hidden="false" customHeight="true" outlineLevel="0" collapsed="false">
      <c r="A32" s="24" t="s">
        <v>1011</v>
      </c>
      <c r="B32" s="24" t="s">
        <v>1011</v>
      </c>
      <c r="C32" s="24" t="s">
        <v>1012</v>
      </c>
      <c r="D32" s="24" t="n">
        <v>2022</v>
      </c>
      <c r="E32" s="24" t="s">
        <v>813</v>
      </c>
      <c r="F32" s="24" t="s">
        <v>1015</v>
      </c>
      <c r="G32" s="24" t="s">
        <v>1016</v>
      </c>
      <c r="H32" s="24" t="n">
        <v>24.724</v>
      </c>
      <c r="I32" s="24" t="n">
        <v>90.437</v>
      </c>
      <c r="J32" s="24" t="s">
        <v>83</v>
      </c>
      <c r="K32" s="24" t="s">
        <v>1734</v>
      </c>
      <c r="L32" s="24" t="s">
        <v>84</v>
      </c>
      <c r="M32" s="24" t="s">
        <v>85</v>
      </c>
      <c r="N32" s="24" t="s">
        <v>86</v>
      </c>
      <c r="O32" s="24" t="s">
        <v>1666</v>
      </c>
      <c r="P32" s="24"/>
      <c r="Q32" s="24"/>
      <c r="R32" s="24"/>
      <c r="S32" s="24"/>
      <c r="T32" s="24" t="n">
        <f aca="false">ROUND((1-BD!T32/2.65)*100,2)</f>
        <v>52.08</v>
      </c>
      <c r="U32" s="24"/>
      <c r="V32" s="24" t="n">
        <f aca="false">ROUND((1-BD!V32/2.65)*100,2)</f>
        <v>51.7</v>
      </c>
      <c r="W32" s="24"/>
      <c r="X32" s="24"/>
      <c r="Y32" s="24"/>
      <c r="Z32" s="24"/>
      <c r="AA32" s="24"/>
      <c r="AB32" s="24" t="n">
        <v>2</v>
      </c>
      <c r="AC32" s="24" t="n">
        <v>3</v>
      </c>
      <c r="AD32" s="24" t="n">
        <f aca="false">IF(AND(N(AB32)&gt;0,N(AC32)&gt;0),SQRT(2*AB32/AC32),"")</f>
        <v>1.15470053837925</v>
      </c>
      <c r="AE32" s="24" t="n">
        <v>13</v>
      </c>
      <c r="AF32" s="24"/>
      <c r="AG32" s="24"/>
      <c r="AH32" s="24" t="n">
        <v>2400</v>
      </c>
      <c r="AI32" s="24" t="n">
        <v>24.724</v>
      </c>
      <c r="AJ32" s="24" t="n">
        <v>8</v>
      </c>
      <c r="AK32" s="24"/>
      <c r="AL32" s="24"/>
      <c r="AM32" s="24" t="n">
        <v>6.92</v>
      </c>
      <c r="AN32" s="24" t="n">
        <v>13.2</v>
      </c>
      <c r="AO32" s="24" t="n">
        <v>1.58</v>
      </c>
      <c r="AP32" s="24" t="n">
        <v>11</v>
      </c>
      <c r="AQ32" s="24" t="n">
        <v>76</v>
      </c>
      <c r="AR32" s="24" t="s">
        <v>763</v>
      </c>
      <c r="AS32" s="24" t="s">
        <v>1735</v>
      </c>
      <c r="AT32" s="24" t="s">
        <v>1736</v>
      </c>
      <c r="AU32" s="24" t="s">
        <v>1737</v>
      </c>
      <c r="AV32" s="24" t="s">
        <v>1835</v>
      </c>
      <c r="AW32" s="25" t="s">
        <v>1837</v>
      </c>
      <c r="AX32" s="24" t="s">
        <v>1030</v>
      </c>
      <c r="AY32" s="24" t="s">
        <v>1815</v>
      </c>
    </row>
    <row r="33" customFormat="false" ht="15" hidden="false" customHeight="true" outlineLevel="0" collapsed="false">
      <c r="A33" s="24" t="s">
        <v>1034</v>
      </c>
      <c r="B33" s="24" t="s">
        <v>1034</v>
      </c>
      <c r="C33" s="24" t="s">
        <v>1035</v>
      </c>
      <c r="D33" s="24" t="n">
        <v>2022</v>
      </c>
      <c r="E33" s="24" t="s">
        <v>80</v>
      </c>
      <c r="F33" s="24" t="s">
        <v>912</v>
      </c>
      <c r="G33" s="24" t="s">
        <v>913</v>
      </c>
      <c r="H33" s="24" t="n">
        <v>29.706</v>
      </c>
      <c r="I33" s="24" t="n">
        <v>76.956</v>
      </c>
      <c r="J33" s="24" t="s">
        <v>83</v>
      </c>
      <c r="K33" s="24" t="n">
        <v>2019</v>
      </c>
      <c r="L33" s="24" t="s">
        <v>84</v>
      </c>
      <c r="M33" s="24" t="s">
        <v>85</v>
      </c>
      <c r="N33" s="24" t="s">
        <v>86</v>
      </c>
      <c r="O33" s="24" t="s">
        <v>1720</v>
      </c>
      <c r="P33" s="24" t="n">
        <f aca="false">ROUND((1-BD!P33/2.65)*100,2)</f>
        <v>47.55</v>
      </c>
      <c r="Q33" s="24" t="n">
        <f aca="false">ROUND((1-BD!Q33/2.65)*100,2)</f>
        <v>43.4</v>
      </c>
      <c r="R33" s="24"/>
      <c r="S33" s="24"/>
      <c r="T33" s="24"/>
      <c r="U33" s="24"/>
      <c r="V33" s="24"/>
      <c r="W33" s="24"/>
      <c r="X33" s="24" t="n">
        <f aca="false">ROUND((1-BD!X33/2.65)*100,2)</f>
        <v>46.79</v>
      </c>
      <c r="Y33" s="24"/>
      <c r="Z33" s="24"/>
      <c r="AA33" s="24"/>
      <c r="AB33" s="24" t="n">
        <v>2</v>
      </c>
      <c r="AC33" s="24" t="n">
        <v>3</v>
      </c>
      <c r="AD33" s="24" t="n">
        <f aca="false">IF(AND(N(AB33)&gt;0,N(AC33)&gt;0),SQRT(2*AB33/AC33),"")</f>
        <v>1.15470053837925</v>
      </c>
      <c r="AE33" s="24"/>
      <c r="AF33" s="24"/>
      <c r="AG33" s="24"/>
      <c r="AH33" s="24" t="n">
        <v>670</v>
      </c>
      <c r="AI33" s="24" t="n">
        <v>29.706</v>
      </c>
      <c r="AJ33" s="24" t="n">
        <v>10</v>
      </c>
      <c r="AK33" s="24"/>
      <c r="AL33" s="24"/>
      <c r="AM33" s="24"/>
      <c r="AN33" s="24"/>
      <c r="AO33" s="24"/>
      <c r="AP33" s="24"/>
      <c r="AQ33" s="24"/>
      <c r="AR33" s="24" t="s">
        <v>763</v>
      </c>
      <c r="AS33" s="24" t="s">
        <v>1742</v>
      </c>
      <c r="AT33" s="24" t="s">
        <v>1743</v>
      </c>
      <c r="AU33" s="24" t="s">
        <v>1744</v>
      </c>
      <c r="AV33" s="24" t="s">
        <v>1831</v>
      </c>
      <c r="AW33" s="25" t="s">
        <v>1838</v>
      </c>
      <c r="AX33" s="24" t="s">
        <v>1046</v>
      </c>
      <c r="AY33" s="24" t="s">
        <v>1815</v>
      </c>
    </row>
    <row r="34" customFormat="false" ht="14.25" hidden="false" customHeight="false" outlineLevel="0" collapsed="false">
      <c r="A34" s="24" t="s">
        <v>1034</v>
      </c>
      <c r="B34" s="24" t="s">
        <v>1034</v>
      </c>
      <c r="C34" s="24" t="s">
        <v>1035</v>
      </c>
      <c r="D34" s="24" t="n">
        <v>2022</v>
      </c>
      <c r="E34" s="24" t="s">
        <v>80</v>
      </c>
      <c r="F34" s="24" t="s">
        <v>912</v>
      </c>
      <c r="G34" s="24" t="s">
        <v>913</v>
      </c>
      <c r="H34" s="24" t="n">
        <v>29.706</v>
      </c>
      <c r="I34" s="24" t="n">
        <v>76.956</v>
      </c>
      <c r="J34" s="24" t="s">
        <v>83</v>
      </c>
      <c r="K34" s="24" t="n">
        <v>2019</v>
      </c>
      <c r="L34" s="24" t="s">
        <v>84</v>
      </c>
      <c r="M34" s="24" t="s">
        <v>85</v>
      </c>
      <c r="N34" s="24" t="s">
        <v>86</v>
      </c>
      <c r="O34" s="24" t="s">
        <v>1747</v>
      </c>
      <c r="P34" s="24" t="n">
        <f aca="false">ROUND((1-BD!P34/2.65)*100,2)</f>
        <v>40.38</v>
      </c>
      <c r="Q34" s="24" t="n">
        <f aca="false">ROUND((1-BD!Q34/2.65)*100,2)</f>
        <v>37.36</v>
      </c>
      <c r="R34" s="24"/>
      <c r="S34" s="24"/>
      <c r="T34" s="24"/>
      <c r="U34" s="24"/>
      <c r="V34" s="24"/>
      <c r="W34" s="24"/>
      <c r="X34" s="24" t="n">
        <f aca="false">ROUND((1-BD!X34/2.65)*100,2)</f>
        <v>39.25</v>
      </c>
      <c r="Y34" s="24"/>
      <c r="Z34" s="24"/>
      <c r="AA34" s="24"/>
      <c r="AB34" s="24" t="n">
        <v>2</v>
      </c>
      <c r="AC34" s="24" t="n">
        <v>3</v>
      </c>
      <c r="AD34" s="24" t="n">
        <f aca="false">IF(AND(N(AB34)&gt;0,N(AC34)&gt;0),SQRT(2*AB34/AC34),"")</f>
        <v>1.15470053837925</v>
      </c>
      <c r="AE34" s="24"/>
      <c r="AF34" s="24"/>
      <c r="AG34" s="24"/>
      <c r="AH34" s="24" t="n">
        <v>670</v>
      </c>
      <c r="AI34" s="24" t="n">
        <v>29.706</v>
      </c>
      <c r="AJ34" s="24" t="n">
        <v>10</v>
      </c>
      <c r="AK34" s="24"/>
      <c r="AL34" s="24"/>
      <c r="AM34" s="24"/>
      <c r="AN34" s="24"/>
      <c r="AO34" s="24"/>
      <c r="AP34" s="24"/>
      <c r="AQ34" s="24"/>
      <c r="AR34" s="24" t="s">
        <v>763</v>
      </c>
      <c r="AS34" s="24" t="s">
        <v>1742</v>
      </c>
      <c r="AT34" s="24" t="s">
        <v>1743</v>
      </c>
      <c r="AU34" s="24" t="s">
        <v>1744</v>
      </c>
      <c r="AV34" s="24" t="s">
        <v>1831</v>
      </c>
      <c r="AW34" s="25" t="s">
        <v>1838</v>
      </c>
      <c r="AX34" s="24" t="s">
        <v>1046</v>
      </c>
      <c r="AY34" s="24" t="s">
        <v>1815</v>
      </c>
    </row>
    <row r="35" customFormat="false" ht="14.25" hidden="false" customHeight="false" outlineLevel="0" collapsed="false">
      <c r="A35" s="24" t="s">
        <v>1034</v>
      </c>
      <c r="B35" s="24" t="s">
        <v>1034</v>
      </c>
      <c r="C35" s="24" t="s">
        <v>1035</v>
      </c>
      <c r="D35" s="24" t="n">
        <v>2022</v>
      </c>
      <c r="E35" s="24" t="s">
        <v>80</v>
      </c>
      <c r="F35" s="24" t="s">
        <v>912</v>
      </c>
      <c r="G35" s="24" t="s">
        <v>913</v>
      </c>
      <c r="H35" s="24" t="n">
        <v>29.706</v>
      </c>
      <c r="I35" s="24" t="n">
        <v>76.956</v>
      </c>
      <c r="J35" s="24" t="s">
        <v>83</v>
      </c>
      <c r="K35" s="24" t="n">
        <v>2019</v>
      </c>
      <c r="L35" s="24" t="s">
        <v>84</v>
      </c>
      <c r="M35" s="24" t="s">
        <v>85</v>
      </c>
      <c r="N35" s="24" t="s">
        <v>1673</v>
      </c>
      <c r="O35" s="24" t="s">
        <v>1674</v>
      </c>
      <c r="P35" s="24" t="n">
        <f aca="false">ROUND((1-BD!P35/2.65)*100,2)</f>
        <v>35.47</v>
      </c>
      <c r="Q35" s="24" t="n">
        <f aca="false">ROUND((1-BD!Q35/2.65)*100,2)</f>
        <v>35.09</v>
      </c>
      <c r="R35" s="24"/>
      <c r="S35" s="24"/>
      <c r="T35" s="24"/>
      <c r="U35" s="24"/>
      <c r="V35" s="24"/>
      <c r="W35" s="24"/>
      <c r="X35" s="24" t="n">
        <f aca="false">ROUND((1-BD!X35/2.65)*100,2)</f>
        <v>36.6</v>
      </c>
      <c r="Y35" s="24"/>
      <c r="Z35" s="24"/>
      <c r="AA35" s="24"/>
      <c r="AB35" s="24" t="n">
        <v>1</v>
      </c>
      <c r="AC35" s="24" t="n">
        <v>3</v>
      </c>
      <c r="AD35" s="24" t="n">
        <f aca="false">IF(AND(N(AB35)&gt;0,N(AC35)&gt;0),SQRT(2*AB35/AC35),"")</f>
        <v>0.816496580927726</v>
      </c>
      <c r="AE35" s="24"/>
      <c r="AF35" s="24"/>
      <c r="AG35" s="24"/>
      <c r="AH35" s="24" t="n">
        <v>670</v>
      </c>
      <c r="AI35" s="24" t="n">
        <v>29.706</v>
      </c>
      <c r="AJ35" s="24" t="n">
        <v>10</v>
      </c>
      <c r="AK35" s="24"/>
      <c r="AL35" s="24"/>
      <c r="AM35" s="24"/>
      <c r="AN35" s="24"/>
      <c r="AO35" s="24"/>
      <c r="AP35" s="24"/>
      <c r="AQ35" s="24"/>
      <c r="AR35" s="24" t="s">
        <v>763</v>
      </c>
      <c r="AS35" s="24" t="s">
        <v>1742</v>
      </c>
      <c r="AT35" s="24" t="s">
        <v>1743</v>
      </c>
      <c r="AU35" s="24" t="s">
        <v>1744</v>
      </c>
      <c r="AV35" s="24" t="s">
        <v>1831</v>
      </c>
      <c r="AW35" s="25" t="s">
        <v>1839</v>
      </c>
      <c r="AX35" s="24" t="s">
        <v>1046</v>
      </c>
      <c r="AY35" s="24" t="s">
        <v>1815</v>
      </c>
    </row>
    <row r="36" customFormat="false" ht="14.25" hidden="false" customHeight="false" outlineLevel="0" collapsed="false">
      <c r="A36" s="34" t="n">
        <v>170</v>
      </c>
      <c r="B36" s="34" t="n">
        <v>170</v>
      </c>
      <c r="C36" s="34" t="s">
        <v>971</v>
      </c>
      <c r="D36" s="34" t="n">
        <v>2003</v>
      </c>
      <c r="E36" s="34" t="s">
        <v>854</v>
      </c>
      <c r="F36" s="34" t="s">
        <v>887</v>
      </c>
      <c r="G36" s="34" t="s">
        <v>1750</v>
      </c>
      <c r="H36" s="34" t="n">
        <v>30.933</v>
      </c>
      <c r="I36" s="34" t="n">
        <v>75.867</v>
      </c>
      <c r="J36" s="34" t="s">
        <v>891</v>
      </c>
      <c r="K36" s="34" t="n">
        <v>1996</v>
      </c>
      <c r="L36" s="34" t="s">
        <v>842</v>
      </c>
      <c r="M36" s="34" t="s">
        <v>978</v>
      </c>
      <c r="N36" s="34" t="s">
        <v>86</v>
      </c>
      <c r="O36" s="34" t="s">
        <v>1720</v>
      </c>
      <c r="P36" s="34"/>
      <c r="Q36" s="34" t="n">
        <f aca="false">ROUND((1-BD!Q36/2.65)*100,2)</f>
        <v>44.19</v>
      </c>
      <c r="R36" s="34" t="n">
        <f aca="false">ROUND((1-BD!R36/2.65)*100,2)</f>
        <v>45.66</v>
      </c>
      <c r="S36" s="34"/>
      <c r="T36" s="34"/>
      <c r="U36" s="34" t="n">
        <f aca="false">ROUND((1-BD!U36/2.65)*100,2)</f>
        <v>43.06</v>
      </c>
      <c r="V36" s="34"/>
      <c r="W36" s="34"/>
      <c r="X36" s="34"/>
      <c r="Y36" s="34"/>
      <c r="Z36" s="34"/>
      <c r="AA36" s="34"/>
      <c r="AB36" s="34" t="n">
        <v>6</v>
      </c>
      <c r="AC36" s="34" t="n">
        <v>3</v>
      </c>
      <c r="AD36" s="34" t="n">
        <f aca="false">IF(AND(N(AB36)&gt;0,N(AC36)&gt;0),SQRT(2*AB36/AC36),"")</f>
        <v>2</v>
      </c>
      <c r="AE36" s="34" t="n">
        <v>12</v>
      </c>
      <c r="AF36" s="34"/>
      <c r="AG36" s="34"/>
      <c r="AH36" s="34"/>
      <c r="AI36" s="34" t="n">
        <v>30.933</v>
      </c>
      <c r="AJ36" s="34" t="n">
        <v>3</v>
      </c>
      <c r="AK36" s="34"/>
      <c r="AL36" s="34"/>
      <c r="AM36" s="34"/>
      <c r="AN36" s="34" t="n">
        <v>3.3</v>
      </c>
      <c r="AO36" s="34"/>
      <c r="AP36" s="34" t="n">
        <v>71</v>
      </c>
      <c r="AQ36" s="34" t="n">
        <v>17</v>
      </c>
      <c r="AR36" s="34" t="s">
        <v>763</v>
      </c>
      <c r="AS36" s="34" t="s">
        <v>1751</v>
      </c>
      <c r="AT36" s="34" t="s">
        <v>1752</v>
      </c>
      <c r="AU36" s="34" t="s">
        <v>1753</v>
      </c>
      <c r="AV36" s="34" t="s">
        <v>1840</v>
      </c>
      <c r="AW36" s="35" t="s">
        <v>1841</v>
      </c>
      <c r="AX36" s="34" t="s">
        <v>984</v>
      </c>
      <c r="AY36" s="34" t="s">
        <v>1815</v>
      </c>
    </row>
    <row r="37" customFormat="false" ht="14.25" hidden="false" customHeight="false" outlineLevel="0" collapsed="false">
      <c r="A37" s="34" t="n">
        <v>170</v>
      </c>
      <c r="B37" s="34" t="n">
        <v>170</v>
      </c>
      <c r="C37" s="34" t="s">
        <v>971</v>
      </c>
      <c r="D37" s="34" t="n">
        <v>2003</v>
      </c>
      <c r="E37" s="34" t="s">
        <v>854</v>
      </c>
      <c r="F37" s="34" t="s">
        <v>887</v>
      </c>
      <c r="G37" s="34" t="s">
        <v>1750</v>
      </c>
      <c r="H37" s="34" t="n">
        <v>30.933</v>
      </c>
      <c r="I37" s="34" t="n">
        <v>75.867</v>
      </c>
      <c r="J37" s="34" t="s">
        <v>891</v>
      </c>
      <c r="K37" s="34" t="n">
        <v>1996</v>
      </c>
      <c r="L37" s="34" t="s">
        <v>842</v>
      </c>
      <c r="M37" s="34" t="s">
        <v>978</v>
      </c>
      <c r="N37" s="34" t="s">
        <v>86</v>
      </c>
      <c r="O37" s="34" t="s">
        <v>1757</v>
      </c>
      <c r="P37" s="34"/>
      <c r="Q37" s="34" t="n">
        <f aca="false">ROUND((1-BD!Q37/2.65)*100,2)</f>
        <v>42.3</v>
      </c>
      <c r="R37" s="34" t="n">
        <f aca="false">ROUND((1-BD!R37/2.65)*100,2)</f>
        <v>43.77</v>
      </c>
      <c r="S37" s="34"/>
      <c r="T37" s="34"/>
      <c r="U37" s="34" t="n">
        <f aca="false">ROUND((1-BD!U37/2.65)*100,2)</f>
        <v>41.17</v>
      </c>
      <c r="V37" s="34"/>
      <c r="W37" s="34"/>
      <c r="X37" s="34"/>
      <c r="Y37" s="34"/>
      <c r="Z37" s="34"/>
      <c r="AA37" s="34"/>
      <c r="AB37" s="34" t="n">
        <v>6</v>
      </c>
      <c r="AC37" s="34" t="n">
        <v>3</v>
      </c>
      <c r="AD37" s="34" t="n">
        <f aca="false">IF(AND(N(AB37)&gt;0,N(AC37)&gt;0),SQRT(2*AB37/AC37),"")</f>
        <v>2</v>
      </c>
      <c r="AE37" s="34" t="n">
        <v>12</v>
      </c>
      <c r="AF37" s="34"/>
      <c r="AG37" s="34"/>
      <c r="AH37" s="34"/>
      <c r="AI37" s="34" t="n">
        <v>30.933</v>
      </c>
      <c r="AJ37" s="34" t="n">
        <v>3</v>
      </c>
      <c r="AK37" s="34"/>
      <c r="AL37" s="34"/>
      <c r="AM37" s="34"/>
      <c r="AN37" s="34" t="n">
        <v>3.3</v>
      </c>
      <c r="AO37" s="34"/>
      <c r="AP37" s="34" t="n">
        <v>71</v>
      </c>
      <c r="AQ37" s="34" t="n">
        <v>17</v>
      </c>
      <c r="AR37" s="34" t="s">
        <v>763</v>
      </c>
      <c r="AS37" s="34" t="s">
        <v>1751</v>
      </c>
      <c r="AT37" s="34" t="s">
        <v>1752</v>
      </c>
      <c r="AU37" s="34" t="s">
        <v>1753</v>
      </c>
      <c r="AV37" s="34" t="s">
        <v>1840</v>
      </c>
      <c r="AW37" s="35" t="s">
        <v>1841</v>
      </c>
      <c r="AX37" s="34" t="s">
        <v>984</v>
      </c>
      <c r="AY37" s="34" t="s">
        <v>1815</v>
      </c>
    </row>
    <row r="38" customFormat="false" ht="14.25" hidden="false" customHeight="false" outlineLevel="0" collapsed="false">
      <c r="A38" s="34" t="n">
        <v>170</v>
      </c>
      <c r="B38" s="34" t="n">
        <v>170</v>
      </c>
      <c r="C38" s="34" t="s">
        <v>971</v>
      </c>
      <c r="D38" s="34" t="n">
        <v>2003</v>
      </c>
      <c r="E38" s="34" t="s">
        <v>854</v>
      </c>
      <c r="F38" s="34" t="s">
        <v>887</v>
      </c>
      <c r="G38" s="34" t="s">
        <v>1750</v>
      </c>
      <c r="H38" s="34" t="n">
        <v>30.933</v>
      </c>
      <c r="I38" s="34" t="n">
        <v>75.867</v>
      </c>
      <c r="J38" s="34" t="s">
        <v>891</v>
      </c>
      <c r="K38" s="34" t="n">
        <v>1996</v>
      </c>
      <c r="L38" s="34" t="s">
        <v>842</v>
      </c>
      <c r="M38" s="34" t="s">
        <v>978</v>
      </c>
      <c r="N38" s="34" t="s">
        <v>86</v>
      </c>
      <c r="O38" s="34" t="s">
        <v>1759</v>
      </c>
      <c r="P38" s="34"/>
      <c r="Q38" s="34" t="n">
        <f aca="false">ROUND((1-BD!Q38/2.65)*100,2)</f>
        <v>40.42</v>
      </c>
      <c r="R38" s="34" t="n">
        <f aca="false">ROUND((1-BD!R38/2.65)*100,2)</f>
        <v>42.26</v>
      </c>
      <c r="S38" s="34"/>
      <c r="T38" s="34"/>
      <c r="U38" s="34" t="n">
        <f aca="false">ROUND((1-BD!U38/2.65)*100,2)</f>
        <v>38.53</v>
      </c>
      <c r="V38" s="34"/>
      <c r="W38" s="34"/>
      <c r="X38" s="34"/>
      <c r="Y38" s="34"/>
      <c r="Z38" s="34"/>
      <c r="AA38" s="34"/>
      <c r="AB38" s="34" t="n">
        <v>6</v>
      </c>
      <c r="AC38" s="34" t="n">
        <v>3</v>
      </c>
      <c r="AD38" s="34" t="n">
        <f aca="false">IF(AND(N(AB38)&gt;0,N(AC38)&gt;0),SQRT(2*AB38/AC38),"")</f>
        <v>2</v>
      </c>
      <c r="AE38" s="34" t="n">
        <v>12</v>
      </c>
      <c r="AF38" s="34"/>
      <c r="AG38" s="34"/>
      <c r="AH38" s="34"/>
      <c r="AI38" s="34" t="n">
        <v>30.933</v>
      </c>
      <c r="AJ38" s="34" t="n">
        <v>3</v>
      </c>
      <c r="AK38" s="34"/>
      <c r="AL38" s="34"/>
      <c r="AM38" s="34"/>
      <c r="AN38" s="34" t="n">
        <v>3.3</v>
      </c>
      <c r="AO38" s="34"/>
      <c r="AP38" s="34" t="n">
        <v>71</v>
      </c>
      <c r="AQ38" s="34" t="n">
        <v>17</v>
      </c>
      <c r="AR38" s="34" t="s">
        <v>763</v>
      </c>
      <c r="AS38" s="34" t="s">
        <v>1751</v>
      </c>
      <c r="AT38" s="34" t="s">
        <v>1752</v>
      </c>
      <c r="AU38" s="34" t="s">
        <v>1753</v>
      </c>
      <c r="AV38" s="34" t="s">
        <v>1840</v>
      </c>
      <c r="AW38" s="35" t="s">
        <v>1841</v>
      </c>
      <c r="AX38" s="34" t="s">
        <v>984</v>
      </c>
      <c r="AY38" s="34" t="s">
        <v>1815</v>
      </c>
    </row>
    <row r="39" customFormat="false" ht="14.25" hidden="false" customHeight="false" outlineLevel="0" collapsed="false">
      <c r="A39" s="34" t="n">
        <v>170</v>
      </c>
      <c r="B39" s="34" t="n">
        <v>170</v>
      </c>
      <c r="C39" s="34" t="s">
        <v>971</v>
      </c>
      <c r="D39" s="34" t="n">
        <v>2003</v>
      </c>
      <c r="E39" s="34" t="s">
        <v>854</v>
      </c>
      <c r="F39" s="34" t="s">
        <v>887</v>
      </c>
      <c r="G39" s="34" t="s">
        <v>1750</v>
      </c>
      <c r="H39" s="34" t="n">
        <v>30.933</v>
      </c>
      <c r="I39" s="34" t="n">
        <v>75.867</v>
      </c>
      <c r="J39" s="34" t="s">
        <v>891</v>
      </c>
      <c r="K39" s="34" t="n">
        <v>1996</v>
      </c>
      <c r="L39" s="34" t="s">
        <v>842</v>
      </c>
      <c r="M39" s="34" t="s">
        <v>978</v>
      </c>
      <c r="N39" s="34" t="s">
        <v>86</v>
      </c>
      <c r="O39" s="34" t="s">
        <v>1761</v>
      </c>
      <c r="P39" s="34"/>
      <c r="Q39" s="34" t="n">
        <f aca="false">ROUND((1-BD!Q39/2.65)*100,2)</f>
        <v>38.91</v>
      </c>
      <c r="R39" s="34" t="n">
        <f aca="false">ROUND((1-BD!R39/2.65)*100,2)</f>
        <v>43.02</v>
      </c>
      <c r="S39" s="34"/>
      <c r="T39" s="34"/>
      <c r="U39" s="34" t="n">
        <f aca="false">ROUND((1-BD!U39/2.65)*100,2)</f>
        <v>37.4</v>
      </c>
      <c r="V39" s="34"/>
      <c r="W39" s="34"/>
      <c r="X39" s="34"/>
      <c r="Y39" s="34"/>
      <c r="Z39" s="34"/>
      <c r="AA39" s="34"/>
      <c r="AB39" s="34" t="n">
        <v>6</v>
      </c>
      <c r="AC39" s="34" t="n">
        <v>3</v>
      </c>
      <c r="AD39" s="34" t="n">
        <f aca="false">IF(AND(N(AB39)&gt;0,N(AC39)&gt;0),SQRT(2*AB39/AC39),"")</f>
        <v>2</v>
      </c>
      <c r="AE39" s="34" t="n">
        <v>12</v>
      </c>
      <c r="AF39" s="34"/>
      <c r="AG39" s="34"/>
      <c r="AH39" s="34"/>
      <c r="AI39" s="34" t="n">
        <v>30.933</v>
      </c>
      <c r="AJ39" s="34" t="n">
        <v>3</v>
      </c>
      <c r="AK39" s="34"/>
      <c r="AL39" s="34"/>
      <c r="AM39" s="34"/>
      <c r="AN39" s="34" t="n">
        <v>3.3</v>
      </c>
      <c r="AO39" s="34"/>
      <c r="AP39" s="34" t="n">
        <v>71</v>
      </c>
      <c r="AQ39" s="34" t="n">
        <v>17</v>
      </c>
      <c r="AR39" s="34" t="s">
        <v>763</v>
      </c>
      <c r="AS39" s="34" t="s">
        <v>1751</v>
      </c>
      <c r="AT39" s="34" t="s">
        <v>1752</v>
      </c>
      <c r="AU39" s="34" t="s">
        <v>1753</v>
      </c>
      <c r="AV39" s="34" t="s">
        <v>1840</v>
      </c>
      <c r="AW39" s="35" t="s">
        <v>1841</v>
      </c>
      <c r="AX39" s="34" t="s">
        <v>984</v>
      </c>
      <c r="AY39" s="34" t="s">
        <v>1815</v>
      </c>
    </row>
    <row r="40" customFormat="false" ht="14.25" hidden="false" customHeight="false" outlineLevel="0" collapsed="false">
      <c r="A40" s="34" t="n">
        <v>170</v>
      </c>
      <c r="B40" s="34" t="n">
        <v>170</v>
      </c>
      <c r="C40" s="34" t="s">
        <v>971</v>
      </c>
      <c r="D40" s="34" t="n">
        <v>2003</v>
      </c>
      <c r="E40" s="34" t="s">
        <v>854</v>
      </c>
      <c r="F40" s="34" t="s">
        <v>887</v>
      </c>
      <c r="G40" s="34" t="s">
        <v>1750</v>
      </c>
      <c r="H40" s="34" t="n">
        <v>30.933</v>
      </c>
      <c r="I40" s="34" t="n">
        <v>75.867</v>
      </c>
      <c r="J40" s="34" t="s">
        <v>891</v>
      </c>
      <c r="K40" s="34" t="n">
        <v>1996</v>
      </c>
      <c r="L40" s="34" t="s">
        <v>842</v>
      </c>
      <c r="M40" s="34" t="s">
        <v>978</v>
      </c>
      <c r="N40" s="34" t="s">
        <v>1673</v>
      </c>
      <c r="O40" s="34" t="s">
        <v>1763</v>
      </c>
      <c r="P40" s="34"/>
      <c r="Q40" s="34" t="n">
        <f aca="false">ROUND((1-BD!Q40/2.65)*100,2)</f>
        <v>34</v>
      </c>
      <c r="R40" s="34" t="n">
        <f aca="false">ROUND((1-BD!R40/2.65)*100,2)</f>
        <v>43.02</v>
      </c>
      <c r="S40" s="34"/>
      <c r="T40" s="34"/>
      <c r="U40" s="34" t="n">
        <f aca="false">ROUND((1-BD!U40/2.65)*100,2)</f>
        <v>38.15</v>
      </c>
      <c r="V40" s="34"/>
      <c r="W40" s="34"/>
      <c r="X40" s="34"/>
      <c r="Y40" s="34"/>
      <c r="Z40" s="34"/>
      <c r="AA40" s="34"/>
      <c r="AB40" s="34" t="n">
        <v>7</v>
      </c>
      <c r="AC40" s="34" t="n">
        <v>3</v>
      </c>
      <c r="AD40" s="34" t="n">
        <f aca="false">IF(AND(N(AB40)&gt;0,N(AC40)&gt;0),SQRT(2*AB40/AC40),"")</f>
        <v>2.16024689946929</v>
      </c>
      <c r="AE40" s="34" t="n">
        <v>12</v>
      </c>
      <c r="AF40" s="34"/>
      <c r="AG40" s="34"/>
      <c r="AH40" s="34"/>
      <c r="AI40" s="34" t="n">
        <v>30.933</v>
      </c>
      <c r="AJ40" s="34" t="n">
        <v>3</v>
      </c>
      <c r="AK40" s="34"/>
      <c r="AL40" s="34"/>
      <c r="AM40" s="34"/>
      <c r="AN40" s="34" t="n">
        <v>3.3</v>
      </c>
      <c r="AO40" s="34"/>
      <c r="AP40" s="34" t="n">
        <v>71</v>
      </c>
      <c r="AQ40" s="34" t="n">
        <v>17</v>
      </c>
      <c r="AR40" s="34" t="s">
        <v>763</v>
      </c>
      <c r="AS40" s="34" t="s">
        <v>1751</v>
      </c>
      <c r="AT40" s="34" t="s">
        <v>1752</v>
      </c>
      <c r="AU40" s="34" t="s">
        <v>1753</v>
      </c>
      <c r="AV40" s="34" t="s">
        <v>1840</v>
      </c>
      <c r="AW40" s="35" t="s">
        <v>1841</v>
      </c>
      <c r="AX40" s="34" t="s">
        <v>984</v>
      </c>
      <c r="AY40" s="34" t="s">
        <v>1815</v>
      </c>
    </row>
    <row r="41" customFormat="false" ht="14.25" hidden="false" customHeight="false" outlineLevel="0" collapsed="false">
      <c r="A41" s="34" t="n">
        <v>170</v>
      </c>
      <c r="B41" s="34" t="n">
        <v>170</v>
      </c>
      <c r="C41" s="34" t="s">
        <v>971</v>
      </c>
      <c r="D41" s="34" t="n">
        <v>2003</v>
      </c>
      <c r="E41" s="34" t="s">
        <v>854</v>
      </c>
      <c r="F41" s="34" t="s">
        <v>887</v>
      </c>
      <c r="G41" s="34" t="s">
        <v>1750</v>
      </c>
      <c r="H41" s="34" t="n">
        <v>30.933</v>
      </c>
      <c r="I41" s="34" t="n">
        <v>75.867</v>
      </c>
      <c r="J41" s="34" t="s">
        <v>891</v>
      </c>
      <c r="K41" s="34" t="n">
        <v>1996</v>
      </c>
      <c r="L41" s="34" t="s">
        <v>842</v>
      </c>
      <c r="M41" s="34" t="s">
        <v>978</v>
      </c>
      <c r="N41" s="34" t="s">
        <v>1673</v>
      </c>
      <c r="O41" s="34" t="s">
        <v>1765</v>
      </c>
      <c r="P41" s="34"/>
      <c r="Q41" s="34" t="n">
        <f aca="false">ROUND((1-BD!Q41/2.65)*100,2)</f>
        <v>34.38</v>
      </c>
      <c r="R41" s="34" t="n">
        <f aca="false">ROUND((1-BD!R41/2.65)*100,2)</f>
        <v>43.02</v>
      </c>
      <c r="S41" s="34"/>
      <c r="T41" s="34"/>
      <c r="U41" s="34" t="n">
        <f aca="false">ROUND((1-BD!U41/2.65)*100,2)</f>
        <v>41.17</v>
      </c>
      <c r="V41" s="34"/>
      <c r="W41" s="34"/>
      <c r="X41" s="34"/>
      <c r="Y41" s="34"/>
      <c r="Z41" s="34"/>
      <c r="AA41" s="34"/>
      <c r="AB41" s="34" t="n">
        <v>7</v>
      </c>
      <c r="AC41" s="34" t="n">
        <v>3</v>
      </c>
      <c r="AD41" s="34" t="n">
        <f aca="false">IF(AND(N(AB41)&gt;0,N(AC41)&gt;0),SQRT(2*AB41/AC41),"")</f>
        <v>2.16024689946929</v>
      </c>
      <c r="AE41" s="34" t="n">
        <v>12</v>
      </c>
      <c r="AF41" s="34"/>
      <c r="AG41" s="34"/>
      <c r="AH41" s="34"/>
      <c r="AI41" s="34" t="n">
        <v>30.933</v>
      </c>
      <c r="AJ41" s="34" t="n">
        <v>3</v>
      </c>
      <c r="AK41" s="34"/>
      <c r="AL41" s="34"/>
      <c r="AM41" s="34"/>
      <c r="AN41" s="34" t="n">
        <v>3.3</v>
      </c>
      <c r="AO41" s="34"/>
      <c r="AP41" s="34" t="n">
        <v>71</v>
      </c>
      <c r="AQ41" s="34" t="n">
        <v>17</v>
      </c>
      <c r="AR41" s="34" t="s">
        <v>763</v>
      </c>
      <c r="AS41" s="34" t="s">
        <v>1751</v>
      </c>
      <c r="AT41" s="34" t="s">
        <v>1752</v>
      </c>
      <c r="AU41" s="34" t="s">
        <v>1753</v>
      </c>
      <c r="AV41" s="34" t="s">
        <v>1840</v>
      </c>
      <c r="AW41" s="35" t="s">
        <v>1841</v>
      </c>
      <c r="AX41" s="34" t="s">
        <v>984</v>
      </c>
      <c r="AY41" s="34" t="s">
        <v>1815</v>
      </c>
    </row>
    <row r="42" customFormat="false" ht="14.25" hidden="false" customHeight="false" outlineLevel="0" collapsed="false">
      <c r="A42" s="34" t="n">
        <v>170</v>
      </c>
      <c r="B42" s="34" t="n">
        <v>170</v>
      </c>
      <c r="C42" s="34" t="s">
        <v>971</v>
      </c>
      <c r="D42" s="34" t="n">
        <v>2003</v>
      </c>
      <c r="E42" s="34" t="s">
        <v>854</v>
      </c>
      <c r="F42" s="34" t="s">
        <v>887</v>
      </c>
      <c r="G42" s="34" t="s">
        <v>1750</v>
      </c>
      <c r="H42" s="34" t="n">
        <v>30.933</v>
      </c>
      <c r="I42" s="34" t="n">
        <v>75.867</v>
      </c>
      <c r="J42" s="34" t="s">
        <v>891</v>
      </c>
      <c r="K42" s="34" t="n">
        <v>1996</v>
      </c>
      <c r="L42" s="34" t="s">
        <v>842</v>
      </c>
      <c r="M42" s="34" t="s">
        <v>978</v>
      </c>
      <c r="N42" s="34" t="s">
        <v>1673</v>
      </c>
      <c r="O42" s="34" t="s">
        <v>1767</v>
      </c>
      <c r="P42" s="34"/>
      <c r="Q42" s="34" t="n">
        <f aca="false">ROUND((1-BD!Q42/2.65)*100,2)</f>
        <v>35.13</v>
      </c>
      <c r="R42" s="34" t="n">
        <f aca="false">ROUND((1-BD!R42/2.65)*100,2)</f>
        <v>43.4</v>
      </c>
      <c r="S42" s="34"/>
      <c r="T42" s="34"/>
      <c r="U42" s="34" t="n">
        <f aca="false">ROUND((1-BD!U42/2.65)*100,2)</f>
        <v>41.55</v>
      </c>
      <c r="V42" s="34"/>
      <c r="W42" s="34"/>
      <c r="X42" s="34"/>
      <c r="Y42" s="34"/>
      <c r="Z42" s="34"/>
      <c r="AA42" s="34"/>
      <c r="AB42" s="34" t="n">
        <v>7</v>
      </c>
      <c r="AC42" s="34" t="n">
        <v>3</v>
      </c>
      <c r="AD42" s="34" t="n">
        <f aca="false">IF(AND(N(AB42)&gt;0,N(AC42)&gt;0),SQRT(2*AB42/AC42),"")</f>
        <v>2.16024689946929</v>
      </c>
      <c r="AE42" s="34" t="n">
        <v>12</v>
      </c>
      <c r="AF42" s="34"/>
      <c r="AG42" s="34"/>
      <c r="AH42" s="34"/>
      <c r="AI42" s="34" t="n">
        <v>30.933</v>
      </c>
      <c r="AJ42" s="34" t="n">
        <v>3</v>
      </c>
      <c r="AK42" s="34"/>
      <c r="AL42" s="34"/>
      <c r="AM42" s="34"/>
      <c r="AN42" s="34" t="n">
        <v>3.3</v>
      </c>
      <c r="AO42" s="34"/>
      <c r="AP42" s="34" t="n">
        <v>71</v>
      </c>
      <c r="AQ42" s="34" t="n">
        <v>17</v>
      </c>
      <c r="AR42" s="34" t="s">
        <v>763</v>
      </c>
      <c r="AS42" s="34" t="s">
        <v>1751</v>
      </c>
      <c r="AT42" s="34" t="s">
        <v>1752</v>
      </c>
      <c r="AU42" s="34" t="s">
        <v>1753</v>
      </c>
      <c r="AV42" s="34" t="s">
        <v>1840</v>
      </c>
      <c r="AW42" s="35" t="s">
        <v>1841</v>
      </c>
      <c r="AX42" s="34" t="s">
        <v>984</v>
      </c>
      <c r="AY42" s="34" t="s">
        <v>1815</v>
      </c>
    </row>
    <row r="43" customFormat="false" ht="14.25" hidden="false" customHeight="false" outlineLevel="0" collapsed="false">
      <c r="A43" s="34" t="n">
        <v>170</v>
      </c>
      <c r="B43" s="34" t="n">
        <v>170</v>
      </c>
      <c r="C43" s="34" t="s">
        <v>971</v>
      </c>
      <c r="D43" s="34" t="n">
        <v>2003</v>
      </c>
      <c r="E43" s="34" t="s">
        <v>854</v>
      </c>
      <c r="F43" s="34" t="s">
        <v>887</v>
      </c>
      <c r="G43" s="34" t="s">
        <v>1750</v>
      </c>
      <c r="H43" s="34" t="n">
        <v>30.933</v>
      </c>
      <c r="I43" s="34" t="n">
        <v>75.867</v>
      </c>
      <c r="J43" s="34" t="s">
        <v>891</v>
      </c>
      <c r="K43" s="34" t="n">
        <v>1996</v>
      </c>
      <c r="L43" s="34" t="s">
        <v>842</v>
      </c>
      <c r="M43" s="34" t="s">
        <v>978</v>
      </c>
      <c r="N43" s="34" t="s">
        <v>1673</v>
      </c>
      <c r="O43" s="34" t="s">
        <v>1769</v>
      </c>
      <c r="P43" s="34"/>
      <c r="Q43" s="34" t="n">
        <f aca="false">ROUND((1-BD!Q43/2.65)*100,2)</f>
        <v>37.02</v>
      </c>
      <c r="R43" s="34" t="n">
        <f aca="false">ROUND((1-BD!R43/2.65)*100,2)</f>
        <v>43.77</v>
      </c>
      <c r="S43" s="34"/>
      <c r="T43" s="34"/>
      <c r="U43" s="34" t="n">
        <f aca="false">ROUND((1-BD!U43/2.65)*100,2)</f>
        <v>42.26</v>
      </c>
      <c r="V43" s="34"/>
      <c r="W43" s="34"/>
      <c r="X43" s="34"/>
      <c r="Y43" s="34"/>
      <c r="Z43" s="34"/>
      <c r="AA43" s="34"/>
      <c r="AB43" s="34" t="n">
        <v>7</v>
      </c>
      <c r="AC43" s="34" t="n">
        <v>3</v>
      </c>
      <c r="AD43" s="34" t="n">
        <f aca="false">IF(AND(N(AB43)&gt;0,N(AC43)&gt;0),SQRT(2*AB43/AC43),"")</f>
        <v>2.16024689946929</v>
      </c>
      <c r="AE43" s="34" t="n">
        <v>12</v>
      </c>
      <c r="AF43" s="34"/>
      <c r="AG43" s="34"/>
      <c r="AH43" s="34"/>
      <c r="AI43" s="34" t="n">
        <v>30.933</v>
      </c>
      <c r="AJ43" s="34" t="n">
        <v>3</v>
      </c>
      <c r="AK43" s="34"/>
      <c r="AL43" s="34"/>
      <c r="AM43" s="34"/>
      <c r="AN43" s="34" t="n">
        <v>3.3</v>
      </c>
      <c r="AO43" s="34"/>
      <c r="AP43" s="34" t="n">
        <v>71</v>
      </c>
      <c r="AQ43" s="34" t="n">
        <v>17</v>
      </c>
      <c r="AR43" s="34" t="s">
        <v>763</v>
      </c>
      <c r="AS43" s="34" t="s">
        <v>1751</v>
      </c>
      <c r="AT43" s="34" t="s">
        <v>1752</v>
      </c>
      <c r="AU43" s="34" t="s">
        <v>1753</v>
      </c>
      <c r="AV43" s="34" t="s">
        <v>1840</v>
      </c>
      <c r="AW43" s="35" t="s">
        <v>1841</v>
      </c>
      <c r="AX43" s="34" t="s">
        <v>984</v>
      </c>
      <c r="AY43" s="34" t="s">
        <v>1815</v>
      </c>
    </row>
    <row r="44" customFormat="false" ht="14.25" hidden="false" customHeight="false" outlineLevel="0" collapsed="false">
      <c r="A44" s="34" t="n">
        <v>170</v>
      </c>
      <c r="B44" s="34" t="n">
        <v>170</v>
      </c>
      <c r="C44" s="34" t="s">
        <v>971</v>
      </c>
      <c r="D44" s="34" t="n">
        <v>2003</v>
      </c>
      <c r="E44" s="34" t="s">
        <v>854</v>
      </c>
      <c r="F44" s="34" t="s">
        <v>887</v>
      </c>
      <c r="G44" s="34" t="s">
        <v>1750</v>
      </c>
      <c r="H44" s="34" t="n">
        <v>30.933</v>
      </c>
      <c r="I44" s="34" t="n">
        <v>75.867</v>
      </c>
      <c r="J44" s="34" t="s">
        <v>891</v>
      </c>
      <c r="K44" s="34" t="n">
        <v>1996</v>
      </c>
      <c r="L44" s="34" t="s">
        <v>842</v>
      </c>
      <c r="M44" s="34" t="s">
        <v>978</v>
      </c>
      <c r="N44" s="34" t="s">
        <v>1673</v>
      </c>
      <c r="O44" s="34" t="s">
        <v>1771</v>
      </c>
      <c r="P44" s="34"/>
      <c r="Q44" s="34" t="n">
        <f aca="false">ROUND((1-BD!Q44/2.65)*100,2)</f>
        <v>40.75</v>
      </c>
      <c r="R44" s="34" t="n">
        <f aca="false">ROUND((1-BD!R44/2.65)*100,2)</f>
        <v>42.64</v>
      </c>
      <c r="S44" s="34"/>
      <c r="T44" s="34"/>
      <c r="U44" s="34" t="n">
        <f aca="false">ROUND((1-BD!U44/2.65)*100,2)</f>
        <v>42.64</v>
      </c>
      <c r="V44" s="34"/>
      <c r="W44" s="34"/>
      <c r="X44" s="34"/>
      <c r="Y44" s="34"/>
      <c r="Z44" s="34"/>
      <c r="AA44" s="34"/>
      <c r="AB44" s="34" t="n">
        <v>7</v>
      </c>
      <c r="AC44" s="34" t="n">
        <v>3</v>
      </c>
      <c r="AD44" s="34" t="n">
        <f aca="false">IF(AND(N(AB44)&gt;0,N(AC44)&gt;0),SQRT(2*AB44/AC44),"")</f>
        <v>2.16024689946929</v>
      </c>
      <c r="AE44" s="34" t="n">
        <v>12</v>
      </c>
      <c r="AF44" s="34"/>
      <c r="AG44" s="34"/>
      <c r="AH44" s="34"/>
      <c r="AI44" s="34" t="n">
        <v>30.933</v>
      </c>
      <c r="AJ44" s="34" t="n">
        <v>3</v>
      </c>
      <c r="AK44" s="34"/>
      <c r="AL44" s="34"/>
      <c r="AM44" s="34"/>
      <c r="AN44" s="34" t="n">
        <v>3.3</v>
      </c>
      <c r="AO44" s="34"/>
      <c r="AP44" s="34" t="n">
        <v>71</v>
      </c>
      <c r="AQ44" s="34" t="n">
        <v>17</v>
      </c>
      <c r="AR44" s="34" t="s">
        <v>763</v>
      </c>
      <c r="AS44" s="34" t="s">
        <v>1751</v>
      </c>
      <c r="AT44" s="34" t="s">
        <v>1752</v>
      </c>
      <c r="AU44" s="34" t="s">
        <v>1753</v>
      </c>
      <c r="AV44" s="34" t="s">
        <v>1840</v>
      </c>
      <c r="AW44" s="35" t="s">
        <v>1841</v>
      </c>
      <c r="AX44" s="34" t="s">
        <v>984</v>
      </c>
      <c r="AY44" s="34" t="s">
        <v>1815</v>
      </c>
    </row>
    <row r="45" customFormat="false" ht="14.25" hidden="false" customHeight="false" outlineLevel="0" collapsed="false">
      <c r="A45" s="24" t="n">
        <v>170</v>
      </c>
      <c r="B45" s="24" t="n">
        <v>170</v>
      </c>
      <c r="C45" s="24" t="s">
        <v>971</v>
      </c>
      <c r="D45" s="24" t="n">
        <v>2003</v>
      </c>
      <c r="E45" s="24" t="s">
        <v>854</v>
      </c>
      <c r="F45" s="24" t="s">
        <v>887</v>
      </c>
      <c r="G45" s="24" t="s">
        <v>1750</v>
      </c>
      <c r="H45" s="24" t="n">
        <v>30.933</v>
      </c>
      <c r="I45" s="24" t="n">
        <v>75.867</v>
      </c>
      <c r="J45" s="24" t="s">
        <v>891</v>
      </c>
      <c r="K45" s="24" t="s">
        <v>1773</v>
      </c>
      <c r="L45" s="24" t="s">
        <v>842</v>
      </c>
      <c r="M45" s="24" t="s">
        <v>978</v>
      </c>
      <c r="N45" s="24" t="s">
        <v>86</v>
      </c>
      <c r="O45" s="24" t="s">
        <v>1720</v>
      </c>
      <c r="P45" s="24"/>
      <c r="Q45" s="24" t="n">
        <f aca="false">ROUND((1-BD!Q45/2.65)*100,2)</f>
        <v>50.57</v>
      </c>
      <c r="R45" s="24" t="n">
        <f aca="false">ROUND((1-BD!R45/2.65)*100,2)</f>
        <v>52.08</v>
      </c>
      <c r="S45" s="24"/>
      <c r="T45" s="24"/>
      <c r="U45" s="24" t="n">
        <f aca="false">ROUND((1-BD!U45/2.65)*100,2)</f>
        <v>49.43</v>
      </c>
      <c r="V45" s="24"/>
      <c r="W45" s="24"/>
      <c r="X45" s="24"/>
      <c r="Y45" s="24"/>
      <c r="Z45" s="24"/>
      <c r="AA45" s="24"/>
      <c r="AB45" s="24" t="n">
        <v>6</v>
      </c>
      <c r="AC45" s="24" t="n">
        <v>3</v>
      </c>
      <c r="AD45" s="24" t="n">
        <f aca="false">IF(AND(N(AB45)&gt;0,N(AC45)&gt;0),SQRT(2*AB45/AC45),"")</f>
        <v>2</v>
      </c>
      <c r="AE45" s="24" t="n">
        <v>12</v>
      </c>
      <c r="AF45" s="24"/>
      <c r="AG45" s="24"/>
      <c r="AH45" s="24"/>
      <c r="AI45" s="24" t="n">
        <v>30.933</v>
      </c>
      <c r="AJ45" s="24" t="n">
        <v>3</v>
      </c>
      <c r="AK45" s="24"/>
      <c r="AL45" s="24"/>
      <c r="AM45" s="24"/>
      <c r="AN45" s="24" t="n">
        <v>3.3</v>
      </c>
      <c r="AO45" s="24"/>
      <c r="AP45" s="24" t="n">
        <v>71</v>
      </c>
      <c r="AQ45" s="24" t="n">
        <v>17</v>
      </c>
      <c r="AR45" s="24" t="s">
        <v>763</v>
      </c>
      <c r="AS45" s="24" t="s">
        <v>1751</v>
      </c>
      <c r="AT45" s="24" t="s">
        <v>1774</v>
      </c>
      <c r="AU45" s="24" t="s">
        <v>1753</v>
      </c>
      <c r="AV45" s="24" t="s">
        <v>1840</v>
      </c>
      <c r="AW45" s="25" t="s">
        <v>1842</v>
      </c>
      <c r="AX45" s="24" t="s">
        <v>984</v>
      </c>
      <c r="AY45" s="24" t="s">
        <v>1815</v>
      </c>
    </row>
    <row r="46" customFormat="false" ht="14.25" hidden="false" customHeight="false" outlineLevel="0" collapsed="false">
      <c r="A46" s="24" t="n">
        <v>170</v>
      </c>
      <c r="B46" s="24" t="n">
        <v>170</v>
      </c>
      <c r="C46" s="24" t="s">
        <v>971</v>
      </c>
      <c r="D46" s="24" t="n">
        <v>2003</v>
      </c>
      <c r="E46" s="24" t="s">
        <v>854</v>
      </c>
      <c r="F46" s="24" t="s">
        <v>887</v>
      </c>
      <c r="G46" s="24" t="s">
        <v>1750</v>
      </c>
      <c r="H46" s="24" t="n">
        <v>30.933</v>
      </c>
      <c r="I46" s="24" t="n">
        <v>75.867</v>
      </c>
      <c r="J46" s="24" t="s">
        <v>891</v>
      </c>
      <c r="K46" s="24" t="s">
        <v>1773</v>
      </c>
      <c r="L46" s="24" t="s">
        <v>842</v>
      </c>
      <c r="M46" s="24" t="s">
        <v>978</v>
      </c>
      <c r="N46" s="24" t="s">
        <v>86</v>
      </c>
      <c r="O46" s="24" t="s">
        <v>1757</v>
      </c>
      <c r="P46" s="24"/>
      <c r="Q46" s="24" t="n">
        <f aca="false">ROUND((1-BD!Q46/2.65)*100,2)</f>
        <v>46.15</v>
      </c>
      <c r="R46" s="24" t="n">
        <f aca="false">ROUND((1-BD!R46/2.65)*100,2)</f>
        <v>46.42</v>
      </c>
      <c r="S46" s="24"/>
      <c r="T46" s="24"/>
      <c r="U46" s="24" t="n">
        <f aca="false">ROUND((1-BD!U46/2.65)*100,2)</f>
        <v>46.15</v>
      </c>
      <c r="V46" s="24"/>
      <c r="W46" s="24"/>
      <c r="X46" s="24"/>
      <c r="Y46" s="24"/>
      <c r="Z46" s="24"/>
      <c r="AA46" s="24"/>
      <c r="AB46" s="24" t="n">
        <v>6</v>
      </c>
      <c r="AC46" s="24" t="n">
        <v>3</v>
      </c>
      <c r="AD46" s="24" t="n">
        <f aca="false">IF(AND(N(AB46)&gt;0,N(AC46)&gt;0),SQRT(2*AB46/AC46),"")</f>
        <v>2</v>
      </c>
      <c r="AE46" s="24" t="n">
        <v>12</v>
      </c>
      <c r="AF46" s="24"/>
      <c r="AG46" s="24"/>
      <c r="AH46" s="24"/>
      <c r="AI46" s="24" t="n">
        <v>30.933</v>
      </c>
      <c r="AJ46" s="24" t="n">
        <v>3</v>
      </c>
      <c r="AK46" s="24"/>
      <c r="AL46" s="24"/>
      <c r="AM46" s="24"/>
      <c r="AN46" s="24" t="n">
        <v>3.3</v>
      </c>
      <c r="AO46" s="24"/>
      <c r="AP46" s="24" t="n">
        <v>71</v>
      </c>
      <c r="AQ46" s="24" t="n">
        <v>17</v>
      </c>
      <c r="AR46" s="24" t="s">
        <v>763</v>
      </c>
      <c r="AS46" s="24" t="s">
        <v>1751</v>
      </c>
      <c r="AT46" s="24" t="s">
        <v>1774</v>
      </c>
      <c r="AU46" s="24" t="s">
        <v>1753</v>
      </c>
      <c r="AV46" s="24" t="s">
        <v>1840</v>
      </c>
      <c r="AW46" s="25" t="s">
        <v>1842</v>
      </c>
      <c r="AX46" s="24" t="s">
        <v>984</v>
      </c>
      <c r="AY46" s="24" t="s">
        <v>1815</v>
      </c>
    </row>
    <row r="47" customFormat="false" ht="14.25" hidden="false" customHeight="false" outlineLevel="0" collapsed="false">
      <c r="A47" s="24" t="n">
        <v>170</v>
      </c>
      <c r="B47" s="24" t="n">
        <v>170</v>
      </c>
      <c r="C47" s="24" t="s">
        <v>971</v>
      </c>
      <c r="D47" s="24" t="n">
        <v>2003</v>
      </c>
      <c r="E47" s="24" t="s">
        <v>854</v>
      </c>
      <c r="F47" s="24" t="s">
        <v>887</v>
      </c>
      <c r="G47" s="24" t="s">
        <v>1750</v>
      </c>
      <c r="H47" s="24" t="n">
        <v>30.933</v>
      </c>
      <c r="I47" s="24" t="n">
        <v>75.867</v>
      </c>
      <c r="J47" s="24" t="s">
        <v>891</v>
      </c>
      <c r="K47" s="24" t="s">
        <v>1773</v>
      </c>
      <c r="L47" s="24" t="s">
        <v>842</v>
      </c>
      <c r="M47" s="24" t="s">
        <v>978</v>
      </c>
      <c r="N47" s="24" t="s">
        <v>86</v>
      </c>
      <c r="O47" s="24" t="s">
        <v>1759</v>
      </c>
      <c r="P47" s="24"/>
      <c r="Q47" s="24" t="n">
        <f aca="false">ROUND((1-BD!Q47/2.65)*100,2)</f>
        <v>41.13</v>
      </c>
      <c r="R47" s="24" t="n">
        <f aca="false">ROUND((1-BD!R47/2.65)*100,2)</f>
        <v>43.77</v>
      </c>
      <c r="S47" s="24"/>
      <c r="T47" s="24"/>
      <c r="U47" s="24" t="n">
        <f aca="false">ROUND((1-BD!U47/2.65)*100,2)</f>
        <v>41.89</v>
      </c>
      <c r="V47" s="24"/>
      <c r="W47" s="24"/>
      <c r="X47" s="24"/>
      <c r="Y47" s="24"/>
      <c r="Z47" s="24"/>
      <c r="AA47" s="24"/>
      <c r="AB47" s="24" t="n">
        <v>6</v>
      </c>
      <c r="AC47" s="24" t="n">
        <v>3</v>
      </c>
      <c r="AD47" s="24" t="n">
        <f aca="false">IF(AND(N(AB47)&gt;0,N(AC47)&gt;0),SQRT(2*AB47/AC47),"")</f>
        <v>2</v>
      </c>
      <c r="AE47" s="24" t="n">
        <v>12</v>
      </c>
      <c r="AF47" s="24"/>
      <c r="AG47" s="24"/>
      <c r="AH47" s="24"/>
      <c r="AI47" s="24" t="n">
        <v>30.933</v>
      </c>
      <c r="AJ47" s="24" t="n">
        <v>3</v>
      </c>
      <c r="AK47" s="24"/>
      <c r="AL47" s="24"/>
      <c r="AM47" s="24"/>
      <c r="AN47" s="24" t="n">
        <v>3.3</v>
      </c>
      <c r="AO47" s="24"/>
      <c r="AP47" s="24" t="n">
        <v>71</v>
      </c>
      <c r="AQ47" s="24" t="n">
        <v>17</v>
      </c>
      <c r="AR47" s="24" t="s">
        <v>763</v>
      </c>
      <c r="AS47" s="24" t="s">
        <v>1751</v>
      </c>
      <c r="AT47" s="24" t="s">
        <v>1774</v>
      </c>
      <c r="AU47" s="24" t="s">
        <v>1753</v>
      </c>
      <c r="AV47" s="24" t="s">
        <v>1840</v>
      </c>
      <c r="AW47" s="25" t="s">
        <v>1842</v>
      </c>
      <c r="AX47" s="24" t="s">
        <v>984</v>
      </c>
      <c r="AY47" s="24" t="s">
        <v>1815</v>
      </c>
    </row>
    <row r="48" customFormat="false" ht="14.25" hidden="false" customHeight="false" outlineLevel="0" collapsed="false">
      <c r="A48" s="24" t="n">
        <v>170</v>
      </c>
      <c r="B48" s="24" t="n">
        <v>170</v>
      </c>
      <c r="C48" s="24" t="s">
        <v>971</v>
      </c>
      <c r="D48" s="24" t="n">
        <v>2003</v>
      </c>
      <c r="E48" s="24" t="s">
        <v>854</v>
      </c>
      <c r="F48" s="24" t="s">
        <v>887</v>
      </c>
      <c r="G48" s="24" t="s">
        <v>1750</v>
      </c>
      <c r="H48" s="24" t="n">
        <v>30.933</v>
      </c>
      <c r="I48" s="24" t="n">
        <v>75.867</v>
      </c>
      <c r="J48" s="24" t="s">
        <v>891</v>
      </c>
      <c r="K48" s="24" t="s">
        <v>1773</v>
      </c>
      <c r="L48" s="24" t="s">
        <v>842</v>
      </c>
      <c r="M48" s="24" t="s">
        <v>978</v>
      </c>
      <c r="N48" s="24" t="s">
        <v>86</v>
      </c>
      <c r="O48" s="24" t="s">
        <v>1761</v>
      </c>
      <c r="P48" s="24"/>
      <c r="Q48" s="24" t="n">
        <f aca="false">ROUND((1-BD!Q48/2.65)*100,2)</f>
        <v>40.72</v>
      </c>
      <c r="R48" s="24" t="n">
        <f aca="false">ROUND((1-BD!R48/2.65)*100,2)</f>
        <v>42.26</v>
      </c>
      <c r="S48" s="24"/>
      <c r="T48" s="24"/>
      <c r="U48" s="24" t="n">
        <f aca="false">ROUND((1-BD!U48/2.65)*100,2)</f>
        <v>41.51</v>
      </c>
      <c r="V48" s="24"/>
      <c r="W48" s="24"/>
      <c r="X48" s="24"/>
      <c r="Y48" s="24"/>
      <c r="Z48" s="24"/>
      <c r="AA48" s="24"/>
      <c r="AB48" s="24" t="n">
        <v>6</v>
      </c>
      <c r="AC48" s="24" t="n">
        <v>3</v>
      </c>
      <c r="AD48" s="24" t="n">
        <f aca="false">IF(AND(N(AB48)&gt;0,N(AC48)&gt;0),SQRT(2*AB48/AC48),"")</f>
        <v>2</v>
      </c>
      <c r="AE48" s="24" t="n">
        <v>12</v>
      </c>
      <c r="AF48" s="24"/>
      <c r="AG48" s="24"/>
      <c r="AH48" s="24"/>
      <c r="AI48" s="24" t="n">
        <v>30.933</v>
      </c>
      <c r="AJ48" s="24" t="n">
        <v>3</v>
      </c>
      <c r="AK48" s="24"/>
      <c r="AL48" s="24"/>
      <c r="AM48" s="24"/>
      <c r="AN48" s="24" t="n">
        <v>3.3</v>
      </c>
      <c r="AO48" s="24"/>
      <c r="AP48" s="24" t="n">
        <v>71</v>
      </c>
      <c r="AQ48" s="24" t="n">
        <v>17</v>
      </c>
      <c r="AR48" s="24" t="s">
        <v>763</v>
      </c>
      <c r="AS48" s="24" t="s">
        <v>1751</v>
      </c>
      <c r="AT48" s="24" t="s">
        <v>1774</v>
      </c>
      <c r="AU48" s="24" t="s">
        <v>1753</v>
      </c>
      <c r="AV48" s="24" t="s">
        <v>1840</v>
      </c>
      <c r="AW48" s="25" t="s">
        <v>1842</v>
      </c>
      <c r="AX48" s="24" t="s">
        <v>984</v>
      </c>
      <c r="AY48" s="24" t="s">
        <v>1815</v>
      </c>
    </row>
    <row r="49" customFormat="false" ht="14.25" hidden="false" customHeight="false" outlineLevel="0" collapsed="false">
      <c r="A49" s="24" t="n">
        <v>170</v>
      </c>
      <c r="B49" s="24" t="n">
        <v>170</v>
      </c>
      <c r="C49" s="24" t="s">
        <v>971</v>
      </c>
      <c r="D49" s="24" t="n">
        <v>2003</v>
      </c>
      <c r="E49" s="24" t="s">
        <v>854</v>
      </c>
      <c r="F49" s="24" t="s">
        <v>887</v>
      </c>
      <c r="G49" s="24" t="s">
        <v>1750</v>
      </c>
      <c r="H49" s="24" t="n">
        <v>30.933</v>
      </c>
      <c r="I49" s="24" t="n">
        <v>75.867</v>
      </c>
      <c r="J49" s="24" t="s">
        <v>891</v>
      </c>
      <c r="K49" s="24" t="s">
        <v>1773</v>
      </c>
      <c r="L49" s="24" t="s">
        <v>842</v>
      </c>
      <c r="M49" s="24" t="s">
        <v>978</v>
      </c>
      <c r="N49" s="24" t="s">
        <v>1673</v>
      </c>
      <c r="O49" s="24" t="s">
        <v>1763</v>
      </c>
      <c r="P49" s="24"/>
      <c r="Q49" s="24" t="n">
        <f aca="false">ROUND((1-BD!Q49/2.65)*100,2)</f>
        <v>33.55</v>
      </c>
      <c r="R49" s="24" t="n">
        <f aca="false">ROUND((1-BD!R49/2.65)*100,2)</f>
        <v>41.89</v>
      </c>
      <c r="S49" s="24"/>
      <c r="T49" s="24"/>
      <c r="U49" s="24" t="n">
        <f aca="false">ROUND((1-BD!U49/2.65)*100,2)</f>
        <v>41.89</v>
      </c>
      <c r="V49" s="24"/>
      <c r="W49" s="24"/>
      <c r="X49" s="24"/>
      <c r="Y49" s="24"/>
      <c r="Z49" s="24"/>
      <c r="AA49" s="24"/>
      <c r="AB49" s="24" t="n">
        <v>5</v>
      </c>
      <c r="AC49" s="24" t="n">
        <v>3</v>
      </c>
      <c r="AD49" s="24" t="n">
        <f aca="false">IF(AND(N(AB49)&gt;0,N(AC49)&gt;0),SQRT(2*AB49/AC49),"")</f>
        <v>1.82574185835055</v>
      </c>
      <c r="AE49" s="24" t="n">
        <v>12</v>
      </c>
      <c r="AF49" s="24"/>
      <c r="AG49" s="24"/>
      <c r="AH49" s="24"/>
      <c r="AI49" s="24" t="n">
        <v>30.933</v>
      </c>
      <c r="AJ49" s="24" t="n">
        <v>3</v>
      </c>
      <c r="AK49" s="24"/>
      <c r="AL49" s="24"/>
      <c r="AM49" s="24"/>
      <c r="AN49" s="24" t="n">
        <v>3.3</v>
      </c>
      <c r="AO49" s="24"/>
      <c r="AP49" s="24" t="n">
        <v>71</v>
      </c>
      <c r="AQ49" s="24" t="n">
        <v>17</v>
      </c>
      <c r="AR49" s="24" t="s">
        <v>763</v>
      </c>
      <c r="AS49" s="24" t="s">
        <v>1751</v>
      </c>
      <c r="AT49" s="24" t="s">
        <v>1774</v>
      </c>
      <c r="AU49" s="24" t="s">
        <v>1753</v>
      </c>
      <c r="AV49" s="24" t="s">
        <v>1840</v>
      </c>
      <c r="AW49" s="25" t="s">
        <v>1842</v>
      </c>
      <c r="AX49" s="24" t="s">
        <v>984</v>
      </c>
      <c r="AY49" s="24" t="s">
        <v>1815</v>
      </c>
    </row>
    <row r="50" customFormat="false" ht="14.25" hidden="false" customHeight="false" outlineLevel="0" collapsed="false">
      <c r="A50" s="24" t="n">
        <v>170</v>
      </c>
      <c r="B50" s="24" t="n">
        <v>170</v>
      </c>
      <c r="C50" s="24" t="s">
        <v>971</v>
      </c>
      <c r="D50" s="24" t="n">
        <v>2003</v>
      </c>
      <c r="E50" s="24" t="s">
        <v>854</v>
      </c>
      <c r="F50" s="24" t="s">
        <v>887</v>
      </c>
      <c r="G50" s="24" t="s">
        <v>1750</v>
      </c>
      <c r="H50" s="24" t="n">
        <v>30.933</v>
      </c>
      <c r="I50" s="24" t="n">
        <v>75.867</v>
      </c>
      <c r="J50" s="24" t="s">
        <v>891</v>
      </c>
      <c r="K50" s="24" t="s">
        <v>1773</v>
      </c>
      <c r="L50" s="24" t="s">
        <v>842</v>
      </c>
      <c r="M50" s="24" t="s">
        <v>978</v>
      </c>
      <c r="N50" s="24" t="s">
        <v>1673</v>
      </c>
      <c r="O50" s="24" t="s">
        <v>1765</v>
      </c>
      <c r="P50" s="24"/>
      <c r="Q50" s="24" t="n">
        <f aca="false">ROUND((1-BD!Q50/2.65)*100,2)</f>
        <v>33.92</v>
      </c>
      <c r="R50" s="24" t="n">
        <f aca="false">ROUND((1-BD!R50/2.65)*100,2)</f>
        <v>41.51</v>
      </c>
      <c r="S50" s="24"/>
      <c r="T50" s="24"/>
      <c r="U50" s="24" t="n">
        <f aca="false">ROUND((1-BD!U50/2.65)*100,2)</f>
        <v>41.51</v>
      </c>
      <c r="V50" s="24"/>
      <c r="W50" s="24"/>
      <c r="X50" s="24"/>
      <c r="Y50" s="24"/>
      <c r="Z50" s="24"/>
      <c r="AA50" s="24"/>
      <c r="AB50" s="24" t="n">
        <v>5</v>
      </c>
      <c r="AC50" s="24" t="n">
        <v>3</v>
      </c>
      <c r="AD50" s="24" t="n">
        <f aca="false">IF(AND(N(AB50)&gt;0,N(AC50)&gt;0),SQRT(2*AB50/AC50),"")</f>
        <v>1.82574185835055</v>
      </c>
      <c r="AE50" s="24" t="n">
        <v>12</v>
      </c>
      <c r="AF50" s="24"/>
      <c r="AG50" s="24"/>
      <c r="AH50" s="24"/>
      <c r="AI50" s="24" t="n">
        <v>30.933</v>
      </c>
      <c r="AJ50" s="24" t="n">
        <v>3</v>
      </c>
      <c r="AK50" s="24"/>
      <c r="AL50" s="24"/>
      <c r="AM50" s="24"/>
      <c r="AN50" s="24" t="n">
        <v>3.3</v>
      </c>
      <c r="AO50" s="24"/>
      <c r="AP50" s="24" t="n">
        <v>71</v>
      </c>
      <c r="AQ50" s="24" t="n">
        <v>17</v>
      </c>
      <c r="AR50" s="24" t="s">
        <v>763</v>
      </c>
      <c r="AS50" s="24" t="s">
        <v>1751</v>
      </c>
      <c r="AT50" s="24" t="s">
        <v>1774</v>
      </c>
      <c r="AU50" s="24" t="s">
        <v>1753</v>
      </c>
      <c r="AV50" s="24" t="s">
        <v>1840</v>
      </c>
      <c r="AW50" s="25" t="s">
        <v>1842</v>
      </c>
      <c r="AX50" s="24" t="s">
        <v>984</v>
      </c>
      <c r="AY50" s="24" t="s">
        <v>1815</v>
      </c>
    </row>
    <row r="51" customFormat="false" ht="14.25" hidden="false" customHeight="false" outlineLevel="0" collapsed="false">
      <c r="A51" s="24" t="n">
        <v>170</v>
      </c>
      <c r="B51" s="24" t="n">
        <v>170</v>
      </c>
      <c r="C51" s="24" t="s">
        <v>971</v>
      </c>
      <c r="D51" s="24" t="n">
        <v>2003</v>
      </c>
      <c r="E51" s="24" t="s">
        <v>854</v>
      </c>
      <c r="F51" s="24" t="s">
        <v>887</v>
      </c>
      <c r="G51" s="24" t="s">
        <v>1750</v>
      </c>
      <c r="H51" s="24" t="n">
        <v>30.933</v>
      </c>
      <c r="I51" s="24" t="n">
        <v>75.867</v>
      </c>
      <c r="J51" s="24" t="s">
        <v>891</v>
      </c>
      <c r="K51" s="24" t="s">
        <v>1773</v>
      </c>
      <c r="L51" s="24" t="s">
        <v>842</v>
      </c>
      <c r="M51" s="24" t="s">
        <v>978</v>
      </c>
      <c r="N51" s="24" t="s">
        <v>1673</v>
      </c>
      <c r="O51" s="24" t="s">
        <v>1767</v>
      </c>
      <c r="P51" s="24"/>
      <c r="Q51" s="24" t="n">
        <f aca="false">ROUND((1-BD!Q51/2.65)*100,2)</f>
        <v>34.68</v>
      </c>
      <c r="R51" s="24" t="n">
        <f aca="false">ROUND((1-BD!R51/2.65)*100,2)</f>
        <v>42.64</v>
      </c>
      <c r="S51" s="24"/>
      <c r="T51" s="24"/>
      <c r="U51" s="24" t="n">
        <f aca="false">ROUND((1-BD!U51/2.65)*100,2)</f>
        <v>40.75</v>
      </c>
      <c r="V51" s="24"/>
      <c r="W51" s="24"/>
      <c r="X51" s="24"/>
      <c r="Y51" s="24"/>
      <c r="Z51" s="24"/>
      <c r="AA51" s="24"/>
      <c r="AB51" s="24" t="n">
        <v>5</v>
      </c>
      <c r="AC51" s="24" t="n">
        <v>3</v>
      </c>
      <c r="AD51" s="24" t="n">
        <f aca="false">IF(AND(N(AB51)&gt;0,N(AC51)&gt;0),SQRT(2*AB51/AC51),"")</f>
        <v>1.82574185835055</v>
      </c>
      <c r="AE51" s="24" t="n">
        <v>12</v>
      </c>
      <c r="AF51" s="24"/>
      <c r="AG51" s="24"/>
      <c r="AH51" s="24"/>
      <c r="AI51" s="24" t="n">
        <v>30.933</v>
      </c>
      <c r="AJ51" s="24" t="n">
        <v>3</v>
      </c>
      <c r="AK51" s="24"/>
      <c r="AL51" s="24"/>
      <c r="AM51" s="24"/>
      <c r="AN51" s="24" t="n">
        <v>3.3</v>
      </c>
      <c r="AO51" s="24"/>
      <c r="AP51" s="24" t="n">
        <v>71</v>
      </c>
      <c r="AQ51" s="24" t="n">
        <v>17</v>
      </c>
      <c r="AR51" s="24" t="s">
        <v>763</v>
      </c>
      <c r="AS51" s="24" t="s">
        <v>1751</v>
      </c>
      <c r="AT51" s="24" t="s">
        <v>1774</v>
      </c>
      <c r="AU51" s="24" t="s">
        <v>1753</v>
      </c>
      <c r="AV51" s="24" t="s">
        <v>1840</v>
      </c>
      <c r="AW51" s="25" t="s">
        <v>1842</v>
      </c>
      <c r="AX51" s="24" t="s">
        <v>984</v>
      </c>
      <c r="AY51" s="24" t="s">
        <v>1815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1843</v>
      </c>
      <c r="Q1" s="27" t="s">
        <v>1844</v>
      </c>
      <c r="R1" s="27" t="s">
        <v>1845</v>
      </c>
      <c r="S1" s="27" t="s">
        <v>1846</v>
      </c>
      <c r="T1" s="27" t="s">
        <v>1847</v>
      </c>
      <c r="U1" s="27" t="s">
        <v>1848</v>
      </c>
      <c r="V1" s="27" t="s">
        <v>1849</v>
      </c>
      <c r="W1" s="27" t="s">
        <v>1850</v>
      </c>
      <c r="X1" s="30" t="s">
        <v>1851</v>
      </c>
      <c r="Y1" s="30" t="s">
        <v>1852</v>
      </c>
      <c r="Z1" s="30" t="s">
        <v>1853</v>
      </c>
      <c r="AA1" s="30" t="s">
        <v>1854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763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1855</v>
      </c>
      <c r="Q1" s="27" t="s">
        <v>1856</v>
      </c>
      <c r="R1" s="27" t="s">
        <v>1857</v>
      </c>
      <c r="S1" s="27" t="s">
        <v>1858</v>
      </c>
      <c r="T1" s="27" t="s">
        <v>1859</v>
      </c>
      <c r="U1" s="27" t="s">
        <v>1860</v>
      </c>
      <c r="V1" s="27" t="s">
        <v>1861</v>
      </c>
      <c r="W1" s="27" t="s">
        <v>1862</v>
      </c>
      <c r="X1" s="30" t="s">
        <v>1863</v>
      </c>
      <c r="Y1" s="30" t="s">
        <v>1864</v>
      </c>
      <c r="Z1" s="30" t="s">
        <v>1865</v>
      </c>
      <c r="AA1" s="30" t="s">
        <v>1866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763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1867</v>
      </c>
      <c r="Q1" s="27" t="s">
        <v>1868</v>
      </c>
      <c r="R1" s="27" t="s">
        <v>1869</v>
      </c>
      <c r="S1" s="27" t="s">
        <v>1870</v>
      </c>
      <c r="T1" s="27" t="s">
        <v>1871</v>
      </c>
      <c r="U1" s="27" t="s">
        <v>1872</v>
      </c>
      <c r="V1" s="27" t="s">
        <v>1873</v>
      </c>
      <c r="W1" s="27" t="s">
        <v>1874</v>
      </c>
      <c r="X1" s="30" t="s">
        <v>1875</v>
      </c>
      <c r="Y1" s="30" t="s">
        <v>1876</v>
      </c>
      <c r="Z1" s="30" t="s">
        <v>1877</v>
      </c>
      <c r="AA1" s="30" t="s">
        <v>1878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763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1879</v>
      </c>
      <c r="Q1" s="27" t="s">
        <v>1880</v>
      </c>
      <c r="R1" s="27" t="s">
        <v>1881</v>
      </c>
      <c r="S1" s="27" t="s">
        <v>1882</v>
      </c>
      <c r="T1" s="27" t="s">
        <v>1883</v>
      </c>
      <c r="U1" s="27" t="s">
        <v>1884</v>
      </c>
      <c r="V1" s="27" t="s">
        <v>1885</v>
      </c>
      <c r="W1" s="27" t="s">
        <v>1886</v>
      </c>
      <c r="X1" s="30" t="s">
        <v>1887</v>
      </c>
      <c r="Y1" s="30" t="s">
        <v>1888</v>
      </c>
      <c r="Z1" s="30" t="s">
        <v>1889</v>
      </c>
      <c r="AA1" s="30" t="s">
        <v>1890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1082</v>
      </c>
      <c r="AS2" s="18" t="s">
        <v>1667</v>
      </c>
      <c r="AT2" s="18" t="s">
        <v>1668</v>
      </c>
      <c r="AU2" s="18" t="s">
        <v>1669</v>
      </c>
      <c r="AV2" s="18" t="s">
        <v>1702</v>
      </c>
      <c r="AW2" s="32" t="s">
        <v>1891</v>
      </c>
      <c r="AX2" s="18" t="s">
        <v>898</v>
      </c>
      <c r="AY2" s="18" t="s">
        <v>1892</v>
      </c>
      <c r="BA2" s="33" t="s">
        <v>1082</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1082</v>
      </c>
      <c r="AS3" s="18" t="s">
        <v>1667</v>
      </c>
      <c r="AT3" s="18" t="s">
        <v>1668</v>
      </c>
      <c r="AU3" s="18" t="s">
        <v>1669</v>
      </c>
      <c r="AV3" s="18" t="s">
        <v>1702</v>
      </c>
      <c r="AW3" s="32" t="s">
        <v>1891</v>
      </c>
      <c r="AX3" s="18" t="s">
        <v>898</v>
      </c>
      <c r="AY3" s="18" t="s">
        <v>1892</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1894</v>
      </c>
      <c r="AS4" s="5" t="s">
        <v>1895</v>
      </c>
      <c r="AT4" s="5" t="s">
        <v>1896</v>
      </c>
      <c r="AU4" s="5" t="s">
        <v>1897</v>
      </c>
      <c r="AV4" s="5" t="s">
        <v>1898</v>
      </c>
      <c r="AW4" s="23" t="s">
        <v>1899</v>
      </c>
      <c r="AX4" s="5" t="s">
        <v>869</v>
      </c>
      <c r="AY4" s="5" t="s">
        <v>1900</v>
      </c>
    </row>
    <row r="5" customFormat="false" ht="1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1893</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1901</v>
      </c>
      <c r="AS5" s="5" t="s">
        <v>1895</v>
      </c>
      <c r="AT5" s="5" t="s">
        <v>1896</v>
      </c>
      <c r="AU5" s="5" t="s">
        <v>1897</v>
      </c>
      <c r="AV5" s="5" t="s">
        <v>1902</v>
      </c>
      <c r="AW5" s="23" t="s">
        <v>1903</v>
      </c>
      <c r="AX5" s="5" t="s">
        <v>869</v>
      </c>
      <c r="AY5" s="5" t="s">
        <v>1904</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86</v>
      </c>
      <c r="O6" s="5" t="s">
        <v>1905</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1894</v>
      </c>
      <c r="AS6" s="5" t="s">
        <v>1895</v>
      </c>
      <c r="AT6" s="5" t="s">
        <v>1896</v>
      </c>
      <c r="AU6" s="5" t="s">
        <v>1897</v>
      </c>
      <c r="AV6" s="5" t="s">
        <v>1898</v>
      </c>
      <c r="AW6" s="23" t="s">
        <v>1899</v>
      </c>
      <c r="AX6" s="5" t="s">
        <v>869</v>
      </c>
      <c r="AY6" s="5" t="s">
        <v>1900</v>
      </c>
    </row>
    <row r="7" customFormat="false" ht="15" hidden="false" customHeight="true" outlineLevel="0" collapsed="false">
      <c r="A7" s="5" t="n">
        <v>166</v>
      </c>
      <c r="B7" s="5" t="n">
        <v>166</v>
      </c>
      <c r="C7" s="5" t="s">
        <v>853</v>
      </c>
      <c r="D7" s="5" t="n">
        <v>2014</v>
      </c>
      <c r="E7" s="5" t="s">
        <v>854</v>
      </c>
      <c r="F7" s="5" t="s">
        <v>857</v>
      </c>
      <c r="G7" s="5" t="s">
        <v>858</v>
      </c>
      <c r="H7" s="5" t="n">
        <v>29.067</v>
      </c>
      <c r="I7" s="5" t="n">
        <v>77.767</v>
      </c>
      <c r="J7" s="5" t="s">
        <v>83</v>
      </c>
      <c r="K7" s="5" t="n">
        <v>2011</v>
      </c>
      <c r="L7" s="5" t="s">
        <v>823</v>
      </c>
      <c r="M7" s="5" t="s">
        <v>85</v>
      </c>
      <c r="N7" s="5" t="s">
        <v>86</v>
      </c>
      <c r="O7" s="5" t="s">
        <v>1905</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1901</v>
      </c>
      <c r="AS7" s="5" t="s">
        <v>1895</v>
      </c>
      <c r="AT7" s="5" t="s">
        <v>1896</v>
      </c>
      <c r="AU7" s="5" t="s">
        <v>1897</v>
      </c>
      <c r="AV7" s="5" t="s">
        <v>1902</v>
      </c>
      <c r="AW7" s="23" t="s">
        <v>1903</v>
      </c>
      <c r="AX7" s="5" t="s">
        <v>869</v>
      </c>
      <c r="AY7" s="5" t="s">
        <v>1904</v>
      </c>
    </row>
    <row r="8" customFormat="false" ht="15" hidden="false" customHeight="true" outlineLevel="0" collapsed="false">
      <c r="A8" s="5" t="n">
        <v>166</v>
      </c>
      <c r="B8" s="5" t="n">
        <v>166</v>
      </c>
      <c r="C8" s="5" t="s">
        <v>853</v>
      </c>
      <c r="D8" s="5" t="n">
        <v>2014</v>
      </c>
      <c r="E8" s="5" t="s">
        <v>854</v>
      </c>
      <c r="F8" s="5" t="s">
        <v>857</v>
      </c>
      <c r="G8" s="5" t="s">
        <v>858</v>
      </c>
      <c r="H8" s="5" t="n">
        <v>29.067</v>
      </c>
      <c r="I8" s="5" t="n">
        <v>77.767</v>
      </c>
      <c r="J8" s="5" t="s">
        <v>83</v>
      </c>
      <c r="K8" s="5" t="n">
        <v>2011</v>
      </c>
      <c r="L8" s="5" t="s">
        <v>823</v>
      </c>
      <c r="M8" s="5" t="s">
        <v>85</v>
      </c>
      <c r="N8" s="5" t="s">
        <v>1673</v>
      </c>
      <c r="O8" s="5" t="s">
        <v>1674</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1894</v>
      </c>
      <c r="AS8" s="5" t="s">
        <v>1895</v>
      </c>
      <c r="AT8" s="5" t="s">
        <v>1896</v>
      </c>
      <c r="AU8" s="5" t="s">
        <v>1897</v>
      </c>
      <c r="AV8" s="5" t="s">
        <v>1898</v>
      </c>
      <c r="AW8" s="23" t="s">
        <v>1906</v>
      </c>
      <c r="AX8" s="5" t="s">
        <v>869</v>
      </c>
      <c r="AY8" s="5" t="s">
        <v>1900</v>
      </c>
    </row>
    <row r="9" customFormat="false" ht="15" hidden="false" customHeight="true" outlineLevel="0" collapsed="false">
      <c r="A9" s="5" t="n">
        <v>166</v>
      </c>
      <c r="B9" s="5" t="n">
        <v>166</v>
      </c>
      <c r="C9" s="5" t="s">
        <v>853</v>
      </c>
      <c r="D9" s="5" t="n">
        <v>2014</v>
      </c>
      <c r="E9" s="5" t="s">
        <v>854</v>
      </c>
      <c r="F9" s="5" t="s">
        <v>857</v>
      </c>
      <c r="G9" s="5" t="s">
        <v>858</v>
      </c>
      <c r="H9" s="5" t="n">
        <v>29.067</v>
      </c>
      <c r="I9" s="5" t="n">
        <v>77.767</v>
      </c>
      <c r="J9" s="5" t="s">
        <v>83</v>
      </c>
      <c r="K9" s="5" t="n">
        <v>2011</v>
      </c>
      <c r="L9" s="5" t="s">
        <v>823</v>
      </c>
      <c r="M9" s="5" t="s">
        <v>85</v>
      </c>
      <c r="N9" s="5" t="s">
        <v>1673</v>
      </c>
      <c r="O9" s="5" t="s">
        <v>1674</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1901</v>
      </c>
      <c r="AS9" s="5" t="s">
        <v>1895</v>
      </c>
      <c r="AT9" s="5" t="s">
        <v>1896</v>
      </c>
      <c r="AU9" s="5" t="s">
        <v>1897</v>
      </c>
      <c r="AV9" s="5" t="s">
        <v>1902</v>
      </c>
      <c r="AW9" s="23" t="s">
        <v>1907</v>
      </c>
      <c r="AX9" s="5" t="s">
        <v>869</v>
      </c>
      <c r="AY9" s="5" t="s">
        <v>1904</v>
      </c>
    </row>
    <row r="10" customFormat="false" ht="15" hidden="false" customHeight="true" outlineLevel="0" collapsed="false">
      <c r="A10" s="5" t="s">
        <v>952</v>
      </c>
      <c r="B10" s="5" t="s">
        <v>952</v>
      </c>
      <c r="C10" s="5" t="s">
        <v>953</v>
      </c>
      <c r="D10" s="5" t="n">
        <v>2023</v>
      </c>
      <c r="E10" s="5" t="s">
        <v>954</v>
      </c>
      <c r="F10" s="5" t="s">
        <v>957</v>
      </c>
      <c r="G10" s="5" t="s">
        <v>958</v>
      </c>
      <c r="H10" s="5" t="n">
        <v>35.27</v>
      </c>
      <c r="I10" s="5" t="n">
        <v>119.38</v>
      </c>
      <c r="J10" s="5" t="s">
        <v>891</v>
      </c>
      <c r="K10" s="5" t="n">
        <v>2020</v>
      </c>
      <c r="L10" s="5" t="s">
        <v>842</v>
      </c>
      <c r="M10" s="5"/>
      <c r="N10" s="5" t="s">
        <v>86</v>
      </c>
      <c r="O10" s="5" t="s">
        <v>1685</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1082</v>
      </c>
      <c r="AS10" s="5" t="s">
        <v>1686</v>
      </c>
      <c r="AT10" s="5" t="s">
        <v>1908</v>
      </c>
      <c r="AU10" s="5" t="s">
        <v>1688</v>
      </c>
      <c r="AV10" s="5" t="s">
        <v>1725</v>
      </c>
      <c r="AW10" s="23" t="s">
        <v>1909</v>
      </c>
      <c r="AX10" s="5" t="s">
        <v>968</v>
      </c>
      <c r="AY10" s="5" t="s">
        <v>1910</v>
      </c>
    </row>
    <row r="11" customFormat="false" ht="15" hidden="false" customHeight="true" outlineLevel="0" collapsed="false">
      <c r="A11" s="5" t="s">
        <v>952</v>
      </c>
      <c r="B11" s="5" t="s">
        <v>952</v>
      </c>
      <c r="C11" s="5" t="s">
        <v>953</v>
      </c>
      <c r="D11" s="5" t="n">
        <v>2023</v>
      </c>
      <c r="E11" s="5" t="s">
        <v>954</v>
      </c>
      <c r="F11" s="5" t="s">
        <v>957</v>
      </c>
      <c r="G11" s="5" t="s">
        <v>958</v>
      </c>
      <c r="H11" s="5" t="n">
        <v>35.27</v>
      </c>
      <c r="I11" s="5" t="n">
        <v>119.38</v>
      </c>
      <c r="J11" s="5" t="s">
        <v>891</v>
      </c>
      <c r="K11" s="5" t="n">
        <v>2020</v>
      </c>
      <c r="L11" s="5" t="s">
        <v>842</v>
      </c>
      <c r="M11" s="5"/>
      <c r="N11" s="5" t="s">
        <v>1673</v>
      </c>
      <c r="O11" s="5" t="s">
        <v>1694</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1082</v>
      </c>
      <c r="AS11" s="5" t="s">
        <v>1686</v>
      </c>
      <c r="AT11" s="5" t="s">
        <v>1908</v>
      </c>
      <c r="AU11" s="5" t="s">
        <v>1688</v>
      </c>
      <c r="AV11" s="5" t="s">
        <v>1725</v>
      </c>
      <c r="AW11" s="23" t="s">
        <v>1911</v>
      </c>
      <c r="AX11" s="5" t="s">
        <v>968</v>
      </c>
      <c r="AY11" s="5" t="s">
        <v>1910</v>
      </c>
    </row>
    <row r="12" customFormat="false" ht="15" hidden="false" customHeight="true" outlineLevel="0" collapsed="false">
      <c r="A12" s="5" t="s">
        <v>952</v>
      </c>
      <c r="B12" s="5" t="s">
        <v>952</v>
      </c>
      <c r="C12" s="5" t="s">
        <v>953</v>
      </c>
      <c r="D12" s="5" t="n">
        <v>2023</v>
      </c>
      <c r="E12" s="5" t="s">
        <v>954</v>
      </c>
      <c r="F12" s="5" t="s">
        <v>957</v>
      </c>
      <c r="G12" s="5" t="s">
        <v>958</v>
      </c>
      <c r="H12" s="5" t="n">
        <v>35.27</v>
      </c>
      <c r="I12" s="5" t="n">
        <v>119.38</v>
      </c>
      <c r="J12" s="5" t="s">
        <v>891</v>
      </c>
      <c r="K12" s="5" t="n">
        <v>2020</v>
      </c>
      <c r="L12" s="5" t="s">
        <v>842</v>
      </c>
      <c r="M12" s="5"/>
      <c r="N12" s="5" t="s">
        <v>1673</v>
      </c>
      <c r="O12" s="5" t="s">
        <v>1696</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1082</v>
      </c>
      <c r="AS12" s="5" t="s">
        <v>1686</v>
      </c>
      <c r="AT12" s="5" t="s">
        <v>1908</v>
      </c>
      <c r="AU12" s="5" t="s">
        <v>1688</v>
      </c>
      <c r="AV12" s="5" t="s">
        <v>1725</v>
      </c>
      <c r="AW12" s="23" t="s">
        <v>1912</v>
      </c>
      <c r="AX12" s="5" t="s">
        <v>968</v>
      </c>
      <c r="AY12" s="5" t="s">
        <v>1910</v>
      </c>
    </row>
    <row r="13" customFormat="false" ht="15" hidden="false" customHeight="true" outlineLevel="0" collapsed="false">
      <c r="A13" s="18" t="s">
        <v>908</v>
      </c>
      <c r="B13" s="18" t="s">
        <v>908</v>
      </c>
      <c r="C13" s="18" t="s">
        <v>909</v>
      </c>
      <c r="D13" s="18" t="n">
        <v>2019</v>
      </c>
      <c r="E13" s="18" t="s">
        <v>854</v>
      </c>
      <c r="F13" s="18" t="s">
        <v>912</v>
      </c>
      <c r="G13" s="18" t="s">
        <v>913</v>
      </c>
      <c r="H13" s="18" t="n">
        <v>29.7</v>
      </c>
      <c r="I13" s="18" t="n">
        <v>76.96</v>
      </c>
      <c r="J13" s="18" t="s">
        <v>83</v>
      </c>
      <c r="K13" s="18" t="n">
        <v>2013</v>
      </c>
      <c r="L13" s="18" t="s">
        <v>84</v>
      </c>
      <c r="M13" s="18" t="s">
        <v>85</v>
      </c>
      <c r="N13" s="18" t="s">
        <v>86</v>
      </c>
      <c r="O13" s="18" t="s">
        <v>1666</v>
      </c>
      <c r="P13" s="18" t="n">
        <v>2.44</v>
      </c>
      <c r="Q13" s="18" t="n">
        <v>1.48</v>
      </c>
      <c r="R13" s="18"/>
      <c r="S13" s="18"/>
      <c r="T13" s="18"/>
      <c r="U13" s="18"/>
      <c r="V13" s="18"/>
      <c r="W13" s="18"/>
      <c r="X13" s="18" t="n">
        <v>2.06</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4</v>
      </c>
      <c r="AK13" s="18"/>
      <c r="AL13" s="18"/>
      <c r="AM13" s="18"/>
      <c r="AN13" s="18"/>
      <c r="AO13" s="18"/>
      <c r="AP13" s="18"/>
      <c r="AQ13" s="18"/>
      <c r="AR13" s="18" t="s">
        <v>1082</v>
      </c>
      <c r="AS13" s="18" t="s">
        <v>1913</v>
      </c>
      <c r="AT13" s="18" t="s">
        <v>1914</v>
      </c>
      <c r="AU13" s="18" t="s">
        <v>1915</v>
      </c>
      <c r="AV13" s="18" t="s">
        <v>91</v>
      </c>
      <c r="AW13" s="32" t="s">
        <v>1916</v>
      </c>
      <c r="AX13" s="18" t="s">
        <v>922</v>
      </c>
      <c r="AY13" s="18" t="s">
        <v>1917</v>
      </c>
    </row>
    <row r="14" customFormat="false" ht="15" hidden="false" customHeight="true" outlineLevel="0" collapsed="false">
      <c r="A14" s="18" t="s">
        <v>908</v>
      </c>
      <c r="B14" s="18" t="s">
        <v>908</v>
      </c>
      <c r="C14" s="18" t="s">
        <v>909</v>
      </c>
      <c r="D14" s="18" t="n">
        <v>2019</v>
      </c>
      <c r="E14" s="18" t="s">
        <v>854</v>
      </c>
      <c r="F14" s="18" t="s">
        <v>912</v>
      </c>
      <c r="G14" s="18" t="s">
        <v>913</v>
      </c>
      <c r="H14" s="18" t="n">
        <v>29.7</v>
      </c>
      <c r="I14" s="18" t="n">
        <v>76.96</v>
      </c>
      <c r="J14" s="18" t="s">
        <v>83</v>
      </c>
      <c r="K14" s="18" t="n">
        <v>2013</v>
      </c>
      <c r="L14" s="18" t="s">
        <v>84</v>
      </c>
      <c r="M14" s="18" t="s">
        <v>85</v>
      </c>
      <c r="N14" s="18" t="s">
        <v>1673</v>
      </c>
      <c r="O14" s="18" t="s">
        <v>1674</v>
      </c>
      <c r="P14" s="18" t="n">
        <v>1.34</v>
      </c>
      <c r="Q14" s="18" t="n">
        <v>1.27</v>
      </c>
      <c r="R14" s="18"/>
      <c r="S14" s="18"/>
      <c r="T14" s="18"/>
      <c r="U14" s="18"/>
      <c r="V14" s="18"/>
      <c r="W14" s="18"/>
      <c r="X14" s="18" t="n">
        <v>1.31</v>
      </c>
      <c r="Y14" s="18"/>
      <c r="Z14" s="18"/>
      <c r="AA14" s="18"/>
      <c r="AB14" s="18" t="n">
        <v>1</v>
      </c>
      <c r="AC14" s="18" t="n">
        <v>3</v>
      </c>
      <c r="AD14" s="18" t="n">
        <f aca="false">IF(AND(N(AB14)&gt;0,N(AC14)&gt;0),SQRT(2*AB14/AC14),"")</f>
        <v>0.816496580927726</v>
      </c>
      <c r="AE14" s="18"/>
      <c r="AF14" s="18" t="n">
        <v>2</v>
      </c>
      <c r="AG14" s="18" t="n">
        <v>42.5</v>
      </c>
      <c r="AH14" s="18" t="n">
        <v>700</v>
      </c>
      <c r="AI14" s="18" t="n">
        <v>29.7</v>
      </c>
      <c r="AJ14" s="18" t="n">
        <v>4</v>
      </c>
      <c r="AK14" s="18"/>
      <c r="AL14" s="18"/>
      <c r="AM14" s="18"/>
      <c r="AN14" s="18"/>
      <c r="AO14" s="18"/>
      <c r="AP14" s="18"/>
      <c r="AQ14" s="18"/>
      <c r="AR14" s="18" t="s">
        <v>1082</v>
      </c>
      <c r="AS14" s="18" t="s">
        <v>1913</v>
      </c>
      <c r="AT14" s="18" t="s">
        <v>1914</v>
      </c>
      <c r="AU14" s="18" t="s">
        <v>1915</v>
      </c>
      <c r="AV14" s="18" t="s">
        <v>91</v>
      </c>
      <c r="AW14" s="32" t="s">
        <v>1918</v>
      </c>
      <c r="AX14" s="18" t="s">
        <v>922</v>
      </c>
      <c r="AY14" s="18" t="s">
        <v>1917</v>
      </c>
    </row>
    <row r="15" customFormat="false" ht="15" hidden="false" customHeight="true" outlineLevel="0" collapsed="false">
      <c r="A15" s="18" t="s">
        <v>908</v>
      </c>
      <c r="B15" s="18" t="s">
        <v>908</v>
      </c>
      <c r="C15" s="18" t="s">
        <v>909</v>
      </c>
      <c r="D15" s="18" t="n">
        <v>2019</v>
      </c>
      <c r="E15" s="18" t="s">
        <v>854</v>
      </c>
      <c r="F15" s="18" t="s">
        <v>912</v>
      </c>
      <c r="G15" s="18" t="s">
        <v>913</v>
      </c>
      <c r="H15" s="18" t="n">
        <v>29.7</v>
      </c>
      <c r="I15" s="18" t="n">
        <v>76.96</v>
      </c>
      <c r="J15" s="18" t="s">
        <v>83</v>
      </c>
      <c r="K15" s="18" t="n">
        <v>2015</v>
      </c>
      <c r="L15" s="18" t="s">
        <v>84</v>
      </c>
      <c r="M15" s="18" t="s">
        <v>85</v>
      </c>
      <c r="N15" s="18" t="s">
        <v>86</v>
      </c>
      <c r="O15" s="18" t="s">
        <v>1666</v>
      </c>
      <c r="P15" s="18" t="n">
        <v>2.65</v>
      </c>
      <c r="Q15" s="18" t="n">
        <v>1.67</v>
      </c>
      <c r="R15" s="18"/>
      <c r="S15" s="18"/>
      <c r="T15" s="18"/>
      <c r="U15" s="18"/>
      <c r="V15" s="18"/>
      <c r="W15" s="18"/>
      <c r="X15" s="18" t="n">
        <v>2.2</v>
      </c>
      <c r="Y15" s="18"/>
      <c r="Z15" s="18"/>
      <c r="AA15" s="18"/>
      <c r="AB15" s="18" t="n">
        <v>1</v>
      </c>
      <c r="AC15" s="18" t="n">
        <v>3</v>
      </c>
      <c r="AD15" s="18" t="n">
        <f aca="false">IF(AND(N(AB15)&gt;0,N(AC15)&gt;0),SQRT(2*AB15/AC15),"")</f>
        <v>0.816496580927726</v>
      </c>
      <c r="AE15" s="18"/>
      <c r="AF15" s="18" t="n">
        <v>2</v>
      </c>
      <c r="AG15" s="18" t="n">
        <v>42.5</v>
      </c>
      <c r="AH15" s="18" t="n">
        <v>700</v>
      </c>
      <c r="AI15" s="18" t="n">
        <v>29.7</v>
      </c>
      <c r="AJ15" s="18" t="n">
        <v>6</v>
      </c>
      <c r="AK15" s="18"/>
      <c r="AL15" s="18"/>
      <c r="AM15" s="18"/>
      <c r="AN15" s="18"/>
      <c r="AO15" s="18"/>
      <c r="AP15" s="18"/>
      <c r="AQ15" s="18"/>
      <c r="AR15" s="18" t="s">
        <v>1082</v>
      </c>
      <c r="AS15" s="18" t="s">
        <v>1913</v>
      </c>
      <c r="AT15" s="18" t="s">
        <v>1919</v>
      </c>
      <c r="AU15" s="18" t="s">
        <v>1915</v>
      </c>
      <c r="AV15" s="18" t="s">
        <v>91</v>
      </c>
      <c r="AW15" s="32" t="s">
        <v>1920</v>
      </c>
      <c r="AX15" s="18" t="s">
        <v>922</v>
      </c>
      <c r="AY15" s="18" t="s">
        <v>1917</v>
      </c>
    </row>
    <row r="16" customFormat="false" ht="15" hidden="false" customHeight="true" outlineLevel="0" collapsed="false">
      <c r="A16" s="18" t="s">
        <v>908</v>
      </c>
      <c r="B16" s="18" t="s">
        <v>908</v>
      </c>
      <c r="C16" s="18" t="s">
        <v>909</v>
      </c>
      <c r="D16" s="18" t="n">
        <v>2019</v>
      </c>
      <c r="E16" s="18" t="s">
        <v>854</v>
      </c>
      <c r="F16" s="18" t="s">
        <v>912</v>
      </c>
      <c r="G16" s="18" t="s">
        <v>913</v>
      </c>
      <c r="H16" s="18" t="n">
        <v>29.7</v>
      </c>
      <c r="I16" s="18" t="n">
        <v>76.96</v>
      </c>
      <c r="J16" s="18" t="s">
        <v>83</v>
      </c>
      <c r="K16" s="18" t="n">
        <v>2015</v>
      </c>
      <c r="L16" s="18" t="s">
        <v>84</v>
      </c>
      <c r="M16" s="18" t="s">
        <v>85</v>
      </c>
      <c r="N16" s="18" t="s">
        <v>1673</v>
      </c>
      <c r="O16" s="18" t="s">
        <v>1674</v>
      </c>
      <c r="P16" s="18" t="n">
        <v>1.53</v>
      </c>
      <c r="Q16" s="18" t="n">
        <v>1.12</v>
      </c>
      <c r="R16" s="18"/>
      <c r="S16" s="18"/>
      <c r="T16" s="18"/>
      <c r="U16" s="18"/>
      <c r="V16" s="18"/>
      <c r="W16" s="18"/>
      <c r="X16" s="18" t="n">
        <v>1.56</v>
      </c>
      <c r="Y16" s="18"/>
      <c r="Z16" s="18"/>
      <c r="AA16" s="18"/>
      <c r="AB16" s="18" t="n">
        <v>1</v>
      </c>
      <c r="AC16" s="18" t="n">
        <v>3</v>
      </c>
      <c r="AD16" s="18" t="n">
        <f aca="false">IF(AND(N(AB16)&gt;0,N(AC16)&gt;0),SQRT(2*AB16/AC16),"")</f>
        <v>0.816496580927726</v>
      </c>
      <c r="AE16" s="18"/>
      <c r="AF16" s="18" t="n">
        <v>2</v>
      </c>
      <c r="AG16" s="18" t="n">
        <v>42.5</v>
      </c>
      <c r="AH16" s="18" t="n">
        <v>700</v>
      </c>
      <c r="AI16" s="18" t="n">
        <v>29.7</v>
      </c>
      <c r="AJ16" s="18" t="n">
        <v>6</v>
      </c>
      <c r="AK16" s="18"/>
      <c r="AL16" s="18"/>
      <c r="AM16" s="18"/>
      <c r="AN16" s="18"/>
      <c r="AO16" s="18"/>
      <c r="AP16" s="18"/>
      <c r="AQ16" s="18"/>
      <c r="AR16" s="18" t="s">
        <v>1082</v>
      </c>
      <c r="AS16" s="18" t="s">
        <v>1913</v>
      </c>
      <c r="AT16" s="18" t="s">
        <v>1919</v>
      </c>
      <c r="AU16" s="18" t="s">
        <v>1915</v>
      </c>
      <c r="AV16" s="18" t="s">
        <v>91</v>
      </c>
      <c r="AW16" s="32" t="s">
        <v>1921</v>
      </c>
      <c r="AX16" s="18" t="s">
        <v>922</v>
      </c>
      <c r="AY16" s="18" t="s">
        <v>1917</v>
      </c>
    </row>
    <row r="17" customFormat="false" ht="15" hidden="false" customHeight="true" outlineLevel="0" collapsed="false">
      <c r="A17" s="18" t="s">
        <v>935</v>
      </c>
      <c r="B17" s="18" t="s">
        <v>935</v>
      </c>
      <c r="C17" s="18" t="s">
        <v>936</v>
      </c>
      <c r="D17" s="18" t="n">
        <v>2020</v>
      </c>
      <c r="E17" s="18" t="s">
        <v>937</v>
      </c>
      <c r="F17" s="18" t="s">
        <v>836</v>
      </c>
      <c r="G17" s="18" t="s">
        <v>940</v>
      </c>
      <c r="H17" s="18" t="n">
        <v>28.4</v>
      </c>
      <c r="I17" s="18" t="n">
        <v>77.1</v>
      </c>
      <c r="J17" s="18" t="s">
        <v>83</v>
      </c>
      <c r="K17" s="18" t="s">
        <v>1698</v>
      </c>
      <c r="L17" s="18" t="s">
        <v>823</v>
      </c>
      <c r="M17" s="18" t="s">
        <v>85</v>
      </c>
      <c r="N17" s="18" t="s">
        <v>86</v>
      </c>
      <c r="O17" s="18" t="s">
        <v>1666</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1082</v>
      </c>
      <c r="AS17" s="18" t="s">
        <v>1699</v>
      </c>
      <c r="AT17" s="18" t="s">
        <v>1700</v>
      </c>
      <c r="AU17" s="18" t="s">
        <v>1701</v>
      </c>
      <c r="AV17" s="18" t="s">
        <v>1702</v>
      </c>
      <c r="AW17" s="32" t="s">
        <v>1922</v>
      </c>
      <c r="AX17" s="18" t="s">
        <v>949</v>
      </c>
      <c r="AY17" s="18" t="s">
        <v>1923</v>
      </c>
    </row>
    <row r="18" customFormat="false" ht="15" hidden="false" customHeight="true" outlineLevel="0" collapsed="false">
      <c r="A18" s="18" t="s">
        <v>935</v>
      </c>
      <c r="B18" s="18" t="s">
        <v>935</v>
      </c>
      <c r="C18" s="18" t="s">
        <v>936</v>
      </c>
      <c r="D18" s="18" t="n">
        <v>2020</v>
      </c>
      <c r="E18" s="18" t="s">
        <v>937</v>
      </c>
      <c r="F18" s="18" t="s">
        <v>836</v>
      </c>
      <c r="G18" s="18" t="s">
        <v>940</v>
      </c>
      <c r="H18" s="18" t="n">
        <v>28.4</v>
      </c>
      <c r="I18" s="18" t="n">
        <v>77.1</v>
      </c>
      <c r="J18" s="18" t="s">
        <v>83</v>
      </c>
      <c r="K18" s="18" t="s">
        <v>1698</v>
      </c>
      <c r="L18" s="18" t="s">
        <v>823</v>
      </c>
      <c r="M18" s="18" t="s">
        <v>85</v>
      </c>
      <c r="N18" s="18" t="s">
        <v>86</v>
      </c>
      <c r="O18" s="18" t="s">
        <v>1666</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1082</v>
      </c>
      <c r="AS18" s="18" t="s">
        <v>1705</v>
      </c>
      <c r="AT18" s="18" t="s">
        <v>1700</v>
      </c>
      <c r="AU18" s="18" t="s">
        <v>1701</v>
      </c>
      <c r="AV18" s="18" t="s">
        <v>1702</v>
      </c>
      <c r="AW18" s="32" t="s">
        <v>1924</v>
      </c>
      <c r="AX18" s="18" t="s">
        <v>949</v>
      </c>
      <c r="AY18" s="18" t="s">
        <v>1923</v>
      </c>
    </row>
    <row r="19" customFormat="false" ht="15" hidden="false" customHeight="true" outlineLevel="0" collapsed="false">
      <c r="A19" s="18" t="s">
        <v>935</v>
      </c>
      <c r="B19" s="18" t="s">
        <v>935</v>
      </c>
      <c r="C19" s="18" t="s">
        <v>936</v>
      </c>
      <c r="D19" s="18" t="n">
        <v>2020</v>
      </c>
      <c r="E19" s="18" t="s">
        <v>937</v>
      </c>
      <c r="F19" s="18" t="s">
        <v>836</v>
      </c>
      <c r="G19" s="18" t="s">
        <v>940</v>
      </c>
      <c r="H19" s="18" t="n">
        <v>28.4</v>
      </c>
      <c r="I19" s="18" t="n">
        <v>77.1</v>
      </c>
      <c r="J19" s="18" t="s">
        <v>83</v>
      </c>
      <c r="K19" s="18" t="s">
        <v>1698</v>
      </c>
      <c r="L19" s="18" t="s">
        <v>823</v>
      </c>
      <c r="M19" s="18" t="s">
        <v>85</v>
      </c>
      <c r="N19" s="18" t="s">
        <v>86</v>
      </c>
      <c r="O19" s="18" t="s">
        <v>1666</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1082</v>
      </c>
      <c r="AS19" s="18" t="s">
        <v>1707</v>
      </c>
      <c r="AT19" s="18" t="s">
        <v>1700</v>
      </c>
      <c r="AU19" s="18" t="s">
        <v>1701</v>
      </c>
      <c r="AV19" s="18" t="s">
        <v>1702</v>
      </c>
      <c r="AW19" s="32" t="s">
        <v>1925</v>
      </c>
      <c r="AX19" s="18" t="s">
        <v>949</v>
      </c>
      <c r="AY19" s="18" t="s">
        <v>1923</v>
      </c>
    </row>
    <row r="20" customFormat="false" ht="14.25" hidden="false" customHeight="true" outlineLevel="0" collapsed="false">
      <c r="A20" s="18" t="s">
        <v>935</v>
      </c>
      <c r="B20" s="18" t="s">
        <v>935</v>
      </c>
      <c r="C20" s="18" t="s">
        <v>936</v>
      </c>
      <c r="D20" s="18" t="n">
        <v>2020</v>
      </c>
      <c r="E20" s="18" t="s">
        <v>937</v>
      </c>
      <c r="F20" s="18" t="s">
        <v>836</v>
      </c>
      <c r="G20" s="18" t="s">
        <v>940</v>
      </c>
      <c r="H20" s="18" t="n">
        <v>28.4</v>
      </c>
      <c r="I20" s="18" t="n">
        <v>77.1</v>
      </c>
      <c r="J20" s="18" t="s">
        <v>83</v>
      </c>
      <c r="K20" s="18" t="s">
        <v>1698</v>
      </c>
      <c r="L20" s="18" t="s">
        <v>823</v>
      </c>
      <c r="M20" s="18" t="s">
        <v>85</v>
      </c>
      <c r="N20" s="18" t="s">
        <v>86</v>
      </c>
      <c r="O20" s="18" t="s">
        <v>1666</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1082</v>
      </c>
      <c r="AS20" s="18" t="s">
        <v>1709</v>
      </c>
      <c r="AT20" s="18" t="s">
        <v>1700</v>
      </c>
      <c r="AU20" s="18" t="s">
        <v>1701</v>
      </c>
      <c r="AV20" s="18" t="s">
        <v>1702</v>
      </c>
      <c r="AW20" s="32" t="s">
        <v>1926</v>
      </c>
      <c r="AX20" s="18" t="s">
        <v>949</v>
      </c>
      <c r="AY20" s="18" t="s">
        <v>1923</v>
      </c>
    </row>
    <row r="21" customFormat="false" ht="14.25" hidden="false" customHeight="true" outlineLevel="0" collapsed="false">
      <c r="A21" s="18" t="s">
        <v>935</v>
      </c>
      <c r="B21" s="18" t="s">
        <v>935</v>
      </c>
      <c r="C21" s="18" t="s">
        <v>936</v>
      </c>
      <c r="D21" s="18" t="n">
        <v>2020</v>
      </c>
      <c r="E21" s="18" t="s">
        <v>937</v>
      </c>
      <c r="F21" s="18" t="s">
        <v>836</v>
      </c>
      <c r="G21" s="18" t="s">
        <v>940</v>
      </c>
      <c r="H21" s="18" t="n">
        <v>28.4</v>
      </c>
      <c r="I21" s="18" t="n">
        <v>77.1</v>
      </c>
      <c r="J21" s="18" t="s">
        <v>83</v>
      </c>
      <c r="K21" s="18" t="s">
        <v>1698</v>
      </c>
      <c r="L21" s="18" t="s">
        <v>823</v>
      </c>
      <c r="M21" s="18" t="s">
        <v>85</v>
      </c>
      <c r="N21" s="18" t="s">
        <v>86</v>
      </c>
      <c r="O21" s="18" t="s">
        <v>1666</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1082</v>
      </c>
      <c r="AS21" s="18" t="s">
        <v>1711</v>
      </c>
      <c r="AT21" s="18" t="s">
        <v>1700</v>
      </c>
      <c r="AU21" s="18" t="s">
        <v>1701</v>
      </c>
      <c r="AV21" s="18" t="s">
        <v>1702</v>
      </c>
      <c r="AW21" s="32" t="s">
        <v>1927</v>
      </c>
      <c r="AX21" s="18" t="s">
        <v>949</v>
      </c>
      <c r="AY21" s="18" t="s">
        <v>1923</v>
      </c>
    </row>
    <row r="22" customFormat="false" ht="14.25" hidden="false" customHeight="true" outlineLevel="0" collapsed="false">
      <c r="A22" s="18" t="s">
        <v>935</v>
      </c>
      <c r="B22" s="18" t="s">
        <v>935</v>
      </c>
      <c r="C22" s="18" t="s">
        <v>936</v>
      </c>
      <c r="D22" s="18" t="n">
        <v>2020</v>
      </c>
      <c r="E22" s="18" t="s">
        <v>937</v>
      </c>
      <c r="F22" s="18" t="s">
        <v>836</v>
      </c>
      <c r="G22" s="18" t="s">
        <v>940</v>
      </c>
      <c r="H22" s="18" t="n">
        <v>28.4</v>
      </c>
      <c r="I22" s="18" t="n">
        <v>77.1</v>
      </c>
      <c r="J22" s="18" t="s">
        <v>83</v>
      </c>
      <c r="K22" s="18" t="s">
        <v>1698</v>
      </c>
      <c r="L22" s="18" t="s">
        <v>823</v>
      </c>
      <c r="M22" s="18" t="s">
        <v>85</v>
      </c>
      <c r="N22" s="18" t="s">
        <v>86</v>
      </c>
      <c r="O22" s="18" t="s">
        <v>1666</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1082</v>
      </c>
      <c r="AS22" s="18" t="s">
        <v>1713</v>
      </c>
      <c r="AT22" s="18" t="s">
        <v>1700</v>
      </c>
      <c r="AU22" s="18" t="s">
        <v>1701</v>
      </c>
      <c r="AV22" s="18" t="s">
        <v>1702</v>
      </c>
      <c r="AW22" s="32" t="s">
        <v>1928</v>
      </c>
      <c r="AX22" s="18" t="s">
        <v>949</v>
      </c>
      <c r="AY22" s="18" t="s">
        <v>1923</v>
      </c>
    </row>
    <row r="23" customFormat="false" ht="14.25" hidden="false" customHeight="true" outlineLevel="0" collapsed="false">
      <c r="A23" s="18" t="s">
        <v>935</v>
      </c>
      <c r="B23" s="18" t="s">
        <v>935</v>
      </c>
      <c r="C23" s="18" t="s">
        <v>936</v>
      </c>
      <c r="D23" s="18" t="n">
        <v>2020</v>
      </c>
      <c r="E23" s="18" t="s">
        <v>937</v>
      </c>
      <c r="F23" s="18" t="s">
        <v>836</v>
      </c>
      <c r="G23" s="18" t="s">
        <v>940</v>
      </c>
      <c r="H23" s="18" t="n">
        <v>28.4</v>
      </c>
      <c r="I23" s="18" t="n">
        <v>77.1</v>
      </c>
      <c r="J23" s="18" t="s">
        <v>83</v>
      </c>
      <c r="K23" s="18" t="s">
        <v>1698</v>
      </c>
      <c r="L23" s="18" t="s">
        <v>823</v>
      </c>
      <c r="M23" s="18" t="s">
        <v>85</v>
      </c>
      <c r="N23" s="18" t="s">
        <v>86</v>
      </c>
      <c r="O23" s="18" t="s">
        <v>1666</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1082</v>
      </c>
      <c r="AS23" s="18" t="s">
        <v>1715</v>
      </c>
      <c r="AT23" s="18" t="s">
        <v>1700</v>
      </c>
      <c r="AU23" s="18" t="s">
        <v>1701</v>
      </c>
      <c r="AV23" s="18" t="s">
        <v>1702</v>
      </c>
      <c r="AW23" s="32" t="s">
        <v>1929</v>
      </c>
      <c r="AX23" s="18" t="s">
        <v>949</v>
      </c>
      <c r="AY23" s="18" t="s">
        <v>1923</v>
      </c>
    </row>
    <row r="24" customFormat="false" ht="14.25" hidden="false" customHeight="true" outlineLevel="0" collapsed="false">
      <c r="A24" s="18" t="s">
        <v>935</v>
      </c>
      <c r="B24" s="18" t="s">
        <v>935</v>
      </c>
      <c r="C24" s="18" t="s">
        <v>936</v>
      </c>
      <c r="D24" s="18" t="n">
        <v>2020</v>
      </c>
      <c r="E24" s="18" t="s">
        <v>937</v>
      </c>
      <c r="F24" s="18" t="s">
        <v>836</v>
      </c>
      <c r="G24" s="18" t="s">
        <v>940</v>
      </c>
      <c r="H24" s="18" t="n">
        <v>28.4</v>
      </c>
      <c r="I24" s="18" t="n">
        <v>77.1</v>
      </c>
      <c r="J24" s="18" t="s">
        <v>83</v>
      </c>
      <c r="K24" s="18" t="s">
        <v>1698</v>
      </c>
      <c r="L24" s="18" t="s">
        <v>823</v>
      </c>
      <c r="M24" s="18" t="s">
        <v>85</v>
      </c>
      <c r="N24" s="18" t="s">
        <v>86</v>
      </c>
      <c r="O24" s="18" t="s">
        <v>1666</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1082</v>
      </c>
      <c r="AS24" s="18" t="s">
        <v>1717</v>
      </c>
      <c r="AT24" s="18" t="s">
        <v>1700</v>
      </c>
      <c r="AU24" s="18" t="s">
        <v>1701</v>
      </c>
      <c r="AV24" s="18" t="s">
        <v>1702</v>
      </c>
      <c r="AW24" s="32" t="s">
        <v>1930</v>
      </c>
      <c r="AX24" s="18" t="s">
        <v>949</v>
      </c>
      <c r="AY24" s="18" t="s">
        <v>1923</v>
      </c>
    </row>
    <row r="25" customFormat="false" ht="14.25" hidden="false" customHeight="false" outlineLevel="0" collapsed="false">
      <c r="A25" s="24" t="s">
        <v>988</v>
      </c>
      <c r="B25" s="24" t="s">
        <v>988</v>
      </c>
      <c r="C25" s="24" t="s">
        <v>989</v>
      </c>
      <c r="D25" s="24" t="n">
        <v>2011</v>
      </c>
      <c r="E25" s="24" t="s">
        <v>990</v>
      </c>
      <c r="F25" s="24" t="s">
        <v>857</v>
      </c>
      <c r="G25" s="24" t="s">
        <v>993</v>
      </c>
      <c r="H25" s="24" t="n">
        <v>29.017</v>
      </c>
      <c r="I25" s="24" t="n">
        <v>77.75</v>
      </c>
      <c r="J25" s="24" t="s">
        <v>83</v>
      </c>
      <c r="K25" s="24" t="s">
        <v>1931</v>
      </c>
      <c r="L25" s="24" t="s">
        <v>84</v>
      </c>
      <c r="M25" s="24" t="s">
        <v>85</v>
      </c>
      <c r="N25" s="24" t="s">
        <v>86</v>
      </c>
      <c r="O25" s="24" t="s">
        <v>1666</v>
      </c>
      <c r="P25" s="24"/>
      <c r="Q25" s="24" t="n">
        <f aca="false">ROUND(6.375*'AGG SIZE CLASS'!R2/100+3.375*'AGG SIZE CLASS'!R3/100+1.5*'AGG SIZE CLASS'!R4/100+0.75*'AGG SIZE CLASS'!R5/100+0.375*'AGG SIZE CLASS'!R6/100+0.18*'AGG SIZE CLASS'!R7/100+0.055*'AGG SIZE CLASS'!R8/100,2)</f>
        <v>1.15</v>
      </c>
      <c r="R25" s="24" t="n">
        <f aca="false">ROUND(6.375*'AGG SIZE CLASS'!S2/100+3.375*'AGG SIZE CLASS'!S3/100+1.5*'AGG SIZE CLASS'!S4/100+0.75*'AGG SIZE CLASS'!S5/100+0.375*'AGG SIZE CLASS'!S6/100+0.18*'AGG SIZE CLASS'!S7/100+0.055*'AGG SIZE CLASS'!S8/100,2)</f>
        <v>2.32</v>
      </c>
      <c r="S25" s="24"/>
      <c r="T25" s="24"/>
      <c r="U25" s="24" t="n">
        <f aca="false">ROUND(6.375*'AGG SIZE CLASS'!V2/100+3.375*'AGG SIZE CLASS'!V3/100+1.5*'AGG SIZE CLASS'!V4/100+0.75*'AGG SIZE CLASS'!V5/100+0.375*'AGG SIZE CLASS'!V6/100+0.18*'AGG SIZE CLASS'!V7/100+0.055*'AGG SIZE CLASS'!V8/100,2)</f>
        <v>2.04</v>
      </c>
      <c r="V25" s="24"/>
      <c r="W25" s="24"/>
      <c r="X25" s="24"/>
      <c r="Y25" s="24" t="n">
        <f aca="false">ROUND(6.375*'AGG SIZE CLASS'!Z2/100+3.375*'AGG SIZE CLASS'!Z3/100+1.5*'AGG SIZE CLASS'!Z4/100+0.75*'AGG SIZE CLASS'!Z5/100+0.375*'AGG SIZE CLASS'!Z6/100+0.18*'AGG SIZE CLASS'!Z7/100+0.055*'AGG SIZE CLASS'!Z8/100,2)</f>
        <v>1.16</v>
      </c>
      <c r="Z25" s="24"/>
      <c r="AA25" s="24"/>
      <c r="AB25" s="24" t="n">
        <v>2</v>
      </c>
      <c r="AC25" s="24" t="n">
        <v>3</v>
      </c>
      <c r="AD25" s="24" t="n">
        <f aca="false">IF(AND(N(AB25)&gt;0,N(AC25)&gt;0),SQRT(2*AB25/AC25),"")</f>
        <v>1.15470053837925</v>
      </c>
      <c r="AE25" s="24" t="n">
        <v>19</v>
      </c>
      <c r="AF25" s="24" t="n">
        <v>2</v>
      </c>
      <c r="AG25" s="24" t="n">
        <v>43</v>
      </c>
      <c r="AH25" s="24" t="n">
        <v>800</v>
      </c>
      <c r="AI25" s="24" t="n">
        <v>29.017</v>
      </c>
      <c r="AJ25" s="24" t="n">
        <v>7</v>
      </c>
      <c r="AK25" s="24"/>
      <c r="AL25" s="24"/>
      <c r="AM25" s="24" t="n">
        <v>8.1</v>
      </c>
      <c r="AN25" s="24"/>
      <c r="AO25" s="24"/>
      <c r="AP25" s="24" t="n">
        <v>55</v>
      </c>
      <c r="AQ25" s="24" t="n">
        <v>26</v>
      </c>
      <c r="AR25" s="24" t="s">
        <v>1932</v>
      </c>
      <c r="AS25" s="24" t="s">
        <v>1722</v>
      </c>
      <c r="AT25" s="24" t="s">
        <v>1933</v>
      </c>
      <c r="AU25" s="24" t="s">
        <v>1724</v>
      </c>
      <c r="AV25" s="24" t="s">
        <v>1934</v>
      </c>
      <c r="AW25" s="25" t="s">
        <v>1935</v>
      </c>
      <c r="AX25" s="24" t="s">
        <v>1008</v>
      </c>
      <c r="AY25" s="24" t="s">
        <v>1936</v>
      </c>
    </row>
    <row r="26" customFormat="false" ht="14.25" hidden="false" customHeight="false" outlineLevel="0" collapsed="false">
      <c r="A26" s="24" t="s">
        <v>988</v>
      </c>
      <c r="B26" s="24" t="s">
        <v>988</v>
      </c>
      <c r="C26" s="24" t="s">
        <v>989</v>
      </c>
      <c r="D26" s="24" t="n">
        <v>2011</v>
      </c>
      <c r="E26" s="24" t="s">
        <v>990</v>
      </c>
      <c r="F26" s="24" t="s">
        <v>857</v>
      </c>
      <c r="G26" s="24" t="s">
        <v>993</v>
      </c>
      <c r="H26" s="24" t="n">
        <v>29.017</v>
      </c>
      <c r="I26" s="24" t="n">
        <v>77.75</v>
      </c>
      <c r="J26" s="24" t="s">
        <v>83</v>
      </c>
      <c r="K26" s="24" t="s">
        <v>1931</v>
      </c>
      <c r="L26" s="24" t="s">
        <v>84</v>
      </c>
      <c r="M26" s="24" t="s">
        <v>85</v>
      </c>
      <c r="N26" s="24" t="s">
        <v>86</v>
      </c>
      <c r="O26" s="24" t="s">
        <v>1666</v>
      </c>
      <c r="P26" s="24"/>
      <c r="Q26" s="24" t="n">
        <f aca="false">ROUND(6.375*'AGG SIZE CLASS'!R9/100+3.375*'AGG SIZE CLASS'!R10/100+1.5*'AGG SIZE CLASS'!R11/100+0.75*'AGG SIZE CLASS'!R12/100+0.375*'AGG SIZE CLASS'!R13/100+0.18*'AGG SIZE CLASS'!R14/100+0.055*'AGG SIZE CLASS'!R15/100,2)</f>
        <v>1.15</v>
      </c>
      <c r="R26" s="24" t="n">
        <f aca="false">ROUND(6.375*'AGG SIZE CLASS'!S9/100+3.375*'AGG SIZE CLASS'!S10/100+1.5*'AGG SIZE CLASS'!S11/100+0.75*'AGG SIZE CLASS'!S12/100+0.375*'AGG SIZE CLASS'!S13/100+0.18*'AGG SIZE CLASS'!S14/100+0.055*'AGG SIZE CLASS'!S15/100,2)</f>
        <v>2.02</v>
      </c>
      <c r="S26" s="24"/>
      <c r="T26" s="24"/>
      <c r="U26" s="24" t="n">
        <f aca="false">ROUND(6.375*'AGG SIZE CLASS'!V9/100+3.375*'AGG SIZE CLASS'!V10/100+1.5*'AGG SIZE CLASS'!V11/100+0.75*'AGG SIZE CLASS'!V12/100+0.375*'AGG SIZE CLASS'!V13/100+0.18*'AGG SIZE CLASS'!V14/100+0.055*'AGG SIZE CLASS'!V15/100,2)</f>
        <v>1.82</v>
      </c>
      <c r="V26" s="24"/>
      <c r="W26" s="24"/>
      <c r="X26" s="24"/>
      <c r="Y26" s="24" t="n">
        <f aca="false">ROUND(6.375*'AGG SIZE CLASS'!Z9/100+3.375*'AGG SIZE CLASS'!Z10/100+1.5*'AGG SIZE CLASS'!Z11/100+0.75*'AGG SIZE CLASS'!Z12/100+0.375*'AGG SIZE CLASS'!Z13/100+0.18*'AGG SIZE CLASS'!Z14/100+0.055*'AGG SIZE CLASS'!Z15/100,2)</f>
        <v>1.16</v>
      </c>
      <c r="Z26" s="24"/>
      <c r="AA26" s="24"/>
      <c r="AB26" s="24" t="n">
        <v>2</v>
      </c>
      <c r="AC26" s="24" t="n">
        <v>3</v>
      </c>
      <c r="AD26" s="24" t="n">
        <f aca="false">IF(AND(N(AB26)&gt;0,N(AC26)&gt;0),SQRT(2*AB26/AC26),"")</f>
        <v>1.15470053837925</v>
      </c>
      <c r="AE26" s="24" t="n">
        <v>19</v>
      </c>
      <c r="AF26" s="24" t="n">
        <v>2</v>
      </c>
      <c r="AG26" s="24" t="n">
        <v>43</v>
      </c>
      <c r="AH26" s="24" t="n">
        <v>800</v>
      </c>
      <c r="AI26" s="24" t="n">
        <v>29.017</v>
      </c>
      <c r="AJ26" s="24" t="n">
        <v>7</v>
      </c>
      <c r="AK26" s="24"/>
      <c r="AL26" s="24"/>
      <c r="AM26" s="24" t="n">
        <v>8.1</v>
      </c>
      <c r="AN26" s="24"/>
      <c r="AO26" s="24"/>
      <c r="AP26" s="24" t="n">
        <v>55</v>
      </c>
      <c r="AQ26" s="24" t="n">
        <v>26</v>
      </c>
      <c r="AR26" s="24" t="s">
        <v>1932</v>
      </c>
      <c r="AS26" s="24" t="s">
        <v>1722</v>
      </c>
      <c r="AT26" s="24" t="s">
        <v>1933</v>
      </c>
      <c r="AU26" s="24" t="s">
        <v>1724</v>
      </c>
      <c r="AV26" s="24" t="s">
        <v>1934</v>
      </c>
      <c r="AW26" s="25" t="s">
        <v>1937</v>
      </c>
      <c r="AX26" s="24" t="s">
        <v>1008</v>
      </c>
      <c r="AY26" s="24" t="s">
        <v>1936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1938</v>
      </c>
      <c r="Q1" s="27" t="s">
        <v>1939</v>
      </c>
      <c r="R1" s="27" t="s">
        <v>1940</v>
      </c>
      <c r="S1" s="27" t="s">
        <v>1941</v>
      </c>
      <c r="T1" s="27" t="s">
        <v>1942</v>
      </c>
      <c r="U1" s="27" t="s">
        <v>1943</v>
      </c>
      <c r="V1" s="27" t="s">
        <v>1944</v>
      </c>
      <c r="W1" s="27" t="s">
        <v>1945</v>
      </c>
      <c r="X1" s="30" t="s">
        <v>1946</v>
      </c>
      <c r="Y1" s="30" t="s">
        <v>1947</v>
      </c>
      <c r="Z1" s="30" t="s">
        <v>1948</v>
      </c>
      <c r="AA1" s="30" t="s">
        <v>1949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s">
        <v>952</v>
      </c>
      <c r="B2" s="5" t="s">
        <v>952</v>
      </c>
      <c r="C2" s="5" t="s">
        <v>953</v>
      </c>
      <c r="D2" s="5" t="n">
        <v>2023</v>
      </c>
      <c r="E2" s="5" t="s">
        <v>954</v>
      </c>
      <c r="F2" s="5" t="s">
        <v>957</v>
      </c>
      <c r="G2" s="5" t="s">
        <v>958</v>
      </c>
      <c r="H2" s="5" t="n">
        <v>35.27</v>
      </c>
      <c r="I2" s="5" t="n">
        <v>119.38</v>
      </c>
      <c r="J2" s="5" t="s">
        <v>891</v>
      </c>
      <c r="K2" s="5" t="n">
        <v>2020</v>
      </c>
      <c r="L2" s="5" t="s">
        <v>842</v>
      </c>
      <c r="M2" s="5"/>
      <c r="N2" s="5" t="s">
        <v>86</v>
      </c>
      <c r="O2" s="5" t="s">
        <v>1685</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1950</v>
      </c>
      <c r="AS2" s="5" t="s">
        <v>1686</v>
      </c>
      <c r="AT2" s="5" t="s">
        <v>1908</v>
      </c>
      <c r="AU2" s="5" t="s">
        <v>1688</v>
      </c>
      <c r="AV2" s="5" t="s">
        <v>1725</v>
      </c>
      <c r="AW2" s="23" t="s">
        <v>1909</v>
      </c>
      <c r="AX2" s="5" t="s">
        <v>968</v>
      </c>
      <c r="AY2" s="5" t="s">
        <v>1951</v>
      </c>
      <c r="BA2" s="33" t="s">
        <v>1085</v>
      </c>
    </row>
    <row r="3" customFormat="false" ht="14.25" hidden="false" customHeight="true" outlineLevel="0" collapsed="false">
      <c r="A3" s="5" t="s">
        <v>952</v>
      </c>
      <c r="B3" s="5" t="s">
        <v>952</v>
      </c>
      <c r="C3" s="5" t="s">
        <v>953</v>
      </c>
      <c r="D3" s="5" t="n">
        <v>2023</v>
      </c>
      <c r="E3" s="5" t="s">
        <v>954</v>
      </c>
      <c r="F3" s="5" t="s">
        <v>957</v>
      </c>
      <c r="G3" s="5" t="s">
        <v>958</v>
      </c>
      <c r="H3" s="5" t="n">
        <v>35.27</v>
      </c>
      <c r="I3" s="5" t="n">
        <v>119.38</v>
      </c>
      <c r="J3" s="5" t="s">
        <v>891</v>
      </c>
      <c r="K3" s="5" t="n">
        <v>2020</v>
      </c>
      <c r="L3" s="5" t="s">
        <v>842</v>
      </c>
      <c r="M3" s="5"/>
      <c r="N3" s="5" t="s">
        <v>1673</v>
      </c>
      <c r="O3" s="5" t="s">
        <v>1694</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1950</v>
      </c>
      <c r="AS3" s="5" t="s">
        <v>1686</v>
      </c>
      <c r="AT3" s="5" t="s">
        <v>1908</v>
      </c>
      <c r="AU3" s="5" t="s">
        <v>1688</v>
      </c>
      <c r="AV3" s="5" t="s">
        <v>1725</v>
      </c>
      <c r="AW3" s="23" t="s">
        <v>1911</v>
      </c>
      <c r="AX3" s="5" t="s">
        <v>968</v>
      </c>
      <c r="AY3" s="5" t="s">
        <v>1951</v>
      </c>
    </row>
    <row r="4" customFormat="false" ht="14.25" hidden="false" customHeight="true" outlineLevel="0" collapsed="false">
      <c r="A4" s="5" t="s">
        <v>952</v>
      </c>
      <c r="B4" s="5" t="s">
        <v>952</v>
      </c>
      <c r="C4" s="5" t="s">
        <v>953</v>
      </c>
      <c r="D4" s="5" t="n">
        <v>2023</v>
      </c>
      <c r="E4" s="5" t="s">
        <v>954</v>
      </c>
      <c r="F4" s="5" t="s">
        <v>957</v>
      </c>
      <c r="G4" s="5" t="s">
        <v>958</v>
      </c>
      <c r="H4" s="5" t="n">
        <v>35.27</v>
      </c>
      <c r="I4" s="5" t="n">
        <v>119.38</v>
      </c>
      <c r="J4" s="5" t="s">
        <v>891</v>
      </c>
      <c r="K4" s="5" t="n">
        <v>2020</v>
      </c>
      <c r="L4" s="5" t="s">
        <v>842</v>
      </c>
      <c r="M4" s="5"/>
      <c r="N4" s="5" t="s">
        <v>1673</v>
      </c>
      <c r="O4" s="5" t="s">
        <v>1696</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1950</v>
      </c>
      <c r="AS4" s="5" t="s">
        <v>1686</v>
      </c>
      <c r="AT4" s="5" t="s">
        <v>1908</v>
      </c>
      <c r="AU4" s="5" t="s">
        <v>1688</v>
      </c>
      <c r="AV4" s="5" t="s">
        <v>1725</v>
      </c>
      <c r="AW4" s="23" t="s">
        <v>1912</v>
      </c>
      <c r="AX4" s="5" t="s">
        <v>968</v>
      </c>
      <c r="AY4" s="5" t="s">
        <v>1951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1952</v>
      </c>
      <c r="Q1" s="27" t="s">
        <v>1953</v>
      </c>
      <c r="R1" s="27" t="s">
        <v>1954</v>
      </c>
      <c r="S1" s="27" t="s">
        <v>1955</v>
      </c>
      <c r="T1" s="27" t="s">
        <v>1956</v>
      </c>
      <c r="U1" s="27" t="s">
        <v>1957</v>
      </c>
      <c r="V1" s="27" t="s">
        <v>1958</v>
      </c>
      <c r="W1" s="27" t="s">
        <v>1959</v>
      </c>
      <c r="X1" s="30" t="s">
        <v>1960</v>
      </c>
      <c r="Y1" s="30" t="s">
        <v>1961</v>
      </c>
      <c r="Z1" s="30" t="s">
        <v>1962</v>
      </c>
      <c r="AA1" s="30" t="s">
        <v>1963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908</v>
      </c>
      <c r="B2" s="18" t="s">
        <v>908</v>
      </c>
      <c r="C2" s="18" t="s">
        <v>909</v>
      </c>
      <c r="D2" s="18" t="n">
        <v>2019</v>
      </c>
      <c r="E2" s="18" t="s">
        <v>854</v>
      </c>
      <c r="F2" s="18" t="s">
        <v>912</v>
      </c>
      <c r="G2" s="18" t="s">
        <v>913</v>
      </c>
      <c r="H2" s="18" t="n">
        <v>29.7</v>
      </c>
      <c r="I2" s="18" t="n">
        <v>76.96</v>
      </c>
      <c r="J2" s="18" t="s">
        <v>83</v>
      </c>
      <c r="K2" s="18" t="n">
        <v>2013</v>
      </c>
      <c r="L2" s="18" t="s">
        <v>84</v>
      </c>
      <c r="M2" s="18" t="s">
        <v>85</v>
      </c>
      <c r="N2" s="18" t="s">
        <v>86</v>
      </c>
      <c r="O2" s="18" t="s">
        <v>1666</v>
      </c>
      <c r="P2" s="18" t="n">
        <v>1.28</v>
      </c>
      <c r="Q2" s="18" t="n">
        <v>0.76</v>
      </c>
      <c r="R2" s="18"/>
      <c r="S2" s="18"/>
      <c r="T2" s="18"/>
      <c r="U2" s="18"/>
      <c r="V2" s="18"/>
      <c r="W2" s="18"/>
      <c r="X2" s="18" t="n">
        <v>0.98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1088</v>
      </c>
      <c r="AS2" s="18" t="s">
        <v>1913</v>
      </c>
      <c r="AT2" s="18" t="s">
        <v>1914</v>
      </c>
      <c r="AU2" s="18" t="s">
        <v>1915</v>
      </c>
      <c r="AV2" s="18" t="s">
        <v>91</v>
      </c>
      <c r="AW2" s="32" t="s">
        <v>1916</v>
      </c>
      <c r="AX2" s="18" t="s">
        <v>922</v>
      </c>
      <c r="AY2" s="18" t="s">
        <v>1917</v>
      </c>
      <c r="BA2" s="33" t="s">
        <v>1088</v>
      </c>
    </row>
    <row r="3" customFormat="false" ht="15" hidden="false" customHeight="true" outlineLevel="0" collapsed="false">
      <c r="A3" s="18" t="s">
        <v>908</v>
      </c>
      <c r="B3" s="18" t="s">
        <v>908</v>
      </c>
      <c r="C3" s="18" t="s">
        <v>909</v>
      </c>
      <c r="D3" s="18" t="n">
        <v>2019</v>
      </c>
      <c r="E3" s="18" t="s">
        <v>854</v>
      </c>
      <c r="F3" s="18" t="s">
        <v>912</v>
      </c>
      <c r="G3" s="18" t="s">
        <v>913</v>
      </c>
      <c r="H3" s="18" t="n">
        <v>29.7</v>
      </c>
      <c r="I3" s="18" t="n">
        <v>76.96</v>
      </c>
      <c r="J3" s="18" t="s">
        <v>83</v>
      </c>
      <c r="K3" s="18" t="n">
        <v>2013</v>
      </c>
      <c r="L3" s="18" t="s">
        <v>84</v>
      </c>
      <c r="M3" s="18" t="s">
        <v>85</v>
      </c>
      <c r="N3" s="18" t="s">
        <v>1673</v>
      </c>
      <c r="O3" s="18" t="s">
        <v>1674</v>
      </c>
      <c r="P3" s="18" t="n">
        <v>0.49</v>
      </c>
      <c r="Q3" s="18" t="n">
        <v>0.62</v>
      </c>
      <c r="R3" s="18"/>
      <c r="S3" s="18"/>
      <c r="T3" s="18"/>
      <c r="U3" s="18"/>
      <c r="V3" s="18"/>
      <c r="W3" s="18"/>
      <c r="X3" s="18" t="n">
        <v>0.56</v>
      </c>
      <c r="Y3" s="18"/>
      <c r="Z3" s="18"/>
      <c r="AA3" s="18"/>
      <c r="AB3" s="18" t="n">
        <v>1</v>
      </c>
      <c r="AC3" s="18" t="n">
        <v>3</v>
      </c>
      <c r="AD3" s="18" t="n">
        <f aca="false">IF(AND(N(AB3)&gt;0,N(AC3)&gt;0),SQRT(2*AB3/AC3),"")</f>
        <v>0.816496580927726</v>
      </c>
      <c r="AE3" s="18"/>
      <c r="AF3" s="18" t="n">
        <v>2</v>
      </c>
      <c r="AG3" s="18" t="n">
        <v>42.5</v>
      </c>
      <c r="AH3" s="18" t="n">
        <v>700</v>
      </c>
      <c r="AI3" s="18" t="n">
        <v>29.7</v>
      </c>
      <c r="AJ3" s="18" t="n">
        <v>4</v>
      </c>
      <c r="AK3" s="18"/>
      <c r="AL3" s="18"/>
      <c r="AM3" s="18"/>
      <c r="AN3" s="18"/>
      <c r="AO3" s="18"/>
      <c r="AP3" s="18"/>
      <c r="AQ3" s="18"/>
      <c r="AR3" s="18" t="s">
        <v>1088</v>
      </c>
      <c r="AS3" s="18" t="s">
        <v>1913</v>
      </c>
      <c r="AT3" s="18" t="s">
        <v>1914</v>
      </c>
      <c r="AU3" s="18" t="s">
        <v>1915</v>
      </c>
      <c r="AV3" s="18" t="s">
        <v>91</v>
      </c>
      <c r="AW3" s="32" t="s">
        <v>1918</v>
      </c>
      <c r="AX3" s="18" t="s">
        <v>922</v>
      </c>
      <c r="AY3" s="18" t="s">
        <v>1917</v>
      </c>
    </row>
    <row r="4" customFormat="false" ht="15" hidden="false" customHeight="true" outlineLevel="0" collapsed="false">
      <c r="A4" s="18" t="s">
        <v>908</v>
      </c>
      <c r="B4" s="18" t="s">
        <v>908</v>
      </c>
      <c r="C4" s="18" t="s">
        <v>909</v>
      </c>
      <c r="D4" s="18" t="n">
        <v>2019</v>
      </c>
      <c r="E4" s="18" t="s">
        <v>854</v>
      </c>
      <c r="F4" s="18" t="s">
        <v>912</v>
      </c>
      <c r="G4" s="18" t="s">
        <v>913</v>
      </c>
      <c r="H4" s="18" t="n">
        <v>29.7</v>
      </c>
      <c r="I4" s="18" t="n">
        <v>76.96</v>
      </c>
      <c r="J4" s="18" t="s">
        <v>83</v>
      </c>
      <c r="K4" s="18" t="n">
        <v>2015</v>
      </c>
      <c r="L4" s="18" t="s">
        <v>84</v>
      </c>
      <c r="M4" s="18" t="s">
        <v>85</v>
      </c>
      <c r="N4" s="18" t="s">
        <v>86</v>
      </c>
      <c r="O4" s="18" t="s">
        <v>1666</v>
      </c>
      <c r="P4" s="18" t="n">
        <v>1.29</v>
      </c>
      <c r="Q4" s="18" t="n">
        <v>0.79</v>
      </c>
      <c r="R4" s="18"/>
      <c r="S4" s="18"/>
      <c r="T4" s="18"/>
      <c r="U4" s="18"/>
      <c r="V4" s="18"/>
      <c r="W4" s="18"/>
      <c r="X4" s="18" t="n">
        <v>1.15</v>
      </c>
      <c r="Y4" s="18"/>
      <c r="Z4" s="18"/>
      <c r="AA4" s="18"/>
      <c r="AB4" s="18" t="n">
        <v>1</v>
      </c>
      <c r="AC4" s="18" t="n">
        <v>3</v>
      </c>
      <c r="AD4" s="18" t="n">
        <f aca="false">IF(AND(N(AB4)&gt;0,N(AC4)&gt;0),SQRT(2*AB4/AC4),"")</f>
        <v>0.816496580927726</v>
      </c>
      <c r="AE4" s="18"/>
      <c r="AF4" s="18" t="n">
        <v>2</v>
      </c>
      <c r="AG4" s="18" t="n">
        <v>42.5</v>
      </c>
      <c r="AH4" s="18" t="n">
        <v>700</v>
      </c>
      <c r="AI4" s="18" t="n">
        <v>29.7</v>
      </c>
      <c r="AJ4" s="18" t="n">
        <v>6</v>
      </c>
      <c r="AK4" s="18"/>
      <c r="AL4" s="18"/>
      <c r="AM4" s="18"/>
      <c r="AN4" s="18"/>
      <c r="AO4" s="18"/>
      <c r="AP4" s="18"/>
      <c r="AQ4" s="18"/>
      <c r="AR4" s="18" t="s">
        <v>1088</v>
      </c>
      <c r="AS4" s="18" t="s">
        <v>1913</v>
      </c>
      <c r="AT4" s="18" t="s">
        <v>1919</v>
      </c>
      <c r="AU4" s="18" t="s">
        <v>1915</v>
      </c>
      <c r="AV4" s="18" t="s">
        <v>91</v>
      </c>
      <c r="AW4" s="32" t="s">
        <v>1920</v>
      </c>
      <c r="AX4" s="18" t="s">
        <v>922</v>
      </c>
      <c r="AY4" s="18" t="s">
        <v>1917</v>
      </c>
    </row>
    <row r="5" customFormat="false" ht="15" hidden="false" customHeight="true" outlineLevel="0" collapsed="false">
      <c r="A5" s="18" t="s">
        <v>908</v>
      </c>
      <c r="B5" s="18" t="s">
        <v>908</v>
      </c>
      <c r="C5" s="18" t="s">
        <v>909</v>
      </c>
      <c r="D5" s="18" t="n">
        <v>2019</v>
      </c>
      <c r="E5" s="18" t="s">
        <v>854</v>
      </c>
      <c r="F5" s="18" t="s">
        <v>912</v>
      </c>
      <c r="G5" s="18" t="s">
        <v>913</v>
      </c>
      <c r="H5" s="18" t="n">
        <v>29.7</v>
      </c>
      <c r="I5" s="18" t="n">
        <v>76.96</v>
      </c>
      <c r="J5" s="18" t="s">
        <v>83</v>
      </c>
      <c r="K5" s="18" t="n">
        <v>2015</v>
      </c>
      <c r="L5" s="18" t="s">
        <v>84</v>
      </c>
      <c r="M5" s="18" t="s">
        <v>85</v>
      </c>
      <c r="N5" s="18" t="s">
        <v>1673</v>
      </c>
      <c r="O5" s="18" t="s">
        <v>1674</v>
      </c>
      <c r="P5" s="18" t="n">
        <v>0.63</v>
      </c>
      <c r="Q5" s="18" t="n">
        <v>0.66</v>
      </c>
      <c r="R5" s="18"/>
      <c r="S5" s="18"/>
      <c r="T5" s="18"/>
      <c r="U5" s="18"/>
      <c r="V5" s="18"/>
      <c r="W5" s="18"/>
      <c r="X5" s="18" t="n">
        <v>0.66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1088</v>
      </c>
      <c r="AS5" s="18" t="s">
        <v>1913</v>
      </c>
      <c r="AT5" s="18" t="s">
        <v>1919</v>
      </c>
      <c r="AU5" s="18" t="s">
        <v>1915</v>
      </c>
      <c r="AV5" s="18" t="s">
        <v>91</v>
      </c>
      <c r="AW5" s="32" t="s">
        <v>1921</v>
      </c>
      <c r="AX5" s="18" t="s">
        <v>922</v>
      </c>
      <c r="AY5" s="18" t="s">
        <v>1917</v>
      </c>
    </row>
    <row r="6" customFormat="false" ht="1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1088</v>
      </c>
      <c r="AS6" s="18" t="s">
        <v>1699</v>
      </c>
      <c r="AT6" s="18" t="s">
        <v>1700</v>
      </c>
      <c r="AU6" s="18" t="s">
        <v>1701</v>
      </c>
      <c r="AV6" s="18" t="s">
        <v>1702</v>
      </c>
      <c r="AW6" s="32" t="s">
        <v>1964</v>
      </c>
      <c r="AX6" s="18" t="s">
        <v>949</v>
      </c>
      <c r="AY6" s="18" t="s">
        <v>1923</v>
      </c>
    </row>
    <row r="7" customFormat="false" ht="1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1088</v>
      </c>
      <c r="AS7" s="18" t="s">
        <v>1705</v>
      </c>
      <c r="AT7" s="18" t="s">
        <v>1700</v>
      </c>
      <c r="AU7" s="18" t="s">
        <v>1701</v>
      </c>
      <c r="AV7" s="18" t="s">
        <v>1702</v>
      </c>
      <c r="AW7" s="32" t="s">
        <v>1965</v>
      </c>
      <c r="AX7" s="18" t="s">
        <v>949</v>
      </c>
      <c r="AY7" s="18" t="s">
        <v>1923</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1088</v>
      </c>
      <c r="AS8" s="18" t="s">
        <v>1707</v>
      </c>
      <c r="AT8" s="18" t="s">
        <v>1700</v>
      </c>
      <c r="AU8" s="18" t="s">
        <v>1701</v>
      </c>
      <c r="AV8" s="18" t="s">
        <v>1702</v>
      </c>
      <c r="AW8" s="32" t="s">
        <v>1966</v>
      </c>
      <c r="AX8" s="18" t="s">
        <v>949</v>
      </c>
      <c r="AY8" s="18" t="s">
        <v>1923</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1088</v>
      </c>
      <c r="AS9" s="18" t="s">
        <v>1709</v>
      </c>
      <c r="AT9" s="18" t="s">
        <v>1700</v>
      </c>
      <c r="AU9" s="18" t="s">
        <v>1701</v>
      </c>
      <c r="AV9" s="18" t="s">
        <v>1702</v>
      </c>
      <c r="AW9" s="32" t="s">
        <v>1967</v>
      </c>
      <c r="AX9" s="18" t="s">
        <v>949</v>
      </c>
      <c r="AY9" s="18" t="s">
        <v>1923</v>
      </c>
    </row>
    <row r="10" customFormat="false" ht="14.25" hidden="false" customHeight="true" outlineLevel="0" collapsed="false">
      <c r="A10" s="18" t="s">
        <v>935</v>
      </c>
      <c r="B10" s="18" t="s">
        <v>935</v>
      </c>
      <c r="C10" s="18" t="s">
        <v>936</v>
      </c>
      <c r="D10" s="18" t="n">
        <v>2020</v>
      </c>
      <c r="E10" s="18" t="s">
        <v>937</v>
      </c>
      <c r="F10" s="18" t="s">
        <v>836</v>
      </c>
      <c r="G10" s="18" t="s">
        <v>940</v>
      </c>
      <c r="H10" s="18" t="n">
        <v>28.4</v>
      </c>
      <c r="I10" s="18" t="n">
        <v>77.1</v>
      </c>
      <c r="J10" s="18" t="s">
        <v>83</v>
      </c>
      <c r="K10" s="18" t="s">
        <v>1698</v>
      </c>
      <c r="L10" s="18" t="s">
        <v>823</v>
      </c>
      <c r="M10" s="18" t="s">
        <v>85</v>
      </c>
      <c r="N10" s="18" t="s">
        <v>86</v>
      </c>
      <c r="O10" s="18" t="s">
        <v>1666</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1088</v>
      </c>
      <c r="AS10" s="18" t="s">
        <v>1711</v>
      </c>
      <c r="AT10" s="18" t="s">
        <v>1700</v>
      </c>
      <c r="AU10" s="18" t="s">
        <v>1701</v>
      </c>
      <c r="AV10" s="18" t="s">
        <v>1702</v>
      </c>
      <c r="AW10" s="32" t="s">
        <v>1968</v>
      </c>
      <c r="AX10" s="18" t="s">
        <v>949</v>
      </c>
      <c r="AY10" s="18" t="s">
        <v>1923</v>
      </c>
    </row>
    <row r="11" customFormat="false" ht="14.25" hidden="false" customHeight="true" outlineLevel="0" collapsed="false">
      <c r="A11" s="18" t="s">
        <v>935</v>
      </c>
      <c r="B11" s="18" t="s">
        <v>935</v>
      </c>
      <c r="C11" s="18" t="s">
        <v>936</v>
      </c>
      <c r="D11" s="18" t="n">
        <v>2020</v>
      </c>
      <c r="E11" s="18" t="s">
        <v>937</v>
      </c>
      <c r="F11" s="18" t="s">
        <v>836</v>
      </c>
      <c r="G11" s="18" t="s">
        <v>940</v>
      </c>
      <c r="H11" s="18" t="n">
        <v>28.4</v>
      </c>
      <c r="I11" s="18" t="n">
        <v>77.1</v>
      </c>
      <c r="J11" s="18" t="s">
        <v>83</v>
      </c>
      <c r="K11" s="18" t="s">
        <v>1698</v>
      </c>
      <c r="L11" s="18" t="s">
        <v>823</v>
      </c>
      <c r="M11" s="18" t="s">
        <v>85</v>
      </c>
      <c r="N11" s="18" t="s">
        <v>86</v>
      </c>
      <c r="O11" s="18" t="s">
        <v>1666</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1088</v>
      </c>
      <c r="AS11" s="18" t="s">
        <v>1713</v>
      </c>
      <c r="AT11" s="18" t="s">
        <v>1700</v>
      </c>
      <c r="AU11" s="18" t="s">
        <v>1701</v>
      </c>
      <c r="AV11" s="18" t="s">
        <v>1702</v>
      </c>
      <c r="AW11" s="32" t="s">
        <v>1969</v>
      </c>
      <c r="AX11" s="18" t="s">
        <v>949</v>
      </c>
      <c r="AY11" s="18" t="s">
        <v>1923</v>
      </c>
    </row>
    <row r="12" customFormat="false" ht="14.25" hidden="false" customHeight="true" outlineLevel="0" collapsed="false">
      <c r="A12" s="18" t="s">
        <v>935</v>
      </c>
      <c r="B12" s="18" t="s">
        <v>935</v>
      </c>
      <c r="C12" s="18" t="s">
        <v>936</v>
      </c>
      <c r="D12" s="18" t="n">
        <v>2020</v>
      </c>
      <c r="E12" s="18" t="s">
        <v>937</v>
      </c>
      <c r="F12" s="18" t="s">
        <v>836</v>
      </c>
      <c r="G12" s="18" t="s">
        <v>940</v>
      </c>
      <c r="H12" s="18" t="n">
        <v>28.4</v>
      </c>
      <c r="I12" s="18" t="n">
        <v>77.1</v>
      </c>
      <c r="J12" s="18" t="s">
        <v>83</v>
      </c>
      <c r="K12" s="18" t="s">
        <v>1698</v>
      </c>
      <c r="L12" s="18" t="s">
        <v>823</v>
      </c>
      <c r="M12" s="18" t="s">
        <v>85</v>
      </c>
      <c r="N12" s="18" t="s">
        <v>86</v>
      </c>
      <c r="O12" s="18" t="s">
        <v>1666</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1088</v>
      </c>
      <c r="AS12" s="18" t="s">
        <v>1715</v>
      </c>
      <c r="AT12" s="18" t="s">
        <v>1700</v>
      </c>
      <c r="AU12" s="18" t="s">
        <v>1701</v>
      </c>
      <c r="AV12" s="18" t="s">
        <v>1702</v>
      </c>
      <c r="AW12" s="32" t="s">
        <v>1970</v>
      </c>
      <c r="AX12" s="18" t="s">
        <v>949</v>
      </c>
      <c r="AY12" s="18" t="s">
        <v>1923</v>
      </c>
    </row>
    <row r="13" customFormat="false" ht="14.25" hidden="false" customHeight="true" outlineLevel="0" collapsed="false">
      <c r="A13" s="18" t="s">
        <v>935</v>
      </c>
      <c r="B13" s="18" t="s">
        <v>935</v>
      </c>
      <c r="C13" s="18" t="s">
        <v>936</v>
      </c>
      <c r="D13" s="18" t="n">
        <v>2020</v>
      </c>
      <c r="E13" s="18" t="s">
        <v>937</v>
      </c>
      <c r="F13" s="18" t="s">
        <v>836</v>
      </c>
      <c r="G13" s="18" t="s">
        <v>940</v>
      </c>
      <c r="H13" s="18" t="n">
        <v>28.4</v>
      </c>
      <c r="I13" s="18" t="n">
        <v>77.1</v>
      </c>
      <c r="J13" s="18" t="s">
        <v>83</v>
      </c>
      <c r="K13" s="18" t="s">
        <v>1698</v>
      </c>
      <c r="L13" s="18" t="s">
        <v>823</v>
      </c>
      <c r="M13" s="18" t="s">
        <v>85</v>
      </c>
      <c r="N13" s="18" t="s">
        <v>86</v>
      </c>
      <c r="O13" s="18" t="s">
        <v>1666</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1088</v>
      </c>
      <c r="AS13" s="18" t="s">
        <v>1717</v>
      </c>
      <c r="AT13" s="18" t="s">
        <v>1700</v>
      </c>
      <c r="AU13" s="18" t="s">
        <v>1701</v>
      </c>
      <c r="AV13" s="18" t="s">
        <v>1702</v>
      </c>
      <c r="AW13" s="32" t="s">
        <v>1971</v>
      </c>
      <c r="AX13" s="18" t="s">
        <v>949</v>
      </c>
      <c r="AY13" s="18" t="s">
        <v>1923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1972</v>
      </c>
      <c r="Q1" s="27" t="s">
        <v>1973</v>
      </c>
      <c r="R1" s="27" t="s">
        <v>1974</v>
      </c>
      <c r="S1" s="27" t="s">
        <v>1975</v>
      </c>
      <c r="T1" s="27" t="s">
        <v>1976</v>
      </c>
      <c r="U1" s="27" t="s">
        <v>1977</v>
      </c>
      <c r="V1" s="27" t="s">
        <v>1978</v>
      </c>
      <c r="W1" s="27" t="s">
        <v>1979</v>
      </c>
      <c r="X1" s="30" t="s">
        <v>1980</v>
      </c>
      <c r="Y1" s="30" t="s">
        <v>1981</v>
      </c>
      <c r="Z1" s="30" t="s">
        <v>1982</v>
      </c>
      <c r="AA1" s="30" t="s">
        <v>1983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1984</v>
      </c>
      <c r="AS2" s="18" t="s">
        <v>1667</v>
      </c>
      <c r="AT2" s="18" t="s">
        <v>1668</v>
      </c>
      <c r="AU2" s="18" t="s">
        <v>1669</v>
      </c>
      <c r="AV2" s="18" t="s">
        <v>1985</v>
      </c>
      <c r="AW2" s="32" t="s">
        <v>1986</v>
      </c>
      <c r="AX2" s="18" t="s">
        <v>898</v>
      </c>
      <c r="AY2" s="18" t="s">
        <v>1987</v>
      </c>
      <c r="BA2" s="33" t="s">
        <v>1091</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1984</v>
      </c>
      <c r="AS3" s="18" t="s">
        <v>1667</v>
      </c>
      <c r="AT3" s="18" t="s">
        <v>1668</v>
      </c>
      <c r="AU3" s="18" t="s">
        <v>1669</v>
      </c>
      <c r="AV3" s="18" t="s">
        <v>1985</v>
      </c>
      <c r="AW3" s="32" t="s">
        <v>1986</v>
      </c>
      <c r="AX3" s="18" t="s">
        <v>898</v>
      </c>
      <c r="AY3" s="18" t="s">
        <v>1987</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1988</v>
      </c>
      <c r="AS4" s="5" t="s">
        <v>1895</v>
      </c>
      <c r="AT4" s="5" t="s">
        <v>1896</v>
      </c>
      <c r="AU4" s="5" t="s">
        <v>1897</v>
      </c>
      <c r="AV4" s="5" t="s">
        <v>1989</v>
      </c>
      <c r="AW4" s="23" t="s">
        <v>1990</v>
      </c>
      <c r="AX4" s="5" t="s">
        <v>869</v>
      </c>
      <c r="AY4" s="5" t="s">
        <v>1991</v>
      </c>
    </row>
    <row r="5" customFormat="false" ht="1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1988</v>
      </c>
      <c r="AS5" s="5" t="s">
        <v>1895</v>
      </c>
      <c r="AT5" s="5" t="s">
        <v>1896</v>
      </c>
      <c r="AU5" s="5" t="s">
        <v>1897</v>
      </c>
      <c r="AV5" s="5" t="s">
        <v>1989</v>
      </c>
      <c r="AW5" s="23" t="s">
        <v>1990</v>
      </c>
      <c r="AX5" s="5" t="s">
        <v>869</v>
      </c>
      <c r="AY5" s="5" t="s">
        <v>1991</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1673</v>
      </c>
      <c r="O6" s="5" t="s">
        <v>1674</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1988</v>
      </c>
      <c r="AS6" s="5" t="s">
        <v>1895</v>
      </c>
      <c r="AT6" s="5" t="s">
        <v>1896</v>
      </c>
      <c r="AU6" s="5" t="s">
        <v>1897</v>
      </c>
      <c r="AV6" s="5" t="s">
        <v>1989</v>
      </c>
      <c r="AW6" s="23" t="s">
        <v>1992</v>
      </c>
      <c r="AX6" s="5" t="s">
        <v>869</v>
      </c>
      <c r="AY6" s="5" t="s">
        <v>1991</v>
      </c>
    </row>
    <row r="7" customFormat="false" ht="15" hidden="false" customHeight="true" outlineLevel="0" collapsed="false">
      <c r="A7" s="18" t="s">
        <v>908</v>
      </c>
      <c r="B7" s="18" t="s">
        <v>908</v>
      </c>
      <c r="C7" s="18" t="s">
        <v>909</v>
      </c>
      <c r="D7" s="18" t="n">
        <v>2019</v>
      </c>
      <c r="E7" s="18" t="s">
        <v>854</v>
      </c>
      <c r="F7" s="18" t="s">
        <v>912</v>
      </c>
      <c r="G7" s="18" t="s">
        <v>913</v>
      </c>
      <c r="H7" s="18" t="n">
        <v>29.7</v>
      </c>
      <c r="I7" s="18" t="n">
        <v>76.96</v>
      </c>
      <c r="J7" s="18" t="s">
        <v>83</v>
      </c>
      <c r="K7" s="18" t="n">
        <v>2013</v>
      </c>
      <c r="L7" s="18" t="s">
        <v>84</v>
      </c>
      <c r="M7" s="18" t="s">
        <v>85</v>
      </c>
      <c r="N7" s="18" t="s">
        <v>86</v>
      </c>
      <c r="O7" s="18" t="s">
        <v>1666</v>
      </c>
      <c r="P7" s="18" t="n">
        <f aca="false">ROUND(43.77/100,4)</f>
        <v>0.4377</v>
      </c>
      <c r="Q7" s="18" t="n">
        <f aca="false">ROUND(30.84/100,4)</f>
        <v>0.3084</v>
      </c>
      <c r="R7" s="18"/>
      <c r="S7" s="18"/>
      <c r="T7" s="18"/>
      <c r="U7" s="18"/>
      <c r="V7" s="18"/>
      <c r="W7" s="18"/>
      <c r="X7" s="18" t="n">
        <f aca="false">ROUND(41.44/100,4)</f>
        <v>0.4144</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1993</v>
      </c>
      <c r="AS7" s="18" t="s">
        <v>1913</v>
      </c>
      <c r="AT7" s="18" t="s">
        <v>1914</v>
      </c>
      <c r="AU7" s="18" t="s">
        <v>1915</v>
      </c>
      <c r="AV7" s="18" t="s">
        <v>1994</v>
      </c>
      <c r="AW7" s="32" t="s">
        <v>1916</v>
      </c>
      <c r="AX7" s="18" t="s">
        <v>922</v>
      </c>
      <c r="AY7" s="18" t="s">
        <v>1917</v>
      </c>
    </row>
    <row r="8" customFormat="false" ht="15" hidden="false" customHeight="true" outlineLevel="0" collapsed="false">
      <c r="A8" s="18" t="s">
        <v>908</v>
      </c>
      <c r="B8" s="18" t="s">
        <v>908</v>
      </c>
      <c r="C8" s="18" t="s">
        <v>909</v>
      </c>
      <c r="D8" s="18" t="n">
        <v>2019</v>
      </c>
      <c r="E8" s="18" t="s">
        <v>854</v>
      </c>
      <c r="F8" s="18" t="s">
        <v>912</v>
      </c>
      <c r="G8" s="18" t="s">
        <v>913</v>
      </c>
      <c r="H8" s="18" t="n">
        <v>29.7</v>
      </c>
      <c r="I8" s="18" t="n">
        <v>76.96</v>
      </c>
      <c r="J8" s="18" t="s">
        <v>83</v>
      </c>
      <c r="K8" s="18" t="n">
        <v>2013</v>
      </c>
      <c r="L8" s="18" t="s">
        <v>84</v>
      </c>
      <c r="M8" s="18" t="s">
        <v>85</v>
      </c>
      <c r="N8" s="18" t="s">
        <v>1673</v>
      </c>
      <c r="O8" s="18" t="s">
        <v>1674</v>
      </c>
      <c r="P8" s="18" t="n">
        <f aca="false">ROUND(26.39/100,4)</f>
        <v>0.2639</v>
      </c>
      <c r="Q8" s="18" t="n">
        <f aca="false">ROUND(28.8/100,4)</f>
        <v>0.288</v>
      </c>
      <c r="R8" s="18"/>
      <c r="S8" s="18"/>
      <c r="T8" s="18"/>
      <c r="U8" s="18"/>
      <c r="V8" s="18"/>
      <c r="W8" s="18"/>
      <c r="X8" s="18" t="n">
        <f aca="false">ROUND(30.5/100,4)</f>
        <v>0.305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1993</v>
      </c>
      <c r="AS8" s="18" t="s">
        <v>1913</v>
      </c>
      <c r="AT8" s="18" t="s">
        <v>1914</v>
      </c>
      <c r="AU8" s="18" t="s">
        <v>1915</v>
      </c>
      <c r="AV8" s="18" t="s">
        <v>1994</v>
      </c>
      <c r="AW8" s="32" t="s">
        <v>1918</v>
      </c>
      <c r="AX8" s="18" t="s">
        <v>922</v>
      </c>
      <c r="AY8" s="18" t="s">
        <v>1917</v>
      </c>
    </row>
    <row r="9" customFormat="false" ht="15" hidden="false" customHeight="true" outlineLevel="0" collapsed="false">
      <c r="A9" s="18" t="s">
        <v>908</v>
      </c>
      <c r="B9" s="18" t="s">
        <v>908</v>
      </c>
      <c r="C9" s="18" t="s">
        <v>909</v>
      </c>
      <c r="D9" s="18" t="n">
        <v>2019</v>
      </c>
      <c r="E9" s="18" t="s">
        <v>854</v>
      </c>
      <c r="F9" s="18" t="s">
        <v>912</v>
      </c>
      <c r="G9" s="18" t="s">
        <v>913</v>
      </c>
      <c r="H9" s="18" t="n">
        <v>29.7</v>
      </c>
      <c r="I9" s="18" t="n">
        <v>76.96</v>
      </c>
      <c r="J9" s="18" t="s">
        <v>83</v>
      </c>
      <c r="K9" s="18" t="n">
        <v>2015</v>
      </c>
      <c r="L9" s="18" t="s">
        <v>84</v>
      </c>
      <c r="M9" s="18" t="s">
        <v>85</v>
      </c>
      <c r="N9" s="18" t="s">
        <v>86</v>
      </c>
      <c r="O9" s="18" t="s">
        <v>1666</v>
      </c>
      <c r="P9" s="18" t="n">
        <f aca="false">ROUND(51.32/100,4)</f>
        <v>0.5132</v>
      </c>
      <c r="Q9" s="18" t="n">
        <f aca="false">ROUND(33.29/100,4)</f>
        <v>0.3329</v>
      </c>
      <c r="R9" s="18"/>
      <c r="S9" s="18"/>
      <c r="T9" s="18"/>
      <c r="U9" s="18"/>
      <c r="V9" s="18"/>
      <c r="W9" s="18"/>
      <c r="X9" s="18" t="n">
        <f aca="false">ROUND(49.2/100,4)</f>
        <v>0.492</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1993</v>
      </c>
      <c r="AS9" s="18" t="s">
        <v>1913</v>
      </c>
      <c r="AT9" s="18" t="s">
        <v>1919</v>
      </c>
      <c r="AU9" s="18" t="s">
        <v>1915</v>
      </c>
      <c r="AV9" s="18" t="s">
        <v>1994</v>
      </c>
      <c r="AW9" s="32" t="s">
        <v>1920</v>
      </c>
      <c r="AX9" s="18" t="s">
        <v>922</v>
      </c>
      <c r="AY9" s="18" t="s">
        <v>1917</v>
      </c>
    </row>
    <row r="10" customFormat="false" ht="15" hidden="false" customHeight="true" outlineLevel="0" collapsed="false">
      <c r="A10" s="18" t="s">
        <v>908</v>
      </c>
      <c r="B10" s="18" t="s">
        <v>908</v>
      </c>
      <c r="C10" s="18" t="s">
        <v>909</v>
      </c>
      <c r="D10" s="18" t="n">
        <v>2019</v>
      </c>
      <c r="E10" s="18" t="s">
        <v>854</v>
      </c>
      <c r="F10" s="18" t="s">
        <v>912</v>
      </c>
      <c r="G10" s="18" t="s">
        <v>913</v>
      </c>
      <c r="H10" s="18" t="n">
        <v>29.7</v>
      </c>
      <c r="I10" s="18" t="n">
        <v>76.96</v>
      </c>
      <c r="J10" s="18" t="s">
        <v>83</v>
      </c>
      <c r="K10" s="18" t="n">
        <v>2015</v>
      </c>
      <c r="L10" s="18" t="s">
        <v>84</v>
      </c>
      <c r="M10" s="18" t="s">
        <v>85</v>
      </c>
      <c r="N10" s="18" t="s">
        <v>1673</v>
      </c>
      <c r="O10" s="18" t="s">
        <v>1674</v>
      </c>
      <c r="P10" s="18" t="n">
        <f aca="false">ROUND(31.91/100,4)</f>
        <v>0.3191</v>
      </c>
      <c r="Q10" s="18" t="n">
        <f aca="false">ROUND(29.07/100,4)</f>
        <v>0.2907</v>
      </c>
      <c r="R10" s="18"/>
      <c r="S10" s="18"/>
      <c r="T10" s="18"/>
      <c r="U10" s="18"/>
      <c r="V10" s="18"/>
      <c r="W10" s="18"/>
      <c r="X10" s="18" t="n">
        <f aca="false">ROUND(39.41/100,4)</f>
        <v>0.3941</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1993</v>
      </c>
      <c r="AS10" s="18" t="s">
        <v>1913</v>
      </c>
      <c r="AT10" s="18" t="s">
        <v>1919</v>
      </c>
      <c r="AU10" s="18" t="s">
        <v>1915</v>
      </c>
      <c r="AV10" s="18" t="s">
        <v>1994</v>
      </c>
      <c r="AW10" s="32" t="s">
        <v>1921</v>
      </c>
      <c r="AX10" s="18" t="s">
        <v>922</v>
      </c>
      <c r="AY10" s="18" t="s">
        <v>1917</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1995</v>
      </c>
      <c r="Q1" s="27" t="s">
        <v>1996</v>
      </c>
      <c r="R1" s="27" t="s">
        <v>1997</v>
      </c>
      <c r="S1" s="27" t="s">
        <v>1998</v>
      </c>
      <c r="T1" s="27" t="s">
        <v>1999</v>
      </c>
      <c r="U1" s="27" t="s">
        <v>2000</v>
      </c>
      <c r="V1" s="27" t="s">
        <v>2001</v>
      </c>
      <c r="W1" s="27" t="s">
        <v>2002</v>
      </c>
      <c r="X1" s="30" t="s">
        <v>2003</v>
      </c>
      <c r="Y1" s="30" t="s">
        <v>2004</v>
      </c>
      <c r="Z1" s="30" t="s">
        <v>2005</v>
      </c>
      <c r="AA1" s="30" t="s">
        <v>2006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2007</v>
      </c>
      <c r="AS2" s="18" t="s">
        <v>1667</v>
      </c>
      <c r="AT2" s="18" t="s">
        <v>1668</v>
      </c>
      <c r="AU2" s="18" t="s">
        <v>1669</v>
      </c>
      <c r="AV2" s="18" t="s">
        <v>91</v>
      </c>
      <c r="AW2" s="32" t="s">
        <v>2008</v>
      </c>
      <c r="AX2" s="18" t="s">
        <v>898</v>
      </c>
      <c r="AY2" s="18" t="s">
        <v>1987</v>
      </c>
      <c r="BA2" s="33" t="s">
        <v>1094</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2007</v>
      </c>
      <c r="AS3" s="18" t="s">
        <v>1667</v>
      </c>
      <c r="AT3" s="18" t="s">
        <v>1668</v>
      </c>
      <c r="AU3" s="18" t="s">
        <v>1669</v>
      </c>
      <c r="AV3" s="18" t="s">
        <v>91</v>
      </c>
      <c r="AW3" s="32" t="s">
        <v>2008</v>
      </c>
      <c r="AX3" s="18" t="s">
        <v>898</v>
      </c>
      <c r="AY3" s="18" t="s">
        <v>1987</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2009</v>
      </c>
      <c r="AS4" s="5" t="s">
        <v>1895</v>
      </c>
      <c r="AT4" s="5" t="s">
        <v>1896</v>
      </c>
      <c r="AU4" s="5" t="s">
        <v>1897</v>
      </c>
      <c r="AV4" s="5" t="s">
        <v>2010</v>
      </c>
      <c r="AW4" s="23" t="s">
        <v>2011</v>
      </c>
      <c r="AX4" s="5" t="s">
        <v>869</v>
      </c>
      <c r="AY4" s="5" t="s">
        <v>1991</v>
      </c>
    </row>
    <row r="5" customFormat="false" ht="1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2009</v>
      </c>
      <c r="AS5" s="5" t="s">
        <v>1895</v>
      </c>
      <c r="AT5" s="5" t="s">
        <v>1896</v>
      </c>
      <c r="AU5" s="5" t="s">
        <v>1897</v>
      </c>
      <c r="AV5" s="5" t="s">
        <v>2010</v>
      </c>
      <c r="AW5" s="23" t="s">
        <v>2012</v>
      </c>
      <c r="AX5" s="5" t="s">
        <v>869</v>
      </c>
      <c r="AY5" s="5" t="s">
        <v>1991</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1673</v>
      </c>
      <c r="O6" s="5" t="s">
        <v>1674</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2009</v>
      </c>
      <c r="AS6" s="5" t="s">
        <v>1895</v>
      </c>
      <c r="AT6" s="5" t="s">
        <v>1896</v>
      </c>
      <c r="AU6" s="5" t="s">
        <v>1897</v>
      </c>
      <c r="AV6" s="5" t="s">
        <v>2010</v>
      </c>
      <c r="AW6" s="23" t="s">
        <v>2013</v>
      </c>
      <c r="AX6" s="5" t="s">
        <v>869</v>
      </c>
      <c r="AY6" s="5" t="s">
        <v>1991</v>
      </c>
    </row>
    <row r="7" customFormat="false" ht="15" hidden="false" customHeight="true" outlineLevel="0" collapsed="false">
      <c r="A7" s="5" t="s">
        <v>952</v>
      </c>
      <c r="B7" s="5" t="s">
        <v>952</v>
      </c>
      <c r="C7" s="5" t="s">
        <v>953</v>
      </c>
      <c r="D7" s="5" t="n">
        <v>2023</v>
      </c>
      <c r="E7" s="5" t="s">
        <v>954</v>
      </c>
      <c r="F7" s="5" t="s">
        <v>957</v>
      </c>
      <c r="G7" s="5" t="s">
        <v>958</v>
      </c>
      <c r="H7" s="5" t="n">
        <v>35.27</v>
      </c>
      <c r="I7" s="5" t="n">
        <v>119.38</v>
      </c>
      <c r="J7" s="5" t="s">
        <v>891</v>
      </c>
      <c r="K7" s="5" t="n">
        <v>2020</v>
      </c>
      <c r="L7" s="5" t="s">
        <v>842</v>
      </c>
      <c r="M7" s="5"/>
      <c r="N7" s="5" t="s">
        <v>86</v>
      </c>
      <c r="O7" s="5" t="s">
        <v>1685</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2014</v>
      </c>
      <c r="AS7" s="5" t="s">
        <v>1686</v>
      </c>
      <c r="AT7" s="5" t="s">
        <v>1908</v>
      </c>
      <c r="AU7" s="5" t="s">
        <v>1688</v>
      </c>
      <c r="AV7" s="5" t="s">
        <v>1725</v>
      </c>
      <c r="AW7" s="23" t="s">
        <v>2015</v>
      </c>
      <c r="AX7" s="5" t="s">
        <v>968</v>
      </c>
      <c r="AY7" s="5" t="s">
        <v>2016</v>
      </c>
    </row>
    <row r="8" customFormat="false" ht="15" hidden="false" customHeight="true" outlineLevel="0" collapsed="false">
      <c r="A8" s="5" t="s">
        <v>952</v>
      </c>
      <c r="B8" s="5" t="s">
        <v>952</v>
      </c>
      <c r="C8" s="5" t="s">
        <v>953</v>
      </c>
      <c r="D8" s="5" t="n">
        <v>2023</v>
      </c>
      <c r="E8" s="5" t="s">
        <v>954</v>
      </c>
      <c r="F8" s="5" t="s">
        <v>957</v>
      </c>
      <c r="G8" s="5" t="s">
        <v>958</v>
      </c>
      <c r="H8" s="5" t="n">
        <v>35.27</v>
      </c>
      <c r="I8" s="5" t="n">
        <v>119.38</v>
      </c>
      <c r="J8" s="5" t="s">
        <v>891</v>
      </c>
      <c r="K8" s="5" t="n">
        <v>2020</v>
      </c>
      <c r="L8" s="5" t="s">
        <v>842</v>
      </c>
      <c r="M8" s="5"/>
      <c r="N8" s="5" t="s">
        <v>1673</v>
      </c>
      <c r="O8" s="5" t="s">
        <v>1694</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2014</v>
      </c>
      <c r="AS8" s="5" t="s">
        <v>1686</v>
      </c>
      <c r="AT8" s="5" t="s">
        <v>1908</v>
      </c>
      <c r="AU8" s="5" t="s">
        <v>1688</v>
      </c>
      <c r="AV8" s="5" t="s">
        <v>1725</v>
      </c>
      <c r="AW8" s="23" t="s">
        <v>2017</v>
      </c>
      <c r="AX8" s="5" t="s">
        <v>968</v>
      </c>
      <c r="AY8" s="5" t="s">
        <v>2016</v>
      </c>
    </row>
    <row r="9" customFormat="false" ht="15" hidden="false" customHeight="true" outlineLevel="0" collapsed="false">
      <c r="A9" s="5" t="s">
        <v>952</v>
      </c>
      <c r="B9" s="5" t="s">
        <v>952</v>
      </c>
      <c r="C9" s="5" t="s">
        <v>953</v>
      </c>
      <c r="D9" s="5" t="n">
        <v>2023</v>
      </c>
      <c r="E9" s="5" t="s">
        <v>954</v>
      </c>
      <c r="F9" s="5" t="s">
        <v>957</v>
      </c>
      <c r="G9" s="5" t="s">
        <v>958</v>
      </c>
      <c r="H9" s="5" t="n">
        <v>35.27</v>
      </c>
      <c r="I9" s="5" t="n">
        <v>119.38</v>
      </c>
      <c r="J9" s="5" t="s">
        <v>891</v>
      </c>
      <c r="K9" s="5" t="n">
        <v>2020</v>
      </c>
      <c r="L9" s="5" t="s">
        <v>842</v>
      </c>
      <c r="M9" s="5"/>
      <c r="N9" s="5" t="s">
        <v>1673</v>
      </c>
      <c r="O9" s="5" t="s">
        <v>1696</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2014</v>
      </c>
      <c r="AS9" s="5" t="s">
        <v>1686</v>
      </c>
      <c r="AT9" s="5" t="s">
        <v>1908</v>
      </c>
      <c r="AU9" s="5" t="s">
        <v>1688</v>
      </c>
      <c r="AV9" s="5" t="s">
        <v>1725</v>
      </c>
      <c r="AW9" s="23" t="s">
        <v>2018</v>
      </c>
      <c r="AX9" s="5" t="s">
        <v>968</v>
      </c>
      <c r="AY9" s="5" t="s">
        <v>2016</v>
      </c>
    </row>
    <row r="10" customFormat="false" ht="14.25" hidden="false" customHeight="true" outlineLevel="0" collapsed="false">
      <c r="A10" s="18" t="s">
        <v>908</v>
      </c>
      <c r="B10" s="18" t="s">
        <v>908</v>
      </c>
      <c r="C10" s="18" t="s">
        <v>909</v>
      </c>
      <c r="D10" s="18" t="n">
        <v>2019</v>
      </c>
      <c r="E10" s="18" t="s">
        <v>854</v>
      </c>
      <c r="F10" s="18" t="s">
        <v>912</v>
      </c>
      <c r="G10" s="18" t="s">
        <v>913</v>
      </c>
      <c r="H10" s="18" t="n">
        <v>29.7</v>
      </c>
      <c r="I10" s="18" t="n">
        <v>76.96</v>
      </c>
      <c r="J10" s="18" t="s">
        <v>83</v>
      </c>
      <c r="K10" s="18" t="n">
        <v>2013</v>
      </c>
      <c r="L10" s="18" t="s">
        <v>84</v>
      </c>
      <c r="M10" s="18" t="s">
        <v>85</v>
      </c>
      <c r="N10" s="18" t="s">
        <v>86</v>
      </c>
      <c r="O10" s="18" t="s">
        <v>1666</v>
      </c>
      <c r="P10" s="18" t="n">
        <v>40.33</v>
      </c>
      <c r="Q10" s="18" t="n">
        <v>21.93</v>
      </c>
      <c r="R10" s="18"/>
      <c r="S10" s="18"/>
      <c r="T10" s="18"/>
      <c r="U10" s="18"/>
      <c r="V10" s="18"/>
      <c r="W10" s="18"/>
      <c r="X10" s="18" t="n">
        <v>32.34</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4</v>
      </c>
      <c r="AK10" s="18"/>
      <c r="AL10" s="18"/>
      <c r="AM10" s="18"/>
      <c r="AN10" s="18"/>
      <c r="AO10" s="18"/>
      <c r="AP10" s="18"/>
      <c r="AQ10" s="18"/>
      <c r="AR10" s="18" t="s">
        <v>2019</v>
      </c>
      <c r="AS10" s="18" t="s">
        <v>1913</v>
      </c>
      <c r="AT10" s="18" t="s">
        <v>1914</v>
      </c>
      <c r="AU10" s="18" t="s">
        <v>1915</v>
      </c>
      <c r="AV10" s="18" t="s">
        <v>91</v>
      </c>
      <c r="AW10" s="32" t="s">
        <v>1916</v>
      </c>
      <c r="AX10" s="18" t="s">
        <v>922</v>
      </c>
      <c r="AY10" s="18" t="s">
        <v>1917</v>
      </c>
    </row>
    <row r="11" customFormat="false" ht="14.25" hidden="false" customHeight="true" outlineLevel="0" collapsed="false">
      <c r="A11" s="18" t="s">
        <v>908</v>
      </c>
      <c r="B11" s="18" t="s">
        <v>908</v>
      </c>
      <c r="C11" s="18" t="s">
        <v>909</v>
      </c>
      <c r="D11" s="18" t="n">
        <v>2019</v>
      </c>
      <c r="E11" s="18" t="s">
        <v>854</v>
      </c>
      <c r="F11" s="18" t="s">
        <v>912</v>
      </c>
      <c r="G11" s="18" t="s">
        <v>913</v>
      </c>
      <c r="H11" s="18" t="n">
        <v>29.7</v>
      </c>
      <c r="I11" s="18" t="n">
        <v>76.96</v>
      </c>
      <c r="J11" s="18" t="s">
        <v>83</v>
      </c>
      <c r="K11" s="18" t="n">
        <v>2013</v>
      </c>
      <c r="L11" s="18" t="s">
        <v>84</v>
      </c>
      <c r="M11" s="18" t="s">
        <v>85</v>
      </c>
      <c r="N11" s="18" t="s">
        <v>1673</v>
      </c>
      <c r="O11" s="18" t="s">
        <v>1674</v>
      </c>
      <c r="P11" s="18" t="n">
        <v>13.9</v>
      </c>
      <c r="Q11" s="18" t="n">
        <v>17.95</v>
      </c>
      <c r="R11" s="18"/>
      <c r="S11" s="18"/>
      <c r="T11" s="18"/>
      <c r="U11" s="18"/>
      <c r="V11" s="18"/>
      <c r="W11" s="18"/>
      <c r="X11" s="18" t="n">
        <v>17.54</v>
      </c>
      <c r="Y11" s="18"/>
      <c r="Z11" s="18"/>
      <c r="AA11" s="18"/>
      <c r="AB11" s="18" t="n">
        <v>1</v>
      </c>
      <c r="AC11" s="18" t="n">
        <v>3</v>
      </c>
      <c r="AD11" s="18" t="n">
        <f aca="false">IF(AND(N(AB11)&gt;0,N(AC11)&gt;0),SQRT(2*AB11/AC11),"")</f>
        <v>0.816496580927726</v>
      </c>
      <c r="AE11" s="18"/>
      <c r="AF11" s="18" t="n">
        <v>2</v>
      </c>
      <c r="AG11" s="18" t="n">
        <v>42.5</v>
      </c>
      <c r="AH11" s="18" t="n">
        <v>700</v>
      </c>
      <c r="AI11" s="18" t="n">
        <v>29.7</v>
      </c>
      <c r="AJ11" s="18" t="n">
        <v>4</v>
      </c>
      <c r="AK11" s="18"/>
      <c r="AL11" s="18"/>
      <c r="AM11" s="18"/>
      <c r="AN11" s="18"/>
      <c r="AO11" s="18"/>
      <c r="AP11" s="18"/>
      <c r="AQ11" s="18"/>
      <c r="AR11" s="18" t="s">
        <v>2019</v>
      </c>
      <c r="AS11" s="18" t="s">
        <v>1913</v>
      </c>
      <c r="AT11" s="18" t="s">
        <v>1914</v>
      </c>
      <c r="AU11" s="18" t="s">
        <v>1915</v>
      </c>
      <c r="AV11" s="18" t="s">
        <v>91</v>
      </c>
      <c r="AW11" s="32" t="s">
        <v>1918</v>
      </c>
      <c r="AX11" s="18" t="s">
        <v>922</v>
      </c>
      <c r="AY11" s="18" t="s">
        <v>1917</v>
      </c>
    </row>
    <row r="12" customFormat="false" ht="14.25" hidden="false" customHeight="true" outlineLevel="0" collapsed="false">
      <c r="A12" s="18" t="s">
        <v>908</v>
      </c>
      <c r="B12" s="18" t="s">
        <v>908</v>
      </c>
      <c r="C12" s="18" t="s">
        <v>909</v>
      </c>
      <c r="D12" s="18" t="n">
        <v>2019</v>
      </c>
      <c r="E12" s="18" t="s">
        <v>854</v>
      </c>
      <c r="F12" s="18" t="s">
        <v>912</v>
      </c>
      <c r="G12" s="18" t="s">
        <v>913</v>
      </c>
      <c r="H12" s="18" t="n">
        <v>29.7</v>
      </c>
      <c r="I12" s="18" t="n">
        <v>76.96</v>
      </c>
      <c r="J12" s="18" t="s">
        <v>83</v>
      </c>
      <c r="K12" s="18" t="n">
        <v>2015</v>
      </c>
      <c r="L12" s="18" t="s">
        <v>84</v>
      </c>
      <c r="M12" s="18" t="s">
        <v>85</v>
      </c>
      <c r="N12" s="18" t="s">
        <v>86</v>
      </c>
      <c r="O12" s="18" t="s">
        <v>1666</v>
      </c>
      <c r="P12" s="18" t="n">
        <v>44.4</v>
      </c>
      <c r="Q12" s="18" t="n">
        <v>23.46</v>
      </c>
      <c r="R12" s="18"/>
      <c r="S12" s="18"/>
      <c r="T12" s="18"/>
      <c r="U12" s="18"/>
      <c r="V12" s="18"/>
      <c r="W12" s="18"/>
      <c r="X12" s="18" t="n">
        <v>42.57</v>
      </c>
      <c r="Y12" s="18"/>
      <c r="Z12" s="18"/>
      <c r="AA12" s="18"/>
      <c r="AB12" s="18" t="n">
        <v>1</v>
      </c>
      <c r="AC12" s="18" t="n">
        <v>3</v>
      </c>
      <c r="AD12" s="18" t="n">
        <f aca="false">IF(AND(N(AB12)&gt;0,N(AC12)&gt;0),SQRT(2*AB12/AC12),"")</f>
        <v>0.816496580927726</v>
      </c>
      <c r="AE12" s="18"/>
      <c r="AF12" s="18" t="n">
        <v>2</v>
      </c>
      <c r="AG12" s="18" t="n">
        <v>42.5</v>
      </c>
      <c r="AH12" s="18" t="n">
        <v>700</v>
      </c>
      <c r="AI12" s="18" t="n">
        <v>29.7</v>
      </c>
      <c r="AJ12" s="18" t="n">
        <v>6</v>
      </c>
      <c r="AK12" s="18"/>
      <c r="AL12" s="18"/>
      <c r="AM12" s="18"/>
      <c r="AN12" s="18"/>
      <c r="AO12" s="18"/>
      <c r="AP12" s="18"/>
      <c r="AQ12" s="18"/>
      <c r="AR12" s="18" t="s">
        <v>2019</v>
      </c>
      <c r="AS12" s="18" t="s">
        <v>1913</v>
      </c>
      <c r="AT12" s="18" t="s">
        <v>1919</v>
      </c>
      <c r="AU12" s="18" t="s">
        <v>1915</v>
      </c>
      <c r="AV12" s="18" t="s">
        <v>91</v>
      </c>
      <c r="AW12" s="32" t="s">
        <v>1920</v>
      </c>
      <c r="AX12" s="18" t="s">
        <v>922</v>
      </c>
      <c r="AY12" s="18" t="s">
        <v>1917</v>
      </c>
    </row>
    <row r="13" customFormat="false" ht="14.25" hidden="false" customHeight="true" outlineLevel="0" collapsed="false">
      <c r="A13" s="18" t="s">
        <v>908</v>
      </c>
      <c r="B13" s="18" t="s">
        <v>908</v>
      </c>
      <c r="C13" s="18" t="s">
        <v>909</v>
      </c>
      <c r="D13" s="18" t="n">
        <v>2019</v>
      </c>
      <c r="E13" s="18" t="s">
        <v>854</v>
      </c>
      <c r="F13" s="18" t="s">
        <v>912</v>
      </c>
      <c r="G13" s="18" t="s">
        <v>913</v>
      </c>
      <c r="H13" s="18" t="n">
        <v>29.7</v>
      </c>
      <c r="I13" s="18" t="n">
        <v>76.96</v>
      </c>
      <c r="J13" s="18" t="s">
        <v>83</v>
      </c>
      <c r="K13" s="18" t="n">
        <v>2015</v>
      </c>
      <c r="L13" s="18" t="s">
        <v>84</v>
      </c>
      <c r="M13" s="18" t="s">
        <v>85</v>
      </c>
      <c r="N13" s="18" t="s">
        <v>1673</v>
      </c>
      <c r="O13" s="18" t="s">
        <v>1674</v>
      </c>
      <c r="P13" s="18" t="n">
        <v>24.8</v>
      </c>
      <c r="Q13" s="18" t="n">
        <v>20.28</v>
      </c>
      <c r="R13" s="18"/>
      <c r="S13" s="18"/>
      <c r="T13" s="18"/>
      <c r="U13" s="18"/>
      <c r="V13" s="18"/>
      <c r="W13" s="18"/>
      <c r="X13" s="18" t="n">
        <v>30.99</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6</v>
      </c>
      <c r="AK13" s="18"/>
      <c r="AL13" s="18"/>
      <c r="AM13" s="18"/>
      <c r="AN13" s="18"/>
      <c r="AO13" s="18"/>
      <c r="AP13" s="18"/>
      <c r="AQ13" s="18"/>
      <c r="AR13" s="18" t="s">
        <v>2019</v>
      </c>
      <c r="AS13" s="18" t="s">
        <v>1913</v>
      </c>
      <c r="AT13" s="18" t="s">
        <v>1919</v>
      </c>
      <c r="AU13" s="18" t="s">
        <v>1915</v>
      </c>
      <c r="AV13" s="18" t="s">
        <v>91</v>
      </c>
      <c r="AW13" s="32" t="s">
        <v>1921</v>
      </c>
      <c r="AX13" s="18" t="s">
        <v>922</v>
      </c>
      <c r="AY13" s="18" t="s">
        <v>1917</v>
      </c>
    </row>
    <row r="14" customFormat="false" ht="14.25" hidden="false" customHeight="false" outlineLevel="0" collapsed="false">
      <c r="A14" s="24" t="s">
        <v>988</v>
      </c>
      <c r="B14" s="24" t="s">
        <v>988</v>
      </c>
      <c r="C14" s="24" t="s">
        <v>989</v>
      </c>
      <c r="D14" s="24" t="n">
        <v>2011</v>
      </c>
      <c r="E14" s="24" t="s">
        <v>990</v>
      </c>
      <c r="F14" s="24" t="s">
        <v>857</v>
      </c>
      <c r="G14" s="24" t="s">
        <v>993</v>
      </c>
      <c r="H14" s="24" t="n">
        <v>29.017</v>
      </c>
      <c r="I14" s="24" t="n">
        <v>77.75</v>
      </c>
      <c r="J14" s="24" t="s">
        <v>83</v>
      </c>
      <c r="K14" s="24" t="s">
        <v>2020</v>
      </c>
      <c r="L14" s="24" t="s">
        <v>842</v>
      </c>
      <c r="M14" s="24" t="s">
        <v>85</v>
      </c>
      <c r="N14" s="24" t="s">
        <v>86</v>
      </c>
      <c r="O14" s="24" t="s">
        <v>1666</v>
      </c>
      <c r="P14" s="24"/>
      <c r="Q14" s="24" t="n">
        <v>54.33</v>
      </c>
      <c r="R14" s="24" t="n">
        <v>61.47</v>
      </c>
      <c r="S14" s="24"/>
      <c r="T14" s="24"/>
      <c r="U14" s="24" t="n">
        <v>57.67</v>
      </c>
      <c r="V14" s="24"/>
      <c r="W14" s="24"/>
      <c r="X14" s="24"/>
      <c r="Y14" s="24" t="n">
        <v>54.2</v>
      </c>
      <c r="Z14" s="24"/>
      <c r="AA14" s="24"/>
      <c r="AB14" s="24" t="n">
        <v>2</v>
      </c>
      <c r="AC14" s="24" t="n">
        <v>3</v>
      </c>
      <c r="AD14" s="24" t="n">
        <f aca="false">IF(AND(N(AB14)&gt;0,N(AC14)&gt;0),SQRT(2*AB14/AC14),"")</f>
        <v>1.15470053837925</v>
      </c>
      <c r="AE14" s="24" t="n">
        <v>19</v>
      </c>
      <c r="AF14" s="24" t="n">
        <v>2</v>
      </c>
      <c r="AG14" s="24" t="n">
        <v>43</v>
      </c>
      <c r="AH14" s="24" t="n">
        <v>800</v>
      </c>
      <c r="AI14" s="24" t="n">
        <v>29.017</v>
      </c>
      <c r="AJ14" s="24" t="n">
        <v>2</v>
      </c>
      <c r="AK14" s="24"/>
      <c r="AL14" s="24"/>
      <c r="AM14" s="24" t="n">
        <v>8.1</v>
      </c>
      <c r="AN14" s="24"/>
      <c r="AO14" s="24"/>
      <c r="AP14" s="24" t="n">
        <v>55</v>
      </c>
      <c r="AQ14" s="24" t="n">
        <v>26</v>
      </c>
      <c r="AR14" s="24" t="s">
        <v>2014</v>
      </c>
      <c r="AS14" s="24" t="s">
        <v>1722</v>
      </c>
      <c r="AT14" s="24" t="s">
        <v>2021</v>
      </c>
      <c r="AU14" s="24" t="s">
        <v>1724</v>
      </c>
      <c r="AV14" s="24" t="s">
        <v>91</v>
      </c>
      <c r="AW14" s="25" t="s">
        <v>2022</v>
      </c>
      <c r="AX14" s="24" t="s">
        <v>1008</v>
      </c>
      <c r="AY14" s="24" t="s">
        <v>2023</v>
      </c>
    </row>
    <row r="15" customFormat="false" ht="14.25" hidden="false" customHeight="false" outlineLevel="0" collapsed="false">
      <c r="A15" s="24" t="s">
        <v>988</v>
      </c>
      <c r="B15" s="24" t="s">
        <v>988</v>
      </c>
      <c r="C15" s="24" t="s">
        <v>989</v>
      </c>
      <c r="D15" s="24" t="n">
        <v>2011</v>
      </c>
      <c r="E15" s="24" t="s">
        <v>990</v>
      </c>
      <c r="F15" s="24" t="s">
        <v>857</v>
      </c>
      <c r="G15" s="24" t="s">
        <v>993</v>
      </c>
      <c r="H15" s="24" t="n">
        <v>29.017</v>
      </c>
      <c r="I15" s="24" t="n">
        <v>77.75</v>
      </c>
      <c r="J15" s="24" t="s">
        <v>83</v>
      </c>
      <c r="K15" s="24" t="s">
        <v>2020</v>
      </c>
      <c r="L15" s="24" t="s">
        <v>842</v>
      </c>
      <c r="M15" s="24" t="s">
        <v>85</v>
      </c>
      <c r="N15" s="24" t="s">
        <v>86</v>
      </c>
      <c r="O15" s="24" t="s">
        <v>1666</v>
      </c>
      <c r="P15" s="24"/>
      <c r="Q15" s="24" t="n">
        <v>54.33</v>
      </c>
      <c r="R15" s="24" t="n">
        <v>56.27</v>
      </c>
      <c r="S15" s="24"/>
      <c r="T15" s="24"/>
      <c r="U15" s="24" t="n">
        <v>54.93</v>
      </c>
      <c r="V15" s="24"/>
      <c r="W15" s="24"/>
      <c r="X15" s="24"/>
      <c r="Y15" s="24" t="n">
        <v>54.2</v>
      </c>
      <c r="Z15" s="24"/>
      <c r="AA15" s="24"/>
      <c r="AB15" s="24" t="n">
        <v>2</v>
      </c>
      <c r="AC15" s="24" t="n">
        <v>3</v>
      </c>
      <c r="AD15" s="24" t="n">
        <f aca="false">IF(AND(N(AB15)&gt;0,N(AC15)&gt;0),SQRT(2*AB15/AC15),"")</f>
        <v>1.15470053837925</v>
      </c>
      <c r="AE15" s="24" t="n">
        <v>19</v>
      </c>
      <c r="AF15" s="24" t="n">
        <v>2</v>
      </c>
      <c r="AG15" s="24" t="n">
        <v>43</v>
      </c>
      <c r="AH15" s="24" t="n">
        <v>800</v>
      </c>
      <c r="AI15" s="24" t="n">
        <v>29.017</v>
      </c>
      <c r="AJ15" s="24" t="n">
        <v>2</v>
      </c>
      <c r="AK15" s="24"/>
      <c r="AL15" s="24"/>
      <c r="AM15" s="24" t="n">
        <v>8.1</v>
      </c>
      <c r="AN15" s="24"/>
      <c r="AO15" s="24"/>
      <c r="AP15" s="24" t="n">
        <v>55</v>
      </c>
      <c r="AQ15" s="24" t="n">
        <v>26</v>
      </c>
      <c r="AR15" s="24" t="s">
        <v>2014</v>
      </c>
      <c r="AS15" s="24" t="s">
        <v>1722</v>
      </c>
      <c r="AT15" s="24" t="s">
        <v>2021</v>
      </c>
      <c r="AU15" s="24" t="s">
        <v>1724</v>
      </c>
      <c r="AV15" s="24" t="s">
        <v>91</v>
      </c>
      <c r="AW15" s="25" t="s">
        <v>2024</v>
      </c>
      <c r="AX15" s="24" t="s">
        <v>1008</v>
      </c>
      <c r="AY15" s="24" t="s">
        <v>2023</v>
      </c>
    </row>
    <row r="16" customFormat="false" ht="14.25" hidden="false" customHeight="false" outlineLevel="0" collapsed="false">
      <c r="A16" s="24" t="s">
        <v>988</v>
      </c>
      <c r="B16" s="24" t="s">
        <v>988</v>
      </c>
      <c r="C16" s="24" t="s">
        <v>989</v>
      </c>
      <c r="D16" s="24" t="n">
        <v>2011</v>
      </c>
      <c r="E16" s="24" t="s">
        <v>990</v>
      </c>
      <c r="F16" s="24" t="s">
        <v>857</v>
      </c>
      <c r="G16" s="24" t="s">
        <v>993</v>
      </c>
      <c r="H16" s="24" t="n">
        <v>29.017</v>
      </c>
      <c r="I16" s="24" t="n">
        <v>77.75</v>
      </c>
      <c r="J16" s="24" t="s">
        <v>83</v>
      </c>
      <c r="K16" s="24" t="s">
        <v>2025</v>
      </c>
      <c r="L16" s="24" t="s">
        <v>842</v>
      </c>
      <c r="M16" s="24" t="s">
        <v>85</v>
      </c>
      <c r="N16" s="24" t="s">
        <v>86</v>
      </c>
      <c r="O16" s="24" t="s">
        <v>1666</v>
      </c>
      <c r="P16" s="24"/>
      <c r="Q16" s="24" t="n">
        <v>53.9</v>
      </c>
      <c r="R16" s="24" t="n">
        <v>55.27</v>
      </c>
      <c r="S16" s="24"/>
      <c r="T16" s="24"/>
      <c r="U16" s="24" t="n">
        <v>56.33</v>
      </c>
      <c r="V16" s="24"/>
      <c r="W16" s="24"/>
      <c r="X16" s="24"/>
      <c r="Y16" s="24" t="n">
        <v>53.1</v>
      </c>
      <c r="Z16" s="24"/>
      <c r="AA16" s="24"/>
      <c r="AB16" s="24" t="n">
        <v>2</v>
      </c>
      <c r="AC16" s="24" t="n">
        <v>3</v>
      </c>
      <c r="AD16" s="24" t="n">
        <f aca="false">IF(AND(N(AB16)&gt;0,N(AC16)&gt;0),SQRT(2*AB16/AC16),"")</f>
        <v>1.15470053837925</v>
      </c>
      <c r="AE16" s="24" t="n">
        <v>19</v>
      </c>
      <c r="AF16" s="24" t="n">
        <v>2</v>
      </c>
      <c r="AG16" s="24" t="n">
        <v>43</v>
      </c>
      <c r="AH16" s="24" t="n">
        <v>800</v>
      </c>
      <c r="AI16" s="24" t="n">
        <v>29.017</v>
      </c>
      <c r="AJ16" s="24" t="n">
        <v>3</v>
      </c>
      <c r="AK16" s="24"/>
      <c r="AL16" s="24"/>
      <c r="AM16" s="24" t="n">
        <v>8.1</v>
      </c>
      <c r="AN16" s="24"/>
      <c r="AO16" s="24"/>
      <c r="AP16" s="24" t="n">
        <v>55</v>
      </c>
      <c r="AQ16" s="24" t="n">
        <v>26</v>
      </c>
      <c r="AR16" s="24" t="s">
        <v>2014</v>
      </c>
      <c r="AS16" s="24" t="s">
        <v>1722</v>
      </c>
      <c r="AT16" s="24" t="s">
        <v>2026</v>
      </c>
      <c r="AU16" s="24" t="s">
        <v>1724</v>
      </c>
      <c r="AV16" s="24" t="s">
        <v>91</v>
      </c>
      <c r="AW16" s="25" t="s">
        <v>2022</v>
      </c>
      <c r="AX16" s="24" t="s">
        <v>1008</v>
      </c>
      <c r="AY16" s="24" t="s">
        <v>2023</v>
      </c>
    </row>
    <row r="17" customFormat="false" ht="14.25" hidden="false" customHeight="false" outlineLevel="0" collapsed="false">
      <c r="A17" s="24" t="s">
        <v>988</v>
      </c>
      <c r="B17" s="24" t="s">
        <v>988</v>
      </c>
      <c r="C17" s="24" t="s">
        <v>989</v>
      </c>
      <c r="D17" s="24" t="n">
        <v>2011</v>
      </c>
      <c r="E17" s="24" t="s">
        <v>990</v>
      </c>
      <c r="F17" s="24" t="s">
        <v>857</v>
      </c>
      <c r="G17" s="24" t="s">
        <v>993</v>
      </c>
      <c r="H17" s="24" t="n">
        <v>29.017</v>
      </c>
      <c r="I17" s="24" t="n">
        <v>77.75</v>
      </c>
      <c r="J17" s="24" t="s">
        <v>83</v>
      </c>
      <c r="K17" s="24" t="s">
        <v>2025</v>
      </c>
      <c r="L17" s="24" t="s">
        <v>842</v>
      </c>
      <c r="M17" s="24" t="s">
        <v>85</v>
      </c>
      <c r="N17" s="24" t="s">
        <v>86</v>
      </c>
      <c r="O17" s="24" t="s">
        <v>1666</v>
      </c>
      <c r="P17" s="24"/>
      <c r="Q17" s="24" t="n">
        <v>53.9</v>
      </c>
      <c r="R17" s="24" t="n">
        <v>53.4</v>
      </c>
      <c r="S17" s="24"/>
      <c r="T17" s="24"/>
      <c r="U17" s="24" t="n">
        <v>55.33</v>
      </c>
      <c r="V17" s="24"/>
      <c r="W17" s="24"/>
      <c r="X17" s="24"/>
      <c r="Y17" s="24" t="n">
        <v>53.1</v>
      </c>
      <c r="Z17" s="24"/>
      <c r="AA17" s="24"/>
      <c r="AB17" s="24" t="n">
        <v>2</v>
      </c>
      <c r="AC17" s="24" t="n">
        <v>3</v>
      </c>
      <c r="AD17" s="24" t="n">
        <f aca="false">IF(AND(N(AB17)&gt;0,N(AC17)&gt;0),SQRT(2*AB17/AC17),"")</f>
        <v>1.15470053837925</v>
      </c>
      <c r="AE17" s="24" t="n">
        <v>19</v>
      </c>
      <c r="AF17" s="24" t="n">
        <v>2</v>
      </c>
      <c r="AG17" s="24" t="n">
        <v>43</v>
      </c>
      <c r="AH17" s="24" t="n">
        <v>800</v>
      </c>
      <c r="AI17" s="24" t="n">
        <v>29.017</v>
      </c>
      <c r="AJ17" s="24" t="n">
        <v>3</v>
      </c>
      <c r="AK17" s="24"/>
      <c r="AL17" s="24"/>
      <c r="AM17" s="24" t="n">
        <v>8.1</v>
      </c>
      <c r="AN17" s="24"/>
      <c r="AO17" s="24"/>
      <c r="AP17" s="24" t="n">
        <v>55</v>
      </c>
      <c r="AQ17" s="24" t="n">
        <v>26</v>
      </c>
      <c r="AR17" s="24" t="s">
        <v>2014</v>
      </c>
      <c r="AS17" s="24" t="s">
        <v>1722</v>
      </c>
      <c r="AT17" s="24" t="s">
        <v>2026</v>
      </c>
      <c r="AU17" s="24" t="s">
        <v>1724</v>
      </c>
      <c r="AV17" s="24" t="s">
        <v>91</v>
      </c>
      <c r="AW17" s="25" t="s">
        <v>2024</v>
      </c>
      <c r="AX17" s="24" t="s">
        <v>1008</v>
      </c>
      <c r="AY17" s="24" t="s">
        <v>2023</v>
      </c>
    </row>
    <row r="18" customFormat="false" ht="14.25" hidden="false" customHeight="false" outlineLevel="0" collapsed="false">
      <c r="A18" s="24" t="s">
        <v>988</v>
      </c>
      <c r="B18" s="24" t="s">
        <v>988</v>
      </c>
      <c r="C18" s="24" t="s">
        <v>989</v>
      </c>
      <c r="D18" s="24" t="n">
        <v>2011</v>
      </c>
      <c r="E18" s="24" t="s">
        <v>990</v>
      </c>
      <c r="F18" s="24" t="s">
        <v>857</v>
      </c>
      <c r="G18" s="24" t="s">
        <v>993</v>
      </c>
      <c r="H18" s="24" t="n">
        <v>29.017</v>
      </c>
      <c r="I18" s="24" t="n">
        <v>77.75</v>
      </c>
      <c r="J18" s="24" t="s">
        <v>83</v>
      </c>
      <c r="K18" s="24" t="s">
        <v>2027</v>
      </c>
      <c r="L18" s="24" t="s">
        <v>84</v>
      </c>
      <c r="M18" s="24" t="s">
        <v>85</v>
      </c>
      <c r="N18" s="24" t="s">
        <v>86</v>
      </c>
      <c r="O18" s="24" t="s">
        <v>1666</v>
      </c>
      <c r="P18" s="24"/>
      <c r="Q18" s="24" t="n">
        <v>54.07</v>
      </c>
      <c r="R18" s="24" t="n">
        <v>64.2</v>
      </c>
      <c r="S18" s="24"/>
      <c r="T18" s="24"/>
      <c r="U18" s="24" t="n">
        <v>63.87</v>
      </c>
      <c r="V18" s="24"/>
      <c r="W18" s="24"/>
      <c r="X18" s="24"/>
      <c r="Y18" s="24" t="n">
        <v>55.27</v>
      </c>
      <c r="Z18" s="24"/>
      <c r="AA18" s="24"/>
      <c r="AB18" s="24" t="n">
        <v>2</v>
      </c>
      <c r="AC18" s="24" t="n">
        <v>3</v>
      </c>
      <c r="AD18" s="24" t="n">
        <f aca="false">IF(AND(N(AB18)&gt;0,N(AC18)&gt;0),SQRT(2*AB18/AC18),"")</f>
        <v>1.15470053837925</v>
      </c>
      <c r="AE18" s="24" t="n">
        <v>19</v>
      </c>
      <c r="AF18" s="24" t="n">
        <v>2</v>
      </c>
      <c r="AG18" s="24" t="n">
        <v>43</v>
      </c>
      <c r="AH18" s="24" t="n">
        <v>800</v>
      </c>
      <c r="AI18" s="24" t="n">
        <v>29.017</v>
      </c>
      <c r="AJ18" s="24" t="n">
        <v>4</v>
      </c>
      <c r="AK18" s="24"/>
      <c r="AL18" s="24"/>
      <c r="AM18" s="24" t="n">
        <v>8.1</v>
      </c>
      <c r="AN18" s="24"/>
      <c r="AO18" s="24"/>
      <c r="AP18" s="24" t="n">
        <v>55</v>
      </c>
      <c r="AQ18" s="24" t="n">
        <v>26</v>
      </c>
      <c r="AR18" s="24" t="s">
        <v>2014</v>
      </c>
      <c r="AS18" s="24" t="s">
        <v>1722</v>
      </c>
      <c r="AT18" s="24" t="s">
        <v>2028</v>
      </c>
      <c r="AU18" s="24" t="s">
        <v>1724</v>
      </c>
      <c r="AV18" s="24" t="s">
        <v>91</v>
      </c>
      <c r="AW18" s="25" t="s">
        <v>2022</v>
      </c>
      <c r="AX18" s="24" t="s">
        <v>1008</v>
      </c>
      <c r="AY18" s="24" t="s">
        <v>2023</v>
      </c>
    </row>
    <row r="19" customFormat="false" ht="14.25" hidden="false" customHeight="false" outlineLevel="0" collapsed="false">
      <c r="A19" s="24" t="s">
        <v>988</v>
      </c>
      <c r="B19" s="24" t="s">
        <v>988</v>
      </c>
      <c r="C19" s="24" t="s">
        <v>989</v>
      </c>
      <c r="D19" s="24" t="n">
        <v>2011</v>
      </c>
      <c r="E19" s="24" t="s">
        <v>990</v>
      </c>
      <c r="F19" s="24" t="s">
        <v>857</v>
      </c>
      <c r="G19" s="24" t="s">
        <v>993</v>
      </c>
      <c r="H19" s="24" t="n">
        <v>29.017</v>
      </c>
      <c r="I19" s="24" t="n">
        <v>77.75</v>
      </c>
      <c r="J19" s="24" t="s">
        <v>83</v>
      </c>
      <c r="K19" s="24" t="s">
        <v>2027</v>
      </c>
      <c r="L19" s="24" t="s">
        <v>84</v>
      </c>
      <c r="M19" s="24" t="s">
        <v>85</v>
      </c>
      <c r="N19" s="24" t="s">
        <v>86</v>
      </c>
      <c r="O19" s="24" t="s">
        <v>1666</v>
      </c>
      <c r="P19" s="24"/>
      <c r="Q19" s="24" t="n">
        <v>54.07</v>
      </c>
      <c r="R19" s="24" t="n">
        <v>63.67</v>
      </c>
      <c r="S19" s="24"/>
      <c r="T19" s="24"/>
      <c r="U19" s="24" t="n">
        <v>60.93</v>
      </c>
      <c r="V19" s="24"/>
      <c r="W19" s="24"/>
      <c r="X19" s="24"/>
      <c r="Y19" s="24" t="n">
        <v>55.27</v>
      </c>
      <c r="Z19" s="24"/>
      <c r="AA19" s="24"/>
      <c r="AB19" s="24" t="n">
        <v>2</v>
      </c>
      <c r="AC19" s="24" t="n">
        <v>3</v>
      </c>
      <c r="AD19" s="24" t="n">
        <f aca="false">IF(AND(N(AB19)&gt;0,N(AC19)&gt;0),SQRT(2*AB19/AC19),"")</f>
        <v>1.15470053837925</v>
      </c>
      <c r="AE19" s="24" t="n">
        <v>19</v>
      </c>
      <c r="AF19" s="24" t="n">
        <v>2</v>
      </c>
      <c r="AG19" s="24" t="n">
        <v>43</v>
      </c>
      <c r="AH19" s="24" t="n">
        <v>800</v>
      </c>
      <c r="AI19" s="24" t="n">
        <v>29.017</v>
      </c>
      <c r="AJ19" s="24" t="n">
        <v>4</v>
      </c>
      <c r="AK19" s="24"/>
      <c r="AL19" s="24"/>
      <c r="AM19" s="24" t="n">
        <v>8.1</v>
      </c>
      <c r="AN19" s="24"/>
      <c r="AO19" s="24"/>
      <c r="AP19" s="24" t="n">
        <v>55</v>
      </c>
      <c r="AQ19" s="24" t="n">
        <v>26</v>
      </c>
      <c r="AR19" s="24" t="s">
        <v>2014</v>
      </c>
      <c r="AS19" s="24" t="s">
        <v>1722</v>
      </c>
      <c r="AT19" s="24" t="s">
        <v>2028</v>
      </c>
      <c r="AU19" s="24" t="s">
        <v>1724</v>
      </c>
      <c r="AV19" s="24" t="s">
        <v>91</v>
      </c>
      <c r="AW19" s="25" t="s">
        <v>2024</v>
      </c>
      <c r="AX19" s="24" t="s">
        <v>1008</v>
      </c>
      <c r="AY19" s="24" t="s">
        <v>2023</v>
      </c>
    </row>
    <row r="20" customFormat="false" ht="14.25" hidden="false" customHeight="false" outlineLevel="0" collapsed="false">
      <c r="A20" s="24" t="s">
        <v>988</v>
      </c>
      <c r="B20" s="24" t="s">
        <v>988</v>
      </c>
      <c r="C20" s="24" t="s">
        <v>989</v>
      </c>
      <c r="D20" s="24" t="n">
        <v>2011</v>
      </c>
      <c r="E20" s="24" t="s">
        <v>990</v>
      </c>
      <c r="F20" s="24" t="s">
        <v>857</v>
      </c>
      <c r="G20" s="24" t="s">
        <v>993</v>
      </c>
      <c r="H20" s="24" t="n">
        <v>29.017</v>
      </c>
      <c r="I20" s="24" t="n">
        <v>77.75</v>
      </c>
      <c r="J20" s="24" t="s">
        <v>83</v>
      </c>
      <c r="K20" s="24" t="s">
        <v>2029</v>
      </c>
      <c r="L20" s="24" t="s">
        <v>84</v>
      </c>
      <c r="M20" s="24" t="s">
        <v>85</v>
      </c>
      <c r="N20" s="24" t="s">
        <v>86</v>
      </c>
      <c r="O20" s="24" t="s">
        <v>1666</v>
      </c>
      <c r="P20" s="24"/>
      <c r="Q20" s="24" t="n">
        <v>53.67</v>
      </c>
      <c r="R20" s="24" t="n">
        <v>72.67</v>
      </c>
      <c r="S20" s="24"/>
      <c r="T20" s="24"/>
      <c r="U20" s="24" t="n">
        <v>69.6</v>
      </c>
      <c r="V20" s="24"/>
      <c r="W20" s="24"/>
      <c r="X20" s="24"/>
      <c r="Y20" s="24" t="n">
        <v>55.53</v>
      </c>
      <c r="Z20" s="24"/>
      <c r="AA20" s="24"/>
      <c r="AB20" s="24" t="n">
        <v>2</v>
      </c>
      <c r="AC20" s="24" t="n">
        <v>3</v>
      </c>
      <c r="AD20" s="24" t="n">
        <f aca="false">IF(AND(N(AB20)&gt;0,N(AC20)&gt;0),SQRT(2*AB20/AC20),"")</f>
        <v>1.15470053837925</v>
      </c>
      <c r="AE20" s="24" t="n">
        <v>19</v>
      </c>
      <c r="AF20" s="24" t="n">
        <v>2</v>
      </c>
      <c r="AG20" s="24" t="n">
        <v>43</v>
      </c>
      <c r="AH20" s="24" t="n">
        <v>800</v>
      </c>
      <c r="AI20" s="24" t="n">
        <v>29.017</v>
      </c>
      <c r="AJ20" s="24" t="n">
        <v>5</v>
      </c>
      <c r="AK20" s="24"/>
      <c r="AL20" s="24"/>
      <c r="AM20" s="24" t="n">
        <v>8.1</v>
      </c>
      <c r="AN20" s="24"/>
      <c r="AO20" s="24"/>
      <c r="AP20" s="24" t="n">
        <v>55</v>
      </c>
      <c r="AQ20" s="24" t="n">
        <v>26</v>
      </c>
      <c r="AR20" s="24" t="s">
        <v>2014</v>
      </c>
      <c r="AS20" s="24" t="s">
        <v>1722</v>
      </c>
      <c r="AT20" s="24" t="s">
        <v>2030</v>
      </c>
      <c r="AU20" s="24" t="s">
        <v>1724</v>
      </c>
      <c r="AV20" s="24" t="s">
        <v>91</v>
      </c>
      <c r="AW20" s="25" t="s">
        <v>2022</v>
      </c>
      <c r="AX20" s="24" t="s">
        <v>1008</v>
      </c>
      <c r="AY20" s="24" t="s">
        <v>2023</v>
      </c>
    </row>
    <row r="21" customFormat="false" ht="14.25" hidden="false" customHeight="false" outlineLevel="0" collapsed="false">
      <c r="A21" s="24" t="s">
        <v>988</v>
      </c>
      <c r="B21" s="24" t="s">
        <v>988</v>
      </c>
      <c r="C21" s="24" t="s">
        <v>989</v>
      </c>
      <c r="D21" s="24" t="n">
        <v>2011</v>
      </c>
      <c r="E21" s="24" t="s">
        <v>990</v>
      </c>
      <c r="F21" s="24" t="s">
        <v>857</v>
      </c>
      <c r="G21" s="24" t="s">
        <v>993</v>
      </c>
      <c r="H21" s="24" t="n">
        <v>29.017</v>
      </c>
      <c r="I21" s="24" t="n">
        <v>77.75</v>
      </c>
      <c r="J21" s="24" t="s">
        <v>83</v>
      </c>
      <c r="K21" s="24" t="s">
        <v>2029</v>
      </c>
      <c r="L21" s="24" t="s">
        <v>84</v>
      </c>
      <c r="M21" s="24" t="s">
        <v>85</v>
      </c>
      <c r="N21" s="24" t="s">
        <v>86</v>
      </c>
      <c r="O21" s="24" t="s">
        <v>1666</v>
      </c>
      <c r="P21" s="24"/>
      <c r="Q21" s="24" t="n">
        <v>53.67</v>
      </c>
      <c r="R21" s="24" t="n">
        <v>69.4</v>
      </c>
      <c r="S21" s="24"/>
      <c r="T21" s="24"/>
      <c r="U21" s="24" t="n">
        <v>68</v>
      </c>
      <c r="V21" s="24"/>
      <c r="W21" s="24"/>
      <c r="X21" s="24"/>
      <c r="Y21" s="24" t="n">
        <v>55.53</v>
      </c>
      <c r="Z21" s="24"/>
      <c r="AA21" s="24"/>
      <c r="AB21" s="24" t="n">
        <v>2</v>
      </c>
      <c r="AC21" s="24" t="n">
        <v>3</v>
      </c>
      <c r="AD21" s="24" t="n">
        <f aca="false">IF(AND(N(AB21)&gt;0,N(AC21)&gt;0),SQRT(2*AB21/AC21),"")</f>
        <v>1.15470053837925</v>
      </c>
      <c r="AE21" s="24" t="n">
        <v>19</v>
      </c>
      <c r="AF21" s="24" t="n">
        <v>2</v>
      </c>
      <c r="AG21" s="24" t="n">
        <v>43</v>
      </c>
      <c r="AH21" s="24" t="n">
        <v>800</v>
      </c>
      <c r="AI21" s="24" t="n">
        <v>29.017</v>
      </c>
      <c r="AJ21" s="24" t="n">
        <v>5</v>
      </c>
      <c r="AK21" s="24"/>
      <c r="AL21" s="24"/>
      <c r="AM21" s="24" t="n">
        <v>8.1</v>
      </c>
      <c r="AN21" s="24"/>
      <c r="AO21" s="24"/>
      <c r="AP21" s="24" t="n">
        <v>55</v>
      </c>
      <c r="AQ21" s="24" t="n">
        <v>26</v>
      </c>
      <c r="AR21" s="24" t="s">
        <v>2014</v>
      </c>
      <c r="AS21" s="24" t="s">
        <v>1722</v>
      </c>
      <c r="AT21" s="24" t="s">
        <v>2030</v>
      </c>
      <c r="AU21" s="24" t="s">
        <v>1724</v>
      </c>
      <c r="AV21" s="24" t="s">
        <v>91</v>
      </c>
      <c r="AW21" s="25" t="s">
        <v>2024</v>
      </c>
      <c r="AX21" s="24" t="s">
        <v>1008</v>
      </c>
      <c r="AY21" s="24" t="s">
        <v>2023</v>
      </c>
    </row>
    <row r="22" customFormat="false" ht="14.25" hidden="false" customHeight="false" outlineLevel="0" collapsed="false">
      <c r="A22" s="24" t="s">
        <v>988</v>
      </c>
      <c r="B22" s="24" t="s">
        <v>988</v>
      </c>
      <c r="C22" s="24" t="s">
        <v>989</v>
      </c>
      <c r="D22" s="24" t="n">
        <v>2011</v>
      </c>
      <c r="E22" s="24" t="s">
        <v>990</v>
      </c>
      <c r="F22" s="24" t="s">
        <v>857</v>
      </c>
      <c r="G22" s="24" t="s">
        <v>993</v>
      </c>
      <c r="H22" s="24" t="n">
        <v>29.017</v>
      </c>
      <c r="I22" s="24" t="n">
        <v>77.75</v>
      </c>
      <c r="J22" s="24" t="s">
        <v>83</v>
      </c>
      <c r="K22" s="24" t="s">
        <v>1675</v>
      </c>
      <c r="L22" s="24" t="s">
        <v>84</v>
      </c>
      <c r="M22" s="24" t="s">
        <v>85</v>
      </c>
      <c r="N22" s="24" t="s">
        <v>86</v>
      </c>
      <c r="O22" s="24" t="s">
        <v>1666</v>
      </c>
      <c r="P22" s="24"/>
      <c r="Q22" s="24" t="n">
        <v>50.07</v>
      </c>
      <c r="R22" s="24" t="n">
        <v>74.67</v>
      </c>
      <c r="S22" s="24"/>
      <c r="T22" s="24"/>
      <c r="U22" s="24" t="n">
        <v>70.07</v>
      </c>
      <c r="V22" s="24"/>
      <c r="W22" s="24"/>
      <c r="X22" s="24"/>
      <c r="Y22" s="24" t="n">
        <v>52.2</v>
      </c>
      <c r="Z22" s="24"/>
      <c r="AA22" s="24"/>
      <c r="AB22" s="24" t="n">
        <v>2</v>
      </c>
      <c r="AC22" s="24" t="n">
        <v>3</v>
      </c>
      <c r="AD22" s="24" t="n">
        <f aca="false">IF(AND(N(AB22)&gt;0,N(AC22)&gt;0),SQRT(2*AB22/AC22),"")</f>
        <v>1.15470053837925</v>
      </c>
      <c r="AE22" s="24" t="n">
        <v>19</v>
      </c>
      <c r="AF22" s="24" t="n">
        <v>2</v>
      </c>
      <c r="AG22" s="24" t="n">
        <v>43</v>
      </c>
      <c r="AH22" s="24" t="n">
        <v>800</v>
      </c>
      <c r="AI22" s="24" t="n">
        <v>29.017</v>
      </c>
      <c r="AJ22" s="24" t="n">
        <v>6</v>
      </c>
      <c r="AK22" s="24"/>
      <c r="AL22" s="24"/>
      <c r="AM22" s="24" t="n">
        <v>8.1</v>
      </c>
      <c r="AN22" s="24"/>
      <c r="AO22" s="24"/>
      <c r="AP22" s="24" t="n">
        <v>55</v>
      </c>
      <c r="AQ22" s="24" t="n">
        <v>26</v>
      </c>
      <c r="AR22" s="24" t="s">
        <v>2014</v>
      </c>
      <c r="AS22" s="24" t="s">
        <v>1722</v>
      </c>
      <c r="AT22" s="24" t="s">
        <v>2031</v>
      </c>
      <c r="AU22" s="24" t="s">
        <v>1724</v>
      </c>
      <c r="AV22" s="24" t="s">
        <v>91</v>
      </c>
      <c r="AW22" s="25" t="s">
        <v>2022</v>
      </c>
      <c r="AX22" s="24" t="s">
        <v>1008</v>
      </c>
      <c r="AY22" s="24" t="s">
        <v>2023</v>
      </c>
    </row>
    <row r="23" customFormat="false" ht="14.25" hidden="false" customHeight="false" outlineLevel="0" collapsed="false">
      <c r="A23" s="24" t="s">
        <v>988</v>
      </c>
      <c r="B23" s="24" t="s">
        <v>988</v>
      </c>
      <c r="C23" s="24" t="s">
        <v>989</v>
      </c>
      <c r="D23" s="24" t="n">
        <v>2011</v>
      </c>
      <c r="E23" s="24" t="s">
        <v>990</v>
      </c>
      <c r="F23" s="24" t="s">
        <v>857</v>
      </c>
      <c r="G23" s="24" t="s">
        <v>993</v>
      </c>
      <c r="H23" s="24" t="n">
        <v>29.017</v>
      </c>
      <c r="I23" s="24" t="n">
        <v>77.75</v>
      </c>
      <c r="J23" s="24" t="s">
        <v>83</v>
      </c>
      <c r="K23" s="24" t="s">
        <v>1675</v>
      </c>
      <c r="L23" s="24" t="s">
        <v>84</v>
      </c>
      <c r="M23" s="24" t="s">
        <v>85</v>
      </c>
      <c r="N23" s="24" t="s">
        <v>86</v>
      </c>
      <c r="O23" s="24" t="s">
        <v>1666</v>
      </c>
      <c r="P23" s="24"/>
      <c r="Q23" s="24" t="n">
        <v>50.07</v>
      </c>
      <c r="R23" s="24" t="n">
        <v>71.67</v>
      </c>
      <c r="S23" s="24"/>
      <c r="T23" s="24"/>
      <c r="U23" s="24" t="n">
        <v>69.07</v>
      </c>
      <c r="V23" s="24"/>
      <c r="W23" s="24"/>
      <c r="X23" s="24"/>
      <c r="Y23" s="24" t="n">
        <v>52.2</v>
      </c>
      <c r="Z23" s="24"/>
      <c r="AA23" s="24"/>
      <c r="AB23" s="24" t="n">
        <v>2</v>
      </c>
      <c r="AC23" s="24" t="n">
        <v>3</v>
      </c>
      <c r="AD23" s="24" t="n">
        <f aca="false">IF(AND(N(AB23)&gt;0,N(AC23)&gt;0),SQRT(2*AB23/AC23),"")</f>
        <v>1.15470053837925</v>
      </c>
      <c r="AE23" s="24" t="n">
        <v>19</v>
      </c>
      <c r="AF23" s="24" t="n">
        <v>2</v>
      </c>
      <c r="AG23" s="24" t="n">
        <v>43</v>
      </c>
      <c r="AH23" s="24" t="n">
        <v>800</v>
      </c>
      <c r="AI23" s="24" t="n">
        <v>29.017</v>
      </c>
      <c r="AJ23" s="24" t="n">
        <v>6</v>
      </c>
      <c r="AK23" s="24"/>
      <c r="AL23" s="24"/>
      <c r="AM23" s="24" t="n">
        <v>8.1</v>
      </c>
      <c r="AN23" s="24"/>
      <c r="AO23" s="24"/>
      <c r="AP23" s="24" t="n">
        <v>55</v>
      </c>
      <c r="AQ23" s="24" t="n">
        <v>26</v>
      </c>
      <c r="AR23" s="24" t="s">
        <v>2014</v>
      </c>
      <c r="AS23" s="24" t="s">
        <v>1722</v>
      </c>
      <c r="AT23" s="24" t="s">
        <v>2031</v>
      </c>
      <c r="AU23" s="24" t="s">
        <v>1724</v>
      </c>
      <c r="AV23" s="24" t="s">
        <v>91</v>
      </c>
      <c r="AW23" s="25" t="s">
        <v>2024</v>
      </c>
      <c r="AX23" s="24" t="s">
        <v>1008</v>
      </c>
      <c r="AY23" s="24" t="s">
        <v>2023</v>
      </c>
    </row>
    <row r="24" customFormat="false" ht="14.25" hidden="false" customHeight="false" outlineLevel="0" collapsed="false">
      <c r="A24" s="24" t="s">
        <v>988</v>
      </c>
      <c r="B24" s="24" t="s">
        <v>988</v>
      </c>
      <c r="C24" s="24" t="s">
        <v>989</v>
      </c>
      <c r="D24" s="24" t="n">
        <v>2011</v>
      </c>
      <c r="E24" s="24" t="s">
        <v>990</v>
      </c>
      <c r="F24" s="24" t="s">
        <v>857</v>
      </c>
      <c r="G24" s="24" t="s">
        <v>993</v>
      </c>
      <c r="H24" s="24" t="n">
        <v>29.017</v>
      </c>
      <c r="I24" s="24" t="n">
        <v>77.75</v>
      </c>
      <c r="J24" s="24" t="s">
        <v>83</v>
      </c>
      <c r="K24" s="24" t="s">
        <v>1931</v>
      </c>
      <c r="L24" s="24" t="s">
        <v>84</v>
      </c>
      <c r="M24" s="24" t="s">
        <v>85</v>
      </c>
      <c r="N24" s="24" t="s">
        <v>86</v>
      </c>
      <c r="O24" s="24" t="s">
        <v>1666</v>
      </c>
      <c r="P24" s="24"/>
      <c r="Q24" s="24" t="n">
        <v>49.93</v>
      </c>
      <c r="R24" s="24" t="n">
        <v>75.2</v>
      </c>
      <c r="S24" s="24"/>
      <c r="T24" s="24"/>
      <c r="U24" s="24" t="n">
        <v>70.13</v>
      </c>
      <c r="V24" s="24"/>
      <c r="W24" s="24"/>
      <c r="X24" s="24"/>
      <c r="Y24" s="24" t="n">
        <v>51.27</v>
      </c>
      <c r="Z24" s="24"/>
      <c r="AA24" s="24"/>
      <c r="AB24" s="24" t="n">
        <v>2</v>
      </c>
      <c r="AC24" s="24" t="n">
        <v>3</v>
      </c>
      <c r="AD24" s="24" t="n">
        <f aca="false">IF(AND(N(AB24)&gt;0,N(AC24)&gt;0),SQRT(2*AB24/AC24),"")</f>
        <v>1.15470053837925</v>
      </c>
      <c r="AE24" s="24" t="n">
        <v>19</v>
      </c>
      <c r="AF24" s="24" t="n">
        <v>2</v>
      </c>
      <c r="AG24" s="24" t="n">
        <v>43</v>
      </c>
      <c r="AH24" s="24" t="n">
        <v>800</v>
      </c>
      <c r="AI24" s="24" t="n">
        <v>29.017</v>
      </c>
      <c r="AJ24" s="24" t="n">
        <v>7</v>
      </c>
      <c r="AK24" s="24"/>
      <c r="AL24" s="24"/>
      <c r="AM24" s="24" t="n">
        <v>8.1</v>
      </c>
      <c r="AN24" s="24"/>
      <c r="AO24" s="24"/>
      <c r="AP24" s="24" t="n">
        <v>55</v>
      </c>
      <c r="AQ24" s="24" t="n">
        <v>26</v>
      </c>
      <c r="AR24" s="24" t="s">
        <v>2014</v>
      </c>
      <c r="AS24" s="24" t="s">
        <v>1722</v>
      </c>
      <c r="AT24" s="24" t="s">
        <v>2032</v>
      </c>
      <c r="AU24" s="24" t="s">
        <v>1724</v>
      </c>
      <c r="AV24" s="24" t="s">
        <v>91</v>
      </c>
      <c r="AW24" s="25" t="s">
        <v>2022</v>
      </c>
      <c r="AX24" s="24" t="s">
        <v>1008</v>
      </c>
      <c r="AY24" s="24" t="s">
        <v>2023</v>
      </c>
    </row>
    <row r="25" customFormat="false" ht="14.25" hidden="false" customHeight="false" outlineLevel="0" collapsed="false">
      <c r="A25" s="24" t="s">
        <v>988</v>
      </c>
      <c r="B25" s="24" t="s">
        <v>988</v>
      </c>
      <c r="C25" s="24" t="s">
        <v>989</v>
      </c>
      <c r="D25" s="24" t="n">
        <v>2011</v>
      </c>
      <c r="E25" s="24" t="s">
        <v>990</v>
      </c>
      <c r="F25" s="24" t="s">
        <v>857</v>
      </c>
      <c r="G25" s="24" t="s">
        <v>993</v>
      </c>
      <c r="H25" s="24" t="n">
        <v>29.017</v>
      </c>
      <c r="I25" s="24" t="n">
        <v>77.75</v>
      </c>
      <c r="J25" s="24" t="s">
        <v>83</v>
      </c>
      <c r="K25" s="24" t="s">
        <v>1931</v>
      </c>
      <c r="L25" s="24" t="s">
        <v>84</v>
      </c>
      <c r="M25" s="24" t="s">
        <v>85</v>
      </c>
      <c r="N25" s="24" t="s">
        <v>86</v>
      </c>
      <c r="O25" s="24" t="s">
        <v>1666</v>
      </c>
      <c r="P25" s="24"/>
      <c r="Q25" s="24" t="n">
        <v>49.93</v>
      </c>
      <c r="R25" s="24" t="n">
        <v>72.27</v>
      </c>
      <c r="S25" s="24"/>
      <c r="T25" s="24"/>
      <c r="U25" s="24" t="n">
        <v>68.6</v>
      </c>
      <c r="V25" s="24"/>
      <c r="W25" s="24"/>
      <c r="X25" s="24"/>
      <c r="Y25" s="24" t="n">
        <v>51.27</v>
      </c>
      <c r="Z25" s="24"/>
      <c r="AA25" s="24"/>
      <c r="AB25" s="24" t="n">
        <v>2</v>
      </c>
      <c r="AC25" s="24" t="n">
        <v>3</v>
      </c>
      <c r="AD25" s="24" t="n">
        <f aca="false">IF(AND(N(AB25)&gt;0,N(AC25)&gt;0),SQRT(2*AB25/AC25),"")</f>
        <v>1.15470053837925</v>
      </c>
      <c r="AE25" s="24" t="n">
        <v>19</v>
      </c>
      <c r="AF25" s="24" t="n">
        <v>2</v>
      </c>
      <c r="AG25" s="24" t="n">
        <v>43</v>
      </c>
      <c r="AH25" s="24" t="n">
        <v>800</v>
      </c>
      <c r="AI25" s="24" t="n">
        <v>29.017</v>
      </c>
      <c r="AJ25" s="24" t="n">
        <v>7</v>
      </c>
      <c r="AK25" s="24"/>
      <c r="AL25" s="24"/>
      <c r="AM25" s="24" t="n">
        <v>8.1</v>
      </c>
      <c r="AN25" s="24"/>
      <c r="AO25" s="24"/>
      <c r="AP25" s="24" t="n">
        <v>55</v>
      </c>
      <c r="AQ25" s="24" t="n">
        <v>26</v>
      </c>
      <c r="AR25" s="24" t="s">
        <v>2014</v>
      </c>
      <c r="AS25" s="24" t="s">
        <v>1722</v>
      </c>
      <c r="AT25" s="24" t="s">
        <v>2032</v>
      </c>
      <c r="AU25" s="24" t="s">
        <v>1724</v>
      </c>
      <c r="AV25" s="24" t="s">
        <v>91</v>
      </c>
      <c r="AW25" s="25" t="s">
        <v>2024</v>
      </c>
      <c r="AX25" s="24" t="s">
        <v>1008</v>
      </c>
      <c r="AY25" s="24" t="s">
        <v>2023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2033</v>
      </c>
      <c r="Q1" s="27" t="s">
        <v>2034</v>
      </c>
      <c r="R1" s="27" t="s">
        <v>2035</v>
      </c>
      <c r="S1" s="27" t="s">
        <v>2036</v>
      </c>
      <c r="T1" s="27" t="s">
        <v>2037</v>
      </c>
      <c r="U1" s="27" t="s">
        <v>2038</v>
      </c>
      <c r="V1" s="27" t="s">
        <v>2039</v>
      </c>
      <c r="W1" s="27" t="s">
        <v>2040</v>
      </c>
      <c r="X1" s="30" t="s">
        <v>2041</v>
      </c>
      <c r="Y1" s="30" t="s">
        <v>2042</v>
      </c>
      <c r="Z1" s="30" t="s">
        <v>2043</v>
      </c>
      <c r="AA1" s="30" t="s">
        <v>2044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2045</v>
      </c>
      <c r="AS2" s="18" t="s">
        <v>1667</v>
      </c>
      <c r="AT2" s="18" t="s">
        <v>1668</v>
      </c>
      <c r="AU2" s="18" t="s">
        <v>1669</v>
      </c>
      <c r="AV2" s="18" t="s">
        <v>91</v>
      </c>
      <c r="AW2" s="32" t="s">
        <v>2046</v>
      </c>
      <c r="AX2" s="18" t="s">
        <v>898</v>
      </c>
      <c r="AY2" s="18" t="s">
        <v>1987</v>
      </c>
      <c r="BA2" s="33" t="s">
        <v>1097</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2045</v>
      </c>
      <c r="AS3" s="18" t="s">
        <v>1667</v>
      </c>
      <c r="AT3" s="18" t="s">
        <v>1668</v>
      </c>
      <c r="AU3" s="18" t="s">
        <v>1669</v>
      </c>
      <c r="AV3" s="18" t="s">
        <v>91</v>
      </c>
      <c r="AW3" s="32" t="s">
        <v>2046</v>
      </c>
      <c r="AX3" s="18" t="s">
        <v>898</v>
      </c>
      <c r="AY3" s="18" t="s">
        <v>1987</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2047</v>
      </c>
      <c r="AS4" s="5" t="s">
        <v>1895</v>
      </c>
      <c r="AT4" s="5" t="s">
        <v>1896</v>
      </c>
      <c r="AU4" s="5" t="s">
        <v>1897</v>
      </c>
      <c r="AV4" s="5" t="s">
        <v>1702</v>
      </c>
      <c r="AW4" s="23" t="s">
        <v>2048</v>
      </c>
      <c r="AX4" s="5" t="s">
        <v>869</v>
      </c>
      <c r="AY4" s="5" t="s">
        <v>1991</v>
      </c>
    </row>
    <row r="5" customFormat="false" ht="1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2047</v>
      </c>
      <c r="AS5" s="5" t="s">
        <v>1895</v>
      </c>
      <c r="AT5" s="5" t="s">
        <v>1896</v>
      </c>
      <c r="AU5" s="5" t="s">
        <v>1897</v>
      </c>
      <c r="AV5" s="5" t="s">
        <v>1702</v>
      </c>
      <c r="AW5" s="23" t="s">
        <v>2048</v>
      </c>
      <c r="AX5" s="5" t="s">
        <v>869</v>
      </c>
      <c r="AY5" s="5" t="s">
        <v>1991</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1673</v>
      </c>
      <c r="O6" s="5" t="s">
        <v>1674</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2047</v>
      </c>
      <c r="AS6" s="5" t="s">
        <v>1895</v>
      </c>
      <c r="AT6" s="5" t="s">
        <v>1896</v>
      </c>
      <c r="AU6" s="5" t="s">
        <v>1897</v>
      </c>
      <c r="AV6" s="5" t="s">
        <v>1702</v>
      </c>
      <c r="AW6" s="23" t="s">
        <v>2049</v>
      </c>
      <c r="AX6" s="5" t="s">
        <v>869</v>
      </c>
      <c r="AY6" s="5" t="s">
        <v>1991</v>
      </c>
    </row>
    <row r="7" customFormat="false" ht="15" hidden="false" customHeight="true" outlineLevel="0" collapsed="false">
      <c r="A7" s="18" t="s">
        <v>908</v>
      </c>
      <c r="B7" s="18" t="s">
        <v>908</v>
      </c>
      <c r="C7" s="18" t="s">
        <v>909</v>
      </c>
      <c r="D7" s="18" t="n">
        <v>2019</v>
      </c>
      <c r="E7" s="18" t="s">
        <v>854</v>
      </c>
      <c r="F7" s="18" t="s">
        <v>912</v>
      </c>
      <c r="G7" s="18" t="s">
        <v>913</v>
      </c>
      <c r="H7" s="18" t="n">
        <v>29.7</v>
      </c>
      <c r="I7" s="18" t="n">
        <v>76.96</v>
      </c>
      <c r="J7" s="18" t="s">
        <v>83</v>
      </c>
      <c r="K7" s="18" t="n">
        <v>2013</v>
      </c>
      <c r="L7" s="18" t="s">
        <v>84</v>
      </c>
      <c r="M7" s="18" t="s">
        <v>85</v>
      </c>
      <c r="N7" s="18" t="s">
        <v>86</v>
      </c>
      <c r="O7" s="18" t="s">
        <v>1666</v>
      </c>
      <c r="P7" s="18" t="n">
        <v>3.44</v>
      </c>
      <c r="Q7" s="18" t="n">
        <v>8.91</v>
      </c>
      <c r="R7" s="18"/>
      <c r="S7" s="18"/>
      <c r="T7" s="18"/>
      <c r="U7" s="18"/>
      <c r="V7" s="18"/>
      <c r="W7" s="18"/>
      <c r="X7" s="18" t="n">
        <v>9.1</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2050</v>
      </c>
      <c r="AS7" s="18" t="s">
        <v>1913</v>
      </c>
      <c r="AT7" s="18" t="s">
        <v>1914</v>
      </c>
      <c r="AU7" s="18" t="s">
        <v>1915</v>
      </c>
      <c r="AV7" s="18" t="s">
        <v>91</v>
      </c>
      <c r="AW7" s="32" t="s">
        <v>1916</v>
      </c>
      <c r="AX7" s="18" t="s">
        <v>922</v>
      </c>
      <c r="AY7" s="18" t="s">
        <v>1917</v>
      </c>
    </row>
    <row r="8" customFormat="false" ht="15" hidden="false" customHeight="true" outlineLevel="0" collapsed="false">
      <c r="A8" s="18" t="s">
        <v>908</v>
      </c>
      <c r="B8" s="18" t="s">
        <v>908</v>
      </c>
      <c r="C8" s="18" t="s">
        <v>909</v>
      </c>
      <c r="D8" s="18" t="n">
        <v>2019</v>
      </c>
      <c r="E8" s="18" t="s">
        <v>854</v>
      </c>
      <c r="F8" s="18" t="s">
        <v>912</v>
      </c>
      <c r="G8" s="18" t="s">
        <v>913</v>
      </c>
      <c r="H8" s="18" t="n">
        <v>29.7</v>
      </c>
      <c r="I8" s="18" t="n">
        <v>76.96</v>
      </c>
      <c r="J8" s="18" t="s">
        <v>83</v>
      </c>
      <c r="K8" s="18" t="n">
        <v>2013</v>
      </c>
      <c r="L8" s="18" t="s">
        <v>84</v>
      </c>
      <c r="M8" s="18" t="s">
        <v>85</v>
      </c>
      <c r="N8" s="18" t="s">
        <v>1673</v>
      </c>
      <c r="O8" s="18" t="s">
        <v>1674</v>
      </c>
      <c r="P8" s="18" t="n">
        <v>12.49</v>
      </c>
      <c r="Q8" s="18" t="n">
        <v>10.85</v>
      </c>
      <c r="R8" s="18"/>
      <c r="S8" s="18"/>
      <c r="T8" s="18"/>
      <c r="U8" s="18"/>
      <c r="V8" s="18"/>
      <c r="W8" s="18"/>
      <c r="X8" s="18" t="n">
        <v>12.95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2050</v>
      </c>
      <c r="AS8" s="18" t="s">
        <v>1913</v>
      </c>
      <c r="AT8" s="18" t="s">
        <v>1914</v>
      </c>
      <c r="AU8" s="18" t="s">
        <v>1915</v>
      </c>
      <c r="AV8" s="18" t="s">
        <v>91</v>
      </c>
      <c r="AW8" s="32" t="s">
        <v>1918</v>
      </c>
      <c r="AX8" s="18" t="s">
        <v>922</v>
      </c>
      <c r="AY8" s="18" t="s">
        <v>1917</v>
      </c>
    </row>
    <row r="9" customFormat="false" ht="15" hidden="false" customHeight="true" outlineLevel="0" collapsed="false">
      <c r="A9" s="18" t="s">
        <v>908</v>
      </c>
      <c r="B9" s="18" t="s">
        <v>908</v>
      </c>
      <c r="C9" s="18" t="s">
        <v>909</v>
      </c>
      <c r="D9" s="18" t="n">
        <v>2019</v>
      </c>
      <c r="E9" s="18" t="s">
        <v>854</v>
      </c>
      <c r="F9" s="18" t="s">
        <v>912</v>
      </c>
      <c r="G9" s="18" t="s">
        <v>913</v>
      </c>
      <c r="H9" s="18" t="n">
        <v>29.7</v>
      </c>
      <c r="I9" s="18" t="n">
        <v>76.96</v>
      </c>
      <c r="J9" s="18" t="s">
        <v>83</v>
      </c>
      <c r="K9" s="18" t="n">
        <v>2015</v>
      </c>
      <c r="L9" s="18" t="s">
        <v>84</v>
      </c>
      <c r="M9" s="18" t="s">
        <v>85</v>
      </c>
      <c r="N9" s="18" t="s">
        <v>86</v>
      </c>
      <c r="O9" s="18" t="s">
        <v>1666</v>
      </c>
      <c r="P9" s="18" t="n">
        <v>6.91</v>
      </c>
      <c r="Q9" s="18" t="n">
        <v>9.82</v>
      </c>
      <c r="R9" s="18"/>
      <c r="S9" s="18"/>
      <c r="T9" s="18"/>
      <c r="U9" s="18"/>
      <c r="V9" s="18"/>
      <c r="W9" s="18"/>
      <c r="X9" s="18" t="n">
        <v>6.63</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2050</v>
      </c>
      <c r="AS9" s="18" t="s">
        <v>1913</v>
      </c>
      <c r="AT9" s="18" t="s">
        <v>1919</v>
      </c>
      <c r="AU9" s="18" t="s">
        <v>1915</v>
      </c>
      <c r="AV9" s="18" t="s">
        <v>91</v>
      </c>
      <c r="AW9" s="32" t="s">
        <v>1920</v>
      </c>
      <c r="AX9" s="18" t="s">
        <v>922</v>
      </c>
      <c r="AY9" s="18" t="s">
        <v>1917</v>
      </c>
    </row>
    <row r="10" customFormat="false" ht="14.25" hidden="false" customHeight="true" outlineLevel="0" collapsed="false">
      <c r="A10" s="18" t="s">
        <v>908</v>
      </c>
      <c r="B10" s="18" t="s">
        <v>908</v>
      </c>
      <c r="C10" s="18" t="s">
        <v>909</v>
      </c>
      <c r="D10" s="18" t="n">
        <v>2019</v>
      </c>
      <c r="E10" s="18" t="s">
        <v>854</v>
      </c>
      <c r="F10" s="18" t="s">
        <v>912</v>
      </c>
      <c r="G10" s="18" t="s">
        <v>913</v>
      </c>
      <c r="H10" s="18" t="n">
        <v>29.7</v>
      </c>
      <c r="I10" s="18" t="n">
        <v>76.96</v>
      </c>
      <c r="J10" s="18" t="s">
        <v>83</v>
      </c>
      <c r="K10" s="18" t="n">
        <v>2015</v>
      </c>
      <c r="L10" s="18" t="s">
        <v>84</v>
      </c>
      <c r="M10" s="18" t="s">
        <v>85</v>
      </c>
      <c r="N10" s="18" t="s">
        <v>1673</v>
      </c>
      <c r="O10" s="18" t="s">
        <v>1674</v>
      </c>
      <c r="P10" s="18" t="n">
        <v>7.11</v>
      </c>
      <c r="Q10" s="18" t="n">
        <v>8.79</v>
      </c>
      <c r="R10" s="18"/>
      <c r="S10" s="18"/>
      <c r="T10" s="18"/>
      <c r="U10" s="18"/>
      <c r="V10" s="18"/>
      <c r="W10" s="18"/>
      <c r="X10" s="18" t="n">
        <v>8.43</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2050</v>
      </c>
      <c r="AS10" s="18" t="s">
        <v>1913</v>
      </c>
      <c r="AT10" s="18" t="s">
        <v>1919</v>
      </c>
      <c r="AU10" s="18" t="s">
        <v>1915</v>
      </c>
      <c r="AV10" s="18" t="s">
        <v>91</v>
      </c>
      <c r="AW10" s="32" t="s">
        <v>1921</v>
      </c>
      <c r="AX10" s="18" t="s">
        <v>922</v>
      </c>
      <c r="AY10" s="18" t="s">
        <v>1917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6"/>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9" t="s">
        <v>2051</v>
      </c>
      <c r="Q1" s="27" t="s">
        <v>2052</v>
      </c>
      <c r="R1" s="27" t="s">
        <v>2053</v>
      </c>
      <c r="S1" s="27" t="s">
        <v>2054</v>
      </c>
      <c r="T1" s="27" t="s">
        <v>2055</v>
      </c>
      <c r="U1" s="27" t="s">
        <v>2056</v>
      </c>
      <c r="V1" s="27" t="s">
        <v>2057</v>
      </c>
      <c r="W1" s="27" t="s">
        <v>2058</v>
      </c>
      <c r="X1" s="27" t="s">
        <v>2059</v>
      </c>
      <c r="Y1" s="30" t="s">
        <v>2060</v>
      </c>
      <c r="Z1" s="30" t="s">
        <v>2061</v>
      </c>
      <c r="AA1" s="30" t="s">
        <v>2062</v>
      </c>
      <c r="AB1" s="30" t="s">
        <v>2063</v>
      </c>
      <c r="AC1" s="28" t="s">
        <v>35</v>
      </c>
      <c r="AD1" s="28" t="s">
        <v>33</v>
      </c>
      <c r="AE1" s="28" t="s">
        <v>37</v>
      </c>
      <c r="AF1" s="21" t="s">
        <v>73</v>
      </c>
      <c r="AG1" s="21" t="s">
        <v>796</v>
      </c>
      <c r="AH1" s="21" t="s">
        <v>797</v>
      </c>
      <c r="AI1" s="21" t="s">
        <v>74</v>
      </c>
      <c r="AJ1" s="21" t="s">
        <v>1659</v>
      </c>
      <c r="AK1" s="21" t="s">
        <v>1660</v>
      </c>
      <c r="AL1" s="21" t="s">
        <v>798</v>
      </c>
      <c r="AM1" s="21" t="s">
        <v>799</v>
      </c>
      <c r="AN1" s="21" t="s">
        <v>75</v>
      </c>
      <c r="AO1" s="21" t="s">
        <v>794</v>
      </c>
      <c r="AP1" s="21" t="s">
        <v>795</v>
      </c>
      <c r="AQ1" s="21" t="s">
        <v>792</v>
      </c>
      <c r="AR1" s="21" t="s">
        <v>793</v>
      </c>
      <c r="AS1" s="22" t="s">
        <v>76</v>
      </c>
      <c r="AT1" s="22" t="s">
        <v>77</v>
      </c>
      <c r="AU1" s="22" t="s">
        <v>1661</v>
      </c>
      <c r="AV1" s="22" t="s">
        <v>1662</v>
      </c>
      <c r="AW1" s="22" t="s">
        <v>78</v>
      </c>
      <c r="AX1" s="22" t="s">
        <v>811</v>
      </c>
      <c r="AY1" s="22" t="s">
        <v>1663</v>
      </c>
      <c r="AZ1" s="22" t="s">
        <v>1664</v>
      </c>
      <c r="BB1" s="31" t="s">
        <v>1665</v>
      </c>
    </row>
    <row r="2" customFormat="false" ht="15" hidden="false" customHeight="true" outlineLevel="0" collapsed="false">
      <c r="A2" s="24" t="s">
        <v>988</v>
      </c>
      <c r="B2" s="24" t="s">
        <v>988</v>
      </c>
      <c r="C2" s="24" t="s">
        <v>989</v>
      </c>
      <c r="D2" s="24" t="n">
        <v>2011</v>
      </c>
      <c r="E2" s="24" t="s">
        <v>990</v>
      </c>
      <c r="F2" s="24" t="s">
        <v>857</v>
      </c>
      <c r="G2" s="24" t="s">
        <v>993</v>
      </c>
      <c r="H2" s="24" t="n">
        <v>29.017</v>
      </c>
      <c r="I2" s="24" t="n">
        <v>77.75</v>
      </c>
      <c r="J2" s="24" t="s">
        <v>83</v>
      </c>
      <c r="K2" s="24" t="s">
        <v>1931</v>
      </c>
      <c r="L2" s="24" t="s">
        <v>84</v>
      </c>
      <c r="M2" s="24" t="s">
        <v>85</v>
      </c>
      <c r="N2" s="24" t="s">
        <v>86</v>
      </c>
      <c r="O2" s="24" t="s">
        <v>1666</v>
      </c>
      <c r="P2" s="24" t="s">
        <v>2064</v>
      </c>
      <c r="Q2" s="24"/>
      <c r="R2" s="24" t="n">
        <v>8.4</v>
      </c>
      <c r="S2" s="24" t="n">
        <v>22.4</v>
      </c>
      <c r="T2" s="24"/>
      <c r="U2" s="24"/>
      <c r="V2" s="24" t="n">
        <v>20.1</v>
      </c>
      <c r="W2" s="24"/>
      <c r="X2" s="24"/>
      <c r="Y2" s="24"/>
      <c r="Z2" s="24" t="n">
        <v>10.4</v>
      </c>
      <c r="AA2" s="24"/>
      <c r="AB2" s="24"/>
      <c r="AC2" s="24" t="n">
        <v>2</v>
      </c>
      <c r="AD2" s="24" t="n">
        <v>3</v>
      </c>
      <c r="AE2" s="24" t="n">
        <f aca="false">IF(AND(N(AC2)&gt;0,N(AD2)&gt;0),SQRT(2*AC2/AD2),"")</f>
        <v>1.15470053837925</v>
      </c>
      <c r="AF2" s="24" t="n">
        <v>19</v>
      </c>
      <c r="AG2" s="24" t="n">
        <v>2</v>
      </c>
      <c r="AH2" s="24" t="n">
        <v>43</v>
      </c>
      <c r="AI2" s="24" t="n">
        <v>800</v>
      </c>
      <c r="AJ2" s="24" t="n">
        <v>29.017</v>
      </c>
      <c r="AK2" s="24" t="n">
        <v>7</v>
      </c>
      <c r="AL2" s="24"/>
      <c r="AM2" s="24"/>
      <c r="AN2" s="24" t="n">
        <v>8.1</v>
      </c>
      <c r="AO2" s="24"/>
      <c r="AP2" s="24"/>
      <c r="AQ2" s="24" t="n">
        <v>55</v>
      </c>
      <c r="AR2" s="24" t="n">
        <v>26</v>
      </c>
      <c r="AS2" s="24" t="s">
        <v>2065</v>
      </c>
      <c r="AT2" s="24" t="s">
        <v>1722</v>
      </c>
      <c r="AU2" s="24" t="s">
        <v>1933</v>
      </c>
      <c r="AV2" s="24" t="s">
        <v>1724</v>
      </c>
      <c r="AW2" s="24" t="s">
        <v>2066</v>
      </c>
      <c r="AX2" s="25" t="s">
        <v>2067</v>
      </c>
      <c r="AY2" s="24" t="s">
        <v>1008</v>
      </c>
      <c r="AZ2" s="24" t="s">
        <v>2068</v>
      </c>
      <c r="BB2" s="14" t="s">
        <v>2069</v>
      </c>
    </row>
    <row r="3" customFormat="false" ht="14.25" hidden="false" customHeight="false" outlineLevel="0" collapsed="false">
      <c r="A3" s="24" t="s">
        <v>988</v>
      </c>
      <c r="B3" s="24" t="s">
        <v>988</v>
      </c>
      <c r="C3" s="24" t="s">
        <v>989</v>
      </c>
      <c r="D3" s="24" t="n">
        <v>2011</v>
      </c>
      <c r="E3" s="24" t="s">
        <v>990</v>
      </c>
      <c r="F3" s="24" t="s">
        <v>857</v>
      </c>
      <c r="G3" s="24" t="s">
        <v>993</v>
      </c>
      <c r="H3" s="24" t="n">
        <v>29.017</v>
      </c>
      <c r="I3" s="24" t="n">
        <v>77.75</v>
      </c>
      <c r="J3" s="24" t="s">
        <v>83</v>
      </c>
      <c r="K3" s="24" t="s">
        <v>1931</v>
      </c>
      <c r="L3" s="24" t="s">
        <v>84</v>
      </c>
      <c r="M3" s="24" t="s">
        <v>85</v>
      </c>
      <c r="N3" s="24" t="s">
        <v>86</v>
      </c>
      <c r="O3" s="24" t="s">
        <v>1666</v>
      </c>
      <c r="P3" s="24" t="s">
        <v>2070</v>
      </c>
      <c r="Q3" s="24"/>
      <c r="R3" s="24" t="n">
        <v>9.4</v>
      </c>
      <c r="S3" s="24" t="n">
        <v>16.2</v>
      </c>
      <c r="T3" s="24"/>
      <c r="U3" s="24"/>
      <c r="V3" s="24" t="n">
        <v>12</v>
      </c>
      <c r="W3" s="24"/>
      <c r="X3" s="24"/>
      <c r="Y3" s="24"/>
      <c r="Z3" s="24" t="n">
        <v>7.3</v>
      </c>
      <c r="AA3" s="24"/>
      <c r="AB3" s="24"/>
      <c r="AC3" s="24" t="n">
        <v>2</v>
      </c>
      <c r="AD3" s="24" t="n">
        <v>3</v>
      </c>
      <c r="AE3" s="24" t="n">
        <f aca="false">IF(AND(N(AC3)&gt;0,N(AD3)&gt;0),SQRT(2*AC3/AD3),"")</f>
        <v>1.15470053837925</v>
      </c>
      <c r="AF3" s="24" t="n">
        <v>19</v>
      </c>
      <c r="AG3" s="24" t="n">
        <v>2</v>
      </c>
      <c r="AH3" s="24" t="n">
        <v>43</v>
      </c>
      <c r="AI3" s="24" t="n">
        <v>800</v>
      </c>
      <c r="AJ3" s="24" t="n">
        <v>29.017</v>
      </c>
      <c r="AK3" s="24" t="n">
        <v>7</v>
      </c>
      <c r="AL3" s="24"/>
      <c r="AM3" s="24"/>
      <c r="AN3" s="24" t="n">
        <v>8.1</v>
      </c>
      <c r="AO3" s="24"/>
      <c r="AP3" s="24"/>
      <c r="AQ3" s="24" t="n">
        <v>55</v>
      </c>
      <c r="AR3" s="24" t="n">
        <v>26</v>
      </c>
      <c r="AS3" s="24" t="s">
        <v>2065</v>
      </c>
      <c r="AT3" s="24" t="s">
        <v>1722</v>
      </c>
      <c r="AU3" s="24" t="s">
        <v>1933</v>
      </c>
      <c r="AV3" s="24" t="s">
        <v>1724</v>
      </c>
      <c r="AW3" s="24" t="s">
        <v>2066</v>
      </c>
      <c r="AX3" s="25" t="s">
        <v>2067</v>
      </c>
      <c r="AY3" s="24" t="s">
        <v>1008</v>
      </c>
      <c r="AZ3" s="24" t="s">
        <v>2068</v>
      </c>
    </row>
    <row r="4" customFormat="false" ht="14.25" hidden="false" customHeight="false" outlineLevel="0" collapsed="false">
      <c r="A4" s="24" t="s">
        <v>988</v>
      </c>
      <c r="B4" s="24" t="s">
        <v>988</v>
      </c>
      <c r="C4" s="24" t="s">
        <v>989</v>
      </c>
      <c r="D4" s="24" t="n">
        <v>2011</v>
      </c>
      <c r="E4" s="24" t="s">
        <v>990</v>
      </c>
      <c r="F4" s="24" t="s">
        <v>857</v>
      </c>
      <c r="G4" s="24" t="s">
        <v>993</v>
      </c>
      <c r="H4" s="24" t="n">
        <v>29.017</v>
      </c>
      <c r="I4" s="24" t="n">
        <v>77.75</v>
      </c>
      <c r="J4" s="24" t="s">
        <v>83</v>
      </c>
      <c r="K4" s="24" t="s">
        <v>1931</v>
      </c>
      <c r="L4" s="24" t="s">
        <v>84</v>
      </c>
      <c r="M4" s="24" t="s">
        <v>85</v>
      </c>
      <c r="N4" s="24" t="s">
        <v>86</v>
      </c>
      <c r="O4" s="24" t="s">
        <v>1666</v>
      </c>
      <c r="P4" s="24" t="s">
        <v>2071</v>
      </c>
      <c r="Q4" s="24"/>
      <c r="R4" s="24" t="n">
        <v>7.4</v>
      </c>
      <c r="S4" s="24" t="n">
        <v>13</v>
      </c>
      <c r="T4" s="24"/>
      <c r="U4" s="24"/>
      <c r="V4" s="24" t="n">
        <v>11.6</v>
      </c>
      <c r="W4" s="24"/>
      <c r="X4" s="24"/>
      <c r="Y4" s="24"/>
      <c r="Z4" s="24" t="n">
        <v>4.9</v>
      </c>
      <c r="AA4" s="24"/>
      <c r="AB4" s="24"/>
      <c r="AC4" s="24" t="n">
        <v>2</v>
      </c>
      <c r="AD4" s="24" t="n">
        <v>3</v>
      </c>
      <c r="AE4" s="24" t="n">
        <f aca="false">IF(AND(N(AC4)&gt;0,N(AD4)&gt;0),SQRT(2*AC4/AD4),"")</f>
        <v>1.15470053837925</v>
      </c>
      <c r="AF4" s="24" t="n">
        <v>19</v>
      </c>
      <c r="AG4" s="24" t="n">
        <v>2</v>
      </c>
      <c r="AH4" s="24" t="n">
        <v>43</v>
      </c>
      <c r="AI4" s="24" t="n">
        <v>800</v>
      </c>
      <c r="AJ4" s="24" t="n">
        <v>29.017</v>
      </c>
      <c r="AK4" s="24" t="n">
        <v>7</v>
      </c>
      <c r="AL4" s="24"/>
      <c r="AM4" s="24"/>
      <c r="AN4" s="24" t="n">
        <v>8.1</v>
      </c>
      <c r="AO4" s="24"/>
      <c r="AP4" s="24"/>
      <c r="AQ4" s="24" t="n">
        <v>55</v>
      </c>
      <c r="AR4" s="24" t="n">
        <v>26</v>
      </c>
      <c r="AS4" s="24" t="s">
        <v>2065</v>
      </c>
      <c r="AT4" s="24" t="s">
        <v>1722</v>
      </c>
      <c r="AU4" s="24" t="s">
        <v>1933</v>
      </c>
      <c r="AV4" s="24" t="s">
        <v>1724</v>
      </c>
      <c r="AW4" s="24" t="s">
        <v>2066</v>
      </c>
      <c r="AX4" s="25" t="s">
        <v>2067</v>
      </c>
      <c r="AY4" s="24" t="s">
        <v>1008</v>
      </c>
      <c r="AZ4" s="24" t="s">
        <v>2068</v>
      </c>
    </row>
    <row r="5" customFormat="false" ht="14.25" hidden="false" customHeight="false" outlineLevel="0" collapsed="false">
      <c r="A5" s="24" t="s">
        <v>988</v>
      </c>
      <c r="B5" s="24" t="s">
        <v>988</v>
      </c>
      <c r="C5" s="24" t="s">
        <v>989</v>
      </c>
      <c r="D5" s="24" t="n">
        <v>2011</v>
      </c>
      <c r="E5" s="24" t="s">
        <v>990</v>
      </c>
      <c r="F5" s="24" t="s">
        <v>857</v>
      </c>
      <c r="G5" s="24" t="s">
        <v>993</v>
      </c>
      <c r="H5" s="24" t="n">
        <v>29.017</v>
      </c>
      <c r="I5" s="24" t="n">
        <v>77.75</v>
      </c>
      <c r="J5" s="24" t="s">
        <v>83</v>
      </c>
      <c r="K5" s="24" t="s">
        <v>1931</v>
      </c>
      <c r="L5" s="24" t="s">
        <v>84</v>
      </c>
      <c r="M5" s="24" t="s">
        <v>85</v>
      </c>
      <c r="N5" s="24" t="s">
        <v>86</v>
      </c>
      <c r="O5" s="24" t="s">
        <v>1666</v>
      </c>
      <c r="P5" s="24" t="s">
        <v>2072</v>
      </c>
      <c r="Q5" s="24"/>
      <c r="R5" s="24" t="n">
        <v>10</v>
      </c>
      <c r="S5" s="24" t="n">
        <v>8.9</v>
      </c>
      <c r="T5" s="24"/>
      <c r="U5" s="24"/>
      <c r="V5" s="24" t="n">
        <v>10</v>
      </c>
      <c r="W5" s="24"/>
      <c r="X5" s="24"/>
      <c r="Y5" s="24"/>
      <c r="Z5" s="24" t="n">
        <v>6.6</v>
      </c>
      <c r="AA5" s="24"/>
      <c r="AB5" s="24"/>
      <c r="AC5" s="24" t="n">
        <v>2</v>
      </c>
      <c r="AD5" s="24" t="n">
        <v>3</v>
      </c>
      <c r="AE5" s="24" t="n">
        <f aca="false">IF(AND(N(AC5)&gt;0,N(AD5)&gt;0),SQRT(2*AC5/AD5),"")</f>
        <v>1.15470053837925</v>
      </c>
      <c r="AF5" s="24" t="n">
        <v>19</v>
      </c>
      <c r="AG5" s="24" t="n">
        <v>2</v>
      </c>
      <c r="AH5" s="24" t="n">
        <v>43</v>
      </c>
      <c r="AI5" s="24" t="n">
        <v>800</v>
      </c>
      <c r="AJ5" s="24" t="n">
        <v>29.017</v>
      </c>
      <c r="AK5" s="24" t="n">
        <v>7</v>
      </c>
      <c r="AL5" s="24"/>
      <c r="AM5" s="24"/>
      <c r="AN5" s="24" t="n">
        <v>8.1</v>
      </c>
      <c r="AO5" s="24"/>
      <c r="AP5" s="24"/>
      <c r="AQ5" s="24" t="n">
        <v>55</v>
      </c>
      <c r="AR5" s="24" t="n">
        <v>26</v>
      </c>
      <c r="AS5" s="24" t="s">
        <v>2065</v>
      </c>
      <c r="AT5" s="24" t="s">
        <v>1722</v>
      </c>
      <c r="AU5" s="24" t="s">
        <v>1933</v>
      </c>
      <c r="AV5" s="24" t="s">
        <v>1724</v>
      </c>
      <c r="AW5" s="24" t="s">
        <v>2066</v>
      </c>
      <c r="AX5" s="25" t="s">
        <v>2067</v>
      </c>
      <c r="AY5" s="24" t="s">
        <v>1008</v>
      </c>
      <c r="AZ5" s="24" t="s">
        <v>2068</v>
      </c>
    </row>
    <row r="6" customFormat="false" ht="14.25" hidden="false" customHeight="false" outlineLevel="0" collapsed="false">
      <c r="A6" s="24" t="s">
        <v>988</v>
      </c>
      <c r="B6" s="24" t="s">
        <v>988</v>
      </c>
      <c r="C6" s="24" t="s">
        <v>989</v>
      </c>
      <c r="D6" s="24" t="n">
        <v>2011</v>
      </c>
      <c r="E6" s="24" t="s">
        <v>990</v>
      </c>
      <c r="F6" s="24" t="s">
        <v>857</v>
      </c>
      <c r="G6" s="24" t="s">
        <v>993</v>
      </c>
      <c r="H6" s="24" t="n">
        <v>29.017</v>
      </c>
      <c r="I6" s="24" t="n">
        <v>77.75</v>
      </c>
      <c r="J6" s="24" t="s">
        <v>83</v>
      </c>
      <c r="K6" s="24" t="s">
        <v>1931</v>
      </c>
      <c r="L6" s="24" t="s">
        <v>84</v>
      </c>
      <c r="M6" s="24" t="s">
        <v>85</v>
      </c>
      <c r="N6" s="24" t="s">
        <v>86</v>
      </c>
      <c r="O6" s="24" t="s">
        <v>1666</v>
      </c>
      <c r="P6" s="24" t="s">
        <v>2073</v>
      </c>
      <c r="Q6" s="24"/>
      <c r="R6" s="24" t="n">
        <v>14.8</v>
      </c>
      <c r="S6" s="24" t="n">
        <v>14.5</v>
      </c>
      <c r="T6" s="24"/>
      <c r="U6" s="24"/>
      <c r="V6" s="24" t="n">
        <v>16.6</v>
      </c>
      <c r="W6" s="24"/>
      <c r="X6" s="24"/>
      <c r="Y6" s="24"/>
      <c r="Z6" s="24" t="n">
        <v>21.7</v>
      </c>
      <c r="AA6" s="24"/>
      <c r="AB6" s="24"/>
      <c r="AC6" s="24" t="n">
        <v>2</v>
      </c>
      <c r="AD6" s="24" t="n">
        <v>3</v>
      </c>
      <c r="AE6" s="24" t="n">
        <f aca="false">IF(AND(N(AC6)&gt;0,N(AD6)&gt;0),SQRT(2*AC6/AD6),"")</f>
        <v>1.15470053837925</v>
      </c>
      <c r="AF6" s="24" t="n">
        <v>19</v>
      </c>
      <c r="AG6" s="24" t="n">
        <v>2</v>
      </c>
      <c r="AH6" s="24" t="n">
        <v>43</v>
      </c>
      <c r="AI6" s="24" t="n">
        <v>800</v>
      </c>
      <c r="AJ6" s="24" t="n">
        <v>29.017</v>
      </c>
      <c r="AK6" s="24" t="n">
        <v>7</v>
      </c>
      <c r="AL6" s="24"/>
      <c r="AM6" s="24"/>
      <c r="AN6" s="24" t="n">
        <v>8.1</v>
      </c>
      <c r="AO6" s="24"/>
      <c r="AP6" s="24"/>
      <c r="AQ6" s="24" t="n">
        <v>55</v>
      </c>
      <c r="AR6" s="24" t="n">
        <v>26</v>
      </c>
      <c r="AS6" s="24" t="s">
        <v>2065</v>
      </c>
      <c r="AT6" s="24" t="s">
        <v>1722</v>
      </c>
      <c r="AU6" s="24" t="s">
        <v>1933</v>
      </c>
      <c r="AV6" s="24" t="s">
        <v>1724</v>
      </c>
      <c r="AW6" s="24" t="s">
        <v>2066</v>
      </c>
      <c r="AX6" s="25" t="s">
        <v>2067</v>
      </c>
      <c r="AY6" s="24" t="s">
        <v>1008</v>
      </c>
      <c r="AZ6" s="24" t="s">
        <v>2068</v>
      </c>
    </row>
    <row r="7" customFormat="false" ht="14.25" hidden="false" customHeight="false" outlineLevel="0" collapsed="false">
      <c r="A7" s="24" t="s">
        <v>988</v>
      </c>
      <c r="B7" s="24" t="s">
        <v>988</v>
      </c>
      <c r="C7" s="24" t="s">
        <v>989</v>
      </c>
      <c r="D7" s="24" t="n">
        <v>2011</v>
      </c>
      <c r="E7" s="24" t="s">
        <v>990</v>
      </c>
      <c r="F7" s="24" t="s">
        <v>857</v>
      </c>
      <c r="G7" s="24" t="s">
        <v>993</v>
      </c>
      <c r="H7" s="24" t="n">
        <v>29.017</v>
      </c>
      <c r="I7" s="24" t="n">
        <v>77.75</v>
      </c>
      <c r="J7" s="24" t="s">
        <v>83</v>
      </c>
      <c r="K7" s="24" t="s">
        <v>1931</v>
      </c>
      <c r="L7" s="24" t="s">
        <v>84</v>
      </c>
      <c r="M7" s="24" t="s">
        <v>85</v>
      </c>
      <c r="N7" s="24" t="s">
        <v>86</v>
      </c>
      <c r="O7" s="24" t="s">
        <v>1666</v>
      </c>
      <c r="P7" s="24" t="s">
        <v>2074</v>
      </c>
      <c r="Q7" s="24"/>
      <c r="R7" s="24" t="n">
        <v>27.2</v>
      </c>
      <c r="S7" s="24" t="n">
        <v>14.2</v>
      </c>
      <c r="T7" s="24"/>
      <c r="U7" s="24"/>
      <c r="V7" s="24" t="n">
        <v>19.2</v>
      </c>
      <c r="W7" s="24"/>
      <c r="X7" s="24"/>
      <c r="Y7" s="24"/>
      <c r="Z7" s="24" t="n">
        <v>23.2</v>
      </c>
      <c r="AA7" s="24"/>
      <c r="AB7" s="24"/>
      <c r="AC7" s="24" t="n">
        <v>2</v>
      </c>
      <c r="AD7" s="24" t="n">
        <v>3</v>
      </c>
      <c r="AE7" s="24" t="n">
        <f aca="false">IF(AND(N(AC7)&gt;0,N(AD7)&gt;0),SQRT(2*AC7/AD7),"")</f>
        <v>1.15470053837925</v>
      </c>
      <c r="AF7" s="24" t="n">
        <v>19</v>
      </c>
      <c r="AG7" s="24" t="n">
        <v>2</v>
      </c>
      <c r="AH7" s="24" t="n">
        <v>43</v>
      </c>
      <c r="AI7" s="24" t="n">
        <v>800</v>
      </c>
      <c r="AJ7" s="24" t="n">
        <v>29.017</v>
      </c>
      <c r="AK7" s="24" t="n">
        <v>7</v>
      </c>
      <c r="AL7" s="24"/>
      <c r="AM7" s="24"/>
      <c r="AN7" s="24" t="n">
        <v>8.1</v>
      </c>
      <c r="AO7" s="24"/>
      <c r="AP7" s="24"/>
      <c r="AQ7" s="24" t="n">
        <v>55</v>
      </c>
      <c r="AR7" s="24" t="n">
        <v>26</v>
      </c>
      <c r="AS7" s="24" t="s">
        <v>2065</v>
      </c>
      <c r="AT7" s="24" t="s">
        <v>1722</v>
      </c>
      <c r="AU7" s="24" t="s">
        <v>1933</v>
      </c>
      <c r="AV7" s="24" t="s">
        <v>1724</v>
      </c>
      <c r="AW7" s="24" t="s">
        <v>2066</v>
      </c>
      <c r="AX7" s="25" t="s">
        <v>2067</v>
      </c>
      <c r="AY7" s="24" t="s">
        <v>1008</v>
      </c>
      <c r="AZ7" s="24" t="s">
        <v>2068</v>
      </c>
    </row>
    <row r="8" customFormat="false" ht="14.25" hidden="false" customHeight="false" outlineLevel="0" collapsed="false">
      <c r="A8" s="24" t="s">
        <v>988</v>
      </c>
      <c r="B8" s="24" t="s">
        <v>988</v>
      </c>
      <c r="C8" s="24" t="s">
        <v>989</v>
      </c>
      <c r="D8" s="24" t="n">
        <v>2011</v>
      </c>
      <c r="E8" s="24" t="s">
        <v>990</v>
      </c>
      <c r="F8" s="24" t="s">
        <v>857</v>
      </c>
      <c r="G8" s="24" t="s">
        <v>993</v>
      </c>
      <c r="H8" s="24" t="n">
        <v>29.017</v>
      </c>
      <c r="I8" s="24" t="n">
        <v>77.75</v>
      </c>
      <c r="J8" s="24" t="s">
        <v>83</v>
      </c>
      <c r="K8" s="24" t="s">
        <v>1931</v>
      </c>
      <c r="L8" s="24" t="s">
        <v>84</v>
      </c>
      <c r="M8" s="24" t="s">
        <v>85</v>
      </c>
      <c r="N8" s="24" t="s">
        <v>86</v>
      </c>
      <c r="O8" s="24" t="s">
        <v>1666</v>
      </c>
      <c r="P8" s="24" t="s">
        <v>2075</v>
      </c>
      <c r="Q8" s="24"/>
      <c r="R8" s="24" t="n">
        <v>13.1</v>
      </c>
      <c r="S8" s="24" t="n">
        <v>5.6</v>
      </c>
      <c r="T8" s="24"/>
      <c r="U8" s="24"/>
      <c r="V8" s="24" t="n">
        <v>6.4</v>
      </c>
      <c r="W8" s="24"/>
      <c r="X8" s="24"/>
      <c r="Y8" s="24"/>
      <c r="Z8" s="24" t="n">
        <v>14.2</v>
      </c>
      <c r="AA8" s="24"/>
      <c r="AB8" s="24"/>
      <c r="AC8" s="24" t="n">
        <v>2</v>
      </c>
      <c r="AD8" s="24" t="n">
        <v>3</v>
      </c>
      <c r="AE8" s="24" t="n">
        <f aca="false">IF(AND(N(AC8)&gt;0,N(AD8)&gt;0),SQRT(2*AC8/AD8),"")</f>
        <v>1.15470053837925</v>
      </c>
      <c r="AF8" s="24" t="n">
        <v>19</v>
      </c>
      <c r="AG8" s="24" t="n">
        <v>2</v>
      </c>
      <c r="AH8" s="24" t="n">
        <v>43</v>
      </c>
      <c r="AI8" s="24" t="n">
        <v>800</v>
      </c>
      <c r="AJ8" s="24" t="n">
        <v>29.017</v>
      </c>
      <c r="AK8" s="24" t="n">
        <v>7</v>
      </c>
      <c r="AL8" s="24"/>
      <c r="AM8" s="24"/>
      <c r="AN8" s="24" t="n">
        <v>8.1</v>
      </c>
      <c r="AO8" s="24"/>
      <c r="AP8" s="24"/>
      <c r="AQ8" s="24" t="n">
        <v>55</v>
      </c>
      <c r="AR8" s="24" t="n">
        <v>26</v>
      </c>
      <c r="AS8" s="24" t="s">
        <v>2065</v>
      </c>
      <c r="AT8" s="24" t="s">
        <v>1722</v>
      </c>
      <c r="AU8" s="24" t="s">
        <v>1933</v>
      </c>
      <c r="AV8" s="24" t="s">
        <v>1724</v>
      </c>
      <c r="AW8" s="24" t="s">
        <v>2066</v>
      </c>
      <c r="AX8" s="25" t="s">
        <v>2067</v>
      </c>
      <c r="AY8" s="24" t="s">
        <v>1008</v>
      </c>
      <c r="AZ8" s="24" t="s">
        <v>2068</v>
      </c>
    </row>
    <row r="9" customFormat="false" ht="14.25" hidden="false" customHeight="false" outlineLevel="0" collapsed="false">
      <c r="A9" s="24" t="s">
        <v>988</v>
      </c>
      <c r="B9" s="24" t="s">
        <v>988</v>
      </c>
      <c r="C9" s="24" t="s">
        <v>989</v>
      </c>
      <c r="D9" s="24" t="n">
        <v>2011</v>
      </c>
      <c r="E9" s="24" t="s">
        <v>990</v>
      </c>
      <c r="F9" s="24" t="s">
        <v>857</v>
      </c>
      <c r="G9" s="24" t="s">
        <v>993</v>
      </c>
      <c r="H9" s="24" t="n">
        <v>29.017</v>
      </c>
      <c r="I9" s="24" t="n">
        <v>77.75</v>
      </c>
      <c r="J9" s="24" t="s">
        <v>83</v>
      </c>
      <c r="K9" s="24" t="s">
        <v>1931</v>
      </c>
      <c r="L9" s="24" t="s">
        <v>84</v>
      </c>
      <c r="M9" s="24" t="s">
        <v>85</v>
      </c>
      <c r="N9" s="24" t="s">
        <v>86</v>
      </c>
      <c r="O9" s="24" t="s">
        <v>1666</v>
      </c>
      <c r="P9" s="24" t="s">
        <v>2064</v>
      </c>
      <c r="Q9" s="24"/>
      <c r="R9" s="24" t="n">
        <v>8.4</v>
      </c>
      <c r="S9" s="24" t="n">
        <v>19</v>
      </c>
      <c r="T9" s="24"/>
      <c r="U9" s="24"/>
      <c r="V9" s="24" t="n">
        <v>16.6</v>
      </c>
      <c r="W9" s="24"/>
      <c r="X9" s="24"/>
      <c r="Y9" s="24"/>
      <c r="Z9" s="24" t="n">
        <v>10.4</v>
      </c>
      <c r="AA9" s="24"/>
      <c r="AB9" s="24"/>
      <c r="AC9" s="24" t="n">
        <v>2</v>
      </c>
      <c r="AD9" s="24" t="n">
        <v>3</v>
      </c>
      <c r="AE9" s="24" t="n">
        <f aca="false">IF(AND(N(AC9)&gt;0,N(AD9)&gt;0),SQRT(2*AC9/AD9),"")</f>
        <v>1.15470053837925</v>
      </c>
      <c r="AF9" s="24" t="n">
        <v>19</v>
      </c>
      <c r="AG9" s="24" t="n">
        <v>2</v>
      </c>
      <c r="AH9" s="24" t="n">
        <v>43</v>
      </c>
      <c r="AI9" s="24" t="n">
        <v>800</v>
      </c>
      <c r="AJ9" s="24" t="n">
        <v>29.017</v>
      </c>
      <c r="AK9" s="24" t="n">
        <v>7</v>
      </c>
      <c r="AL9" s="24"/>
      <c r="AM9" s="24"/>
      <c r="AN9" s="24" t="n">
        <v>8.1</v>
      </c>
      <c r="AO9" s="24"/>
      <c r="AP9" s="24"/>
      <c r="AQ9" s="24" t="n">
        <v>55</v>
      </c>
      <c r="AR9" s="24" t="n">
        <v>26</v>
      </c>
      <c r="AS9" s="24" t="s">
        <v>2065</v>
      </c>
      <c r="AT9" s="24" t="s">
        <v>1722</v>
      </c>
      <c r="AU9" s="24" t="s">
        <v>1933</v>
      </c>
      <c r="AV9" s="24" t="s">
        <v>1724</v>
      </c>
      <c r="AW9" s="24" t="s">
        <v>2066</v>
      </c>
      <c r="AX9" s="25" t="s">
        <v>2076</v>
      </c>
      <c r="AY9" s="24" t="s">
        <v>1008</v>
      </c>
      <c r="AZ9" s="24" t="s">
        <v>2068</v>
      </c>
    </row>
    <row r="10" customFormat="false" ht="14.25" hidden="false" customHeight="false" outlineLevel="0" collapsed="false">
      <c r="A10" s="24" t="s">
        <v>988</v>
      </c>
      <c r="B10" s="24" t="s">
        <v>988</v>
      </c>
      <c r="C10" s="24" t="s">
        <v>989</v>
      </c>
      <c r="D10" s="24" t="n">
        <v>2011</v>
      </c>
      <c r="E10" s="24" t="s">
        <v>990</v>
      </c>
      <c r="F10" s="24" t="s">
        <v>857</v>
      </c>
      <c r="G10" s="24" t="s">
        <v>993</v>
      </c>
      <c r="H10" s="24" t="n">
        <v>29.017</v>
      </c>
      <c r="I10" s="24" t="n">
        <v>77.75</v>
      </c>
      <c r="J10" s="24" t="s">
        <v>83</v>
      </c>
      <c r="K10" s="24" t="s">
        <v>1931</v>
      </c>
      <c r="L10" s="24" t="s">
        <v>84</v>
      </c>
      <c r="M10" s="24" t="s">
        <v>85</v>
      </c>
      <c r="N10" s="24" t="s">
        <v>86</v>
      </c>
      <c r="O10" s="24" t="s">
        <v>1666</v>
      </c>
      <c r="P10" s="24" t="s">
        <v>2070</v>
      </c>
      <c r="Q10" s="24"/>
      <c r="R10" s="24" t="n">
        <v>9.4</v>
      </c>
      <c r="S10" s="24" t="n">
        <v>13.6</v>
      </c>
      <c r="T10" s="24"/>
      <c r="U10" s="24"/>
      <c r="V10" s="24" t="n">
        <v>12.2</v>
      </c>
      <c r="W10" s="24"/>
      <c r="X10" s="24"/>
      <c r="Y10" s="24"/>
      <c r="Z10" s="24" t="n">
        <v>7.3</v>
      </c>
      <c r="AA10" s="24"/>
      <c r="AB10" s="24"/>
      <c r="AC10" s="24" t="n">
        <v>2</v>
      </c>
      <c r="AD10" s="24" t="n">
        <v>3</v>
      </c>
      <c r="AE10" s="24" t="n">
        <f aca="false">IF(AND(N(AC10)&gt;0,N(AD10)&gt;0),SQRT(2*AC10/AD10),"")</f>
        <v>1.15470053837925</v>
      </c>
      <c r="AF10" s="24" t="n">
        <v>19</v>
      </c>
      <c r="AG10" s="24" t="n">
        <v>2</v>
      </c>
      <c r="AH10" s="24" t="n">
        <v>43</v>
      </c>
      <c r="AI10" s="24" t="n">
        <v>800</v>
      </c>
      <c r="AJ10" s="24" t="n">
        <v>29.017</v>
      </c>
      <c r="AK10" s="24" t="n">
        <v>7</v>
      </c>
      <c r="AL10" s="24"/>
      <c r="AM10" s="24"/>
      <c r="AN10" s="24" t="n">
        <v>8.1</v>
      </c>
      <c r="AO10" s="24"/>
      <c r="AP10" s="24"/>
      <c r="AQ10" s="24" t="n">
        <v>55</v>
      </c>
      <c r="AR10" s="24" t="n">
        <v>26</v>
      </c>
      <c r="AS10" s="24" t="s">
        <v>2065</v>
      </c>
      <c r="AT10" s="24" t="s">
        <v>1722</v>
      </c>
      <c r="AU10" s="24" t="s">
        <v>1933</v>
      </c>
      <c r="AV10" s="24" t="s">
        <v>1724</v>
      </c>
      <c r="AW10" s="24" t="s">
        <v>2066</v>
      </c>
      <c r="AX10" s="25" t="s">
        <v>2076</v>
      </c>
      <c r="AY10" s="24" t="s">
        <v>1008</v>
      </c>
      <c r="AZ10" s="24" t="s">
        <v>2068</v>
      </c>
    </row>
    <row r="11" customFormat="false" ht="14.25" hidden="false" customHeight="false" outlineLevel="0" collapsed="false">
      <c r="A11" s="24" t="s">
        <v>988</v>
      </c>
      <c r="B11" s="24" t="s">
        <v>988</v>
      </c>
      <c r="C11" s="24" t="s">
        <v>989</v>
      </c>
      <c r="D11" s="24" t="n">
        <v>2011</v>
      </c>
      <c r="E11" s="24" t="s">
        <v>990</v>
      </c>
      <c r="F11" s="24" t="s">
        <v>857</v>
      </c>
      <c r="G11" s="24" t="s">
        <v>993</v>
      </c>
      <c r="H11" s="24" t="n">
        <v>29.017</v>
      </c>
      <c r="I11" s="24" t="n">
        <v>77.75</v>
      </c>
      <c r="J11" s="24" t="s">
        <v>83</v>
      </c>
      <c r="K11" s="24" t="s">
        <v>1931</v>
      </c>
      <c r="L11" s="24" t="s">
        <v>84</v>
      </c>
      <c r="M11" s="24" t="s">
        <v>85</v>
      </c>
      <c r="N11" s="24" t="s">
        <v>86</v>
      </c>
      <c r="O11" s="24" t="s">
        <v>1666</v>
      </c>
      <c r="P11" s="24" t="s">
        <v>2071</v>
      </c>
      <c r="Q11" s="24"/>
      <c r="R11" s="24" t="n">
        <v>7.4</v>
      </c>
      <c r="S11" s="24" t="n">
        <v>12.1</v>
      </c>
      <c r="T11" s="24"/>
      <c r="U11" s="24"/>
      <c r="V11" s="24" t="n">
        <v>11.9</v>
      </c>
      <c r="W11" s="24"/>
      <c r="X11" s="24"/>
      <c r="Y11" s="24"/>
      <c r="Z11" s="24" t="n">
        <v>4.9</v>
      </c>
      <c r="AA11" s="24"/>
      <c r="AB11" s="24"/>
      <c r="AC11" s="24" t="n">
        <v>2</v>
      </c>
      <c r="AD11" s="24" t="n">
        <v>3</v>
      </c>
      <c r="AE11" s="24" t="n">
        <f aca="false">IF(AND(N(AC11)&gt;0,N(AD11)&gt;0),SQRT(2*AC11/AD11),"")</f>
        <v>1.15470053837925</v>
      </c>
      <c r="AF11" s="24" t="n">
        <v>19</v>
      </c>
      <c r="AG11" s="24" t="n">
        <v>2</v>
      </c>
      <c r="AH11" s="24" t="n">
        <v>43</v>
      </c>
      <c r="AI11" s="24" t="n">
        <v>800</v>
      </c>
      <c r="AJ11" s="24" t="n">
        <v>29.017</v>
      </c>
      <c r="AK11" s="24" t="n">
        <v>7</v>
      </c>
      <c r="AL11" s="24"/>
      <c r="AM11" s="24"/>
      <c r="AN11" s="24" t="n">
        <v>8.1</v>
      </c>
      <c r="AO11" s="24"/>
      <c r="AP11" s="24"/>
      <c r="AQ11" s="24" t="n">
        <v>55</v>
      </c>
      <c r="AR11" s="24" t="n">
        <v>26</v>
      </c>
      <c r="AS11" s="24" t="s">
        <v>2065</v>
      </c>
      <c r="AT11" s="24" t="s">
        <v>1722</v>
      </c>
      <c r="AU11" s="24" t="s">
        <v>1933</v>
      </c>
      <c r="AV11" s="24" t="s">
        <v>1724</v>
      </c>
      <c r="AW11" s="24" t="s">
        <v>2066</v>
      </c>
      <c r="AX11" s="25" t="s">
        <v>2076</v>
      </c>
      <c r="AY11" s="24" t="s">
        <v>1008</v>
      </c>
      <c r="AZ11" s="24" t="s">
        <v>2068</v>
      </c>
    </row>
    <row r="12" customFormat="false" ht="14.25" hidden="false" customHeight="false" outlineLevel="0" collapsed="false">
      <c r="A12" s="24" t="s">
        <v>988</v>
      </c>
      <c r="B12" s="24" t="s">
        <v>988</v>
      </c>
      <c r="C12" s="24" t="s">
        <v>989</v>
      </c>
      <c r="D12" s="24" t="n">
        <v>2011</v>
      </c>
      <c r="E12" s="24" t="s">
        <v>990</v>
      </c>
      <c r="F12" s="24" t="s">
        <v>857</v>
      </c>
      <c r="G12" s="24" t="s">
        <v>993</v>
      </c>
      <c r="H12" s="24" t="n">
        <v>29.017</v>
      </c>
      <c r="I12" s="24" t="n">
        <v>77.75</v>
      </c>
      <c r="J12" s="24" t="s">
        <v>83</v>
      </c>
      <c r="K12" s="24" t="s">
        <v>1931</v>
      </c>
      <c r="L12" s="24" t="s">
        <v>84</v>
      </c>
      <c r="M12" s="24" t="s">
        <v>85</v>
      </c>
      <c r="N12" s="24" t="s">
        <v>86</v>
      </c>
      <c r="O12" s="24" t="s">
        <v>1666</v>
      </c>
      <c r="P12" s="24" t="s">
        <v>2072</v>
      </c>
      <c r="Q12" s="24"/>
      <c r="R12" s="24" t="n">
        <v>10</v>
      </c>
      <c r="S12" s="24" t="n">
        <v>10</v>
      </c>
      <c r="T12" s="24"/>
      <c r="U12" s="24"/>
      <c r="V12" s="24" t="n">
        <v>10</v>
      </c>
      <c r="W12" s="24"/>
      <c r="X12" s="24"/>
      <c r="Y12" s="24"/>
      <c r="Z12" s="24" t="n">
        <v>6.6</v>
      </c>
      <c r="AA12" s="24"/>
      <c r="AB12" s="24"/>
      <c r="AC12" s="24" t="n">
        <v>2</v>
      </c>
      <c r="AD12" s="24" t="n">
        <v>3</v>
      </c>
      <c r="AE12" s="24" t="n">
        <f aca="false">IF(AND(N(AC12)&gt;0,N(AD12)&gt;0),SQRT(2*AC12/AD12),"")</f>
        <v>1.15470053837925</v>
      </c>
      <c r="AF12" s="24" t="n">
        <v>19</v>
      </c>
      <c r="AG12" s="24" t="n">
        <v>2</v>
      </c>
      <c r="AH12" s="24" t="n">
        <v>43</v>
      </c>
      <c r="AI12" s="24" t="n">
        <v>800</v>
      </c>
      <c r="AJ12" s="24" t="n">
        <v>29.017</v>
      </c>
      <c r="AK12" s="24" t="n">
        <v>7</v>
      </c>
      <c r="AL12" s="24"/>
      <c r="AM12" s="24"/>
      <c r="AN12" s="24" t="n">
        <v>8.1</v>
      </c>
      <c r="AO12" s="24"/>
      <c r="AP12" s="24"/>
      <c r="AQ12" s="24" t="n">
        <v>55</v>
      </c>
      <c r="AR12" s="24" t="n">
        <v>26</v>
      </c>
      <c r="AS12" s="24" t="s">
        <v>2065</v>
      </c>
      <c r="AT12" s="24" t="s">
        <v>1722</v>
      </c>
      <c r="AU12" s="24" t="s">
        <v>1933</v>
      </c>
      <c r="AV12" s="24" t="s">
        <v>1724</v>
      </c>
      <c r="AW12" s="24" t="s">
        <v>2066</v>
      </c>
      <c r="AX12" s="25" t="s">
        <v>2076</v>
      </c>
      <c r="AY12" s="24" t="s">
        <v>1008</v>
      </c>
      <c r="AZ12" s="24" t="s">
        <v>2068</v>
      </c>
    </row>
    <row r="13" customFormat="false" ht="14.25" hidden="false" customHeight="false" outlineLevel="0" collapsed="false">
      <c r="A13" s="24" t="s">
        <v>988</v>
      </c>
      <c r="B13" s="24" t="s">
        <v>988</v>
      </c>
      <c r="C13" s="24" t="s">
        <v>989</v>
      </c>
      <c r="D13" s="24" t="n">
        <v>2011</v>
      </c>
      <c r="E13" s="24" t="s">
        <v>990</v>
      </c>
      <c r="F13" s="24" t="s">
        <v>857</v>
      </c>
      <c r="G13" s="24" t="s">
        <v>993</v>
      </c>
      <c r="H13" s="24" t="n">
        <v>29.017</v>
      </c>
      <c r="I13" s="24" t="n">
        <v>77.75</v>
      </c>
      <c r="J13" s="24" t="s">
        <v>83</v>
      </c>
      <c r="K13" s="24" t="s">
        <v>1931</v>
      </c>
      <c r="L13" s="24" t="s">
        <v>84</v>
      </c>
      <c r="M13" s="24" t="s">
        <v>85</v>
      </c>
      <c r="N13" s="24" t="s">
        <v>86</v>
      </c>
      <c r="O13" s="24" t="s">
        <v>1666</v>
      </c>
      <c r="P13" s="24" t="s">
        <v>2073</v>
      </c>
      <c r="Q13" s="24"/>
      <c r="R13" s="24" t="n">
        <v>14.8</v>
      </c>
      <c r="S13" s="24" t="n">
        <v>17.6</v>
      </c>
      <c r="T13" s="24"/>
      <c r="U13" s="24"/>
      <c r="V13" s="24" t="n">
        <v>17.8</v>
      </c>
      <c r="W13" s="24"/>
      <c r="X13" s="24"/>
      <c r="Y13" s="24"/>
      <c r="Z13" s="24" t="n">
        <v>21.7</v>
      </c>
      <c r="AA13" s="24"/>
      <c r="AB13" s="24"/>
      <c r="AC13" s="24" t="n">
        <v>2</v>
      </c>
      <c r="AD13" s="24" t="n">
        <v>3</v>
      </c>
      <c r="AE13" s="24" t="n">
        <f aca="false">IF(AND(N(AC13)&gt;0,N(AD13)&gt;0),SQRT(2*AC13/AD13),"")</f>
        <v>1.15470053837925</v>
      </c>
      <c r="AF13" s="24" t="n">
        <v>19</v>
      </c>
      <c r="AG13" s="24" t="n">
        <v>2</v>
      </c>
      <c r="AH13" s="24" t="n">
        <v>43</v>
      </c>
      <c r="AI13" s="24" t="n">
        <v>800</v>
      </c>
      <c r="AJ13" s="24" t="n">
        <v>29.017</v>
      </c>
      <c r="AK13" s="24" t="n">
        <v>7</v>
      </c>
      <c r="AL13" s="24"/>
      <c r="AM13" s="24"/>
      <c r="AN13" s="24" t="n">
        <v>8.1</v>
      </c>
      <c r="AO13" s="24"/>
      <c r="AP13" s="24"/>
      <c r="AQ13" s="24" t="n">
        <v>55</v>
      </c>
      <c r="AR13" s="24" t="n">
        <v>26</v>
      </c>
      <c r="AS13" s="24" t="s">
        <v>2065</v>
      </c>
      <c r="AT13" s="24" t="s">
        <v>1722</v>
      </c>
      <c r="AU13" s="24" t="s">
        <v>1933</v>
      </c>
      <c r="AV13" s="24" t="s">
        <v>1724</v>
      </c>
      <c r="AW13" s="24" t="s">
        <v>2066</v>
      </c>
      <c r="AX13" s="25" t="s">
        <v>2076</v>
      </c>
      <c r="AY13" s="24" t="s">
        <v>1008</v>
      </c>
      <c r="AZ13" s="24" t="s">
        <v>2068</v>
      </c>
    </row>
    <row r="14" customFormat="false" ht="14.25" hidden="false" customHeight="false" outlineLevel="0" collapsed="false">
      <c r="A14" s="24" t="s">
        <v>988</v>
      </c>
      <c r="B14" s="24" t="s">
        <v>988</v>
      </c>
      <c r="C14" s="24" t="s">
        <v>989</v>
      </c>
      <c r="D14" s="24" t="n">
        <v>2011</v>
      </c>
      <c r="E14" s="24" t="s">
        <v>990</v>
      </c>
      <c r="F14" s="24" t="s">
        <v>857</v>
      </c>
      <c r="G14" s="24" t="s">
        <v>993</v>
      </c>
      <c r="H14" s="24" t="n">
        <v>29.017</v>
      </c>
      <c r="I14" s="24" t="n">
        <v>77.75</v>
      </c>
      <c r="J14" s="24" t="s">
        <v>83</v>
      </c>
      <c r="K14" s="24" t="s">
        <v>1931</v>
      </c>
      <c r="L14" s="24" t="s">
        <v>84</v>
      </c>
      <c r="M14" s="24" t="s">
        <v>85</v>
      </c>
      <c r="N14" s="24" t="s">
        <v>86</v>
      </c>
      <c r="O14" s="24" t="s">
        <v>1666</v>
      </c>
      <c r="P14" s="24" t="s">
        <v>2074</v>
      </c>
      <c r="Q14" s="24"/>
      <c r="R14" s="24" t="n">
        <v>27.2</v>
      </c>
      <c r="S14" s="24" t="n">
        <v>15.3</v>
      </c>
      <c r="T14" s="24"/>
      <c r="U14" s="24"/>
      <c r="V14" s="24" t="n">
        <v>13.9</v>
      </c>
      <c r="W14" s="24"/>
      <c r="X14" s="24"/>
      <c r="Y14" s="24"/>
      <c r="Z14" s="24" t="n">
        <v>23.2</v>
      </c>
      <c r="AA14" s="24"/>
      <c r="AB14" s="24"/>
      <c r="AC14" s="24" t="n">
        <v>2</v>
      </c>
      <c r="AD14" s="24" t="n">
        <v>3</v>
      </c>
      <c r="AE14" s="24" t="n">
        <f aca="false">IF(AND(N(AC14)&gt;0,N(AD14)&gt;0),SQRT(2*AC14/AD14),"")</f>
        <v>1.15470053837925</v>
      </c>
      <c r="AF14" s="24" t="n">
        <v>19</v>
      </c>
      <c r="AG14" s="24" t="n">
        <v>2</v>
      </c>
      <c r="AH14" s="24" t="n">
        <v>43</v>
      </c>
      <c r="AI14" s="24" t="n">
        <v>800</v>
      </c>
      <c r="AJ14" s="24" t="n">
        <v>29.017</v>
      </c>
      <c r="AK14" s="24" t="n">
        <v>7</v>
      </c>
      <c r="AL14" s="24"/>
      <c r="AM14" s="24"/>
      <c r="AN14" s="24" t="n">
        <v>8.1</v>
      </c>
      <c r="AO14" s="24"/>
      <c r="AP14" s="24"/>
      <c r="AQ14" s="24" t="n">
        <v>55</v>
      </c>
      <c r="AR14" s="24" t="n">
        <v>26</v>
      </c>
      <c r="AS14" s="24" t="s">
        <v>2065</v>
      </c>
      <c r="AT14" s="24" t="s">
        <v>1722</v>
      </c>
      <c r="AU14" s="24" t="s">
        <v>1933</v>
      </c>
      <c r="AV14" s="24" t="s">
        <v>1724</v>
      </c>
      <c r="AW14" s="24" t="s">
        <v>2066</v>
      </c>
      <c r="AX14" s="25" t="s">
        <v>2076</v>
      </c>
      <c r="AY14" s="24" t="s">
        <v>1008</v>
      </c>
      <c r="AZ14" s="24" t="s">
        <v>2068</v>
      </c>
    </row>
    <row r="15" customFormat="false" ht="14.25" hidden="false" customHeight="false" outlineLevel="0" collapsed="false">
      <c r="A15" s="24" t="s">
        <v>988</v>
      </c>
      <c r="B15" s="24" t="s">
        <v>988</v>
      </c>
      <c r="C15" s="24" t="s">
        <v>989</v>
      </c>
      <c r="D15" s="24" t="n">
        <v>2011</v>
      </c>
      <c r="E15" s="24" t="s">
        <v>990</v>
      </c>
      <c r="F15" s="24" t="s">
        <v>857</v>
      </c>
      <c r="G15" s="24" t="s">
        <v>993</v>
      </c>
      <c r="H15" s="24" t="n">
        <v>29.017</v>
      </c>
      <c r="I15" s="24" t="n">
        <v>77.75</v>
      </c>
      <c r="J15" s="24" t="s">
        <v>83</v>
      </c>
      <c r="K15" s="24" t="s">
        <v>1931</v>
      </c>
      <c r="L15" s="24" t="s">
        <v>84</v>
      </c>
      <c r="M15" s="24" t="s">
        <v>85</v>
      </c>
      <c r="N15" s="24" t="s">
        <v>86</v>
      </c>
      <c r="O15" s="24" t="s">
        <v>1666</v>
      </c>
      <c r="P15" s="24" t="s">
        <v>2075</v>
      </c>
      <c r="Q15" s="24"/>
      <c r="R15" s="24" t="n">
        <v>13.1</v>
      </c>
      <c r="S15" s="24" t="n">
        <v>3.6</v>
      </c>
      <c r="T15" s="24"/>
      <c r="U15" s="24"/>
      <c r="V15" s="24" t="n">
        <v>4.4</v>
      </c>
      <c r="W15" s="24"/>
      <c r="X15" s="24"/>
      <c r="Y15" s="24"/>
      <c r="Z15" s="24" t="n">
        <v>14.2</v>
      </c>
      <c r="AA15" s="24"/>
      <c r="AB15" s="24"/>
      <c r="AC15" s="24" t="n">
        <v>2</v>
      </c>
      <c r="AD15" s="24" t="n">
        <v>3</v>
      </c>
      <c r="AE15" s="24" t="n">
        <f aca="false">IF(AND(N(AC15)&gt;0,N(AD15)&gt;0),SQRT(2*AC15/AD15),"")</f>
        <v>1.15470053837925</v>
      </c>
      <c r="AF15" s="24" t="n">
        <v>19</v>
      </c>
      <c r="AG15" s="24" t="n">
        <v>2</v>
      </c>
      <c r="AH15" s="24" t="n">
        <v>43</v>
      </c>
      <c r="AI15" s="24" t="n">
        <v>800</v>
      </c>
      <c r="AJ15" s="24" t="n">
        <v>29.017</v>
      </c>
      <c r="AK15" s="24" t="n">
        <v>7</v>
      </c>
      <c r="AL15" s="24"/>
      <c r="AM15" s="24"/>
      <c r="AN15" s="24" t="n">
        <v>8.1</v>
      </c>
      <c r="AO15" s="24"/>
      <c r="AP15" s="24"/>
      <c r="AQ15" s="24" t="n">
        <v>55</v>
      </c>
      <c r="AR15" s="24" t="n">
        <v>26</v>
      </c>
      <c r="AS15" s="24" t="s">
        <v>2065</v>
      </c>
      <c r="AT15" s="24" t="s">
        <v>1722</v>
      </c>
      <c r="AU15" s="24" t="s">
        <v>1933</v>
      </c>
      <c r="AV15" s="24" t="s">
        <v>1724</v>
      </c>
      <c r="AW15" s="24" t="s">
        <v>2066</v>
      </c>
      <c r="AX15" s="25" t="s">
        <v>2076</v>
      </c>
      <c r="AY15" s="24" t="s">
        <v>1008</v>
      </c>
      <c r="AZ15" s="24" t="s">
        <v>2068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2077</v>
      </c>
      <c r="Q1" s="27" t="s">
        <v>2078</v>
      </c>
      <c r="R1" s="27" t="s">
        <v>2079</v>
      </c>
      <c r="S1" s="27" t="s">
        <v>2080</v>
      </c>
      <c r="T1" s="27" t="s">
        <v>2081</v>
      </c>
      <c r="U1" s="27" t="s">
        <v>2082</v>
      </c>
      <c r="V1" s="27" t="s">
        <v>2083</v>
      </c>
      <c r="W1" s="27" t="s">
        <v>2084</v>
      </c>
      <c r="X1" s="30" t="s">
        <v>2085</v>
      </c>
      <c r="Y1" s="30" t="s">
        <v>2086</v>
      </c>
      <c r="Z1" s="30" t="s">
        <v>2087</v>
      </c>
      <c r="AA1" s="30" t="s">
        <v>2088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166</v>
      </c>
      <c r="B2" s="5" t="n">
        <v>166</v>
      </c>
      <c r="C2" s="5" t="s">
        <v>853</v>
      </c>
      <c r="D2" s="5" t="n">
        <v>2014</v>
      </c>
      <c r="E2" s="5" t="s">
        <v>854</v>
      </c>
      <c r="F2" s="5" t="s">
        <v>857</v>
      </c>
      <c r="G2" s="5" t="s">
        <v>858</v>
      </c>
      <c r="H2" s="5" t="n">
        <v>29.067</v>
      </c>
      <c r="I2" s="5" t="n">
        <v>77.767</v>
      </c>
      <c r="J2" s="5" t="s">
        <v>83</v>
      </c>
      <c r="K2" s="5" t="n">
        <v>2011</v>
      </c>
      <c r="L2" s="5" t="s">
        <v>823</v>
      </c>
      <c r="M2" s="5" t="s">
        <v>85</v>
      </c>
      <c r="N2" s="5" t="s">
        <v>86</v>
      </c>
      <c r="O2" s="5" t="s">
        <v>1893</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2089</v>
      </c>
      <c r="AS2" s="5" t="s">
        <v>1895</v>
      </c>
      <c r="AT2" s="5" t="s">
        <v>1896</v>
      </c>
      <c r="AU2" s="5" t="s">
        <v>1897</v>
      </c>
      <c r="AV2" s="5" t="s">
        <v>2090</v>
      </c>
      <c r="AW2" s="23" t="s">
        <v>2091</v>
      </c>
      <c r="AX2" s="5" t="s">
        <v>869</v>
      </c>
      <c r="AY2" s="5" t="s">
        <v>2092</v>
      </c>
      <c r="BA2" s="33" t="s">
        <v>1099</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1905</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2089</v>
      </c>
      <c r="AS3" s="5" t="s">
        <v>1895</v>
      </c>
      <c r="AT3" s="5" t="s">
        <v>1896</v>
      </c>
      <c r="AU3" s="5" t="s">
        <v>1897</v>
      </c>
      <c r="AV3" s="5" t="s">
        <v>2090</v>
      </c>
      <c r="AW3" s="23" t="s">
        <v>2093</v>
      </c>
      <c r="AX3" s="5" t="s">
        <v>869</v>
      </c>
      <c r="AY3" s="5" t="s">
        <v>2092</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1673</v>
      </c>
      <c r="O4" s="5" t="s">
        <v>1674</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2089</v>
      </c>
      <c r="AS4" s="5" t="s">
        <v>1895</v>
      </c>
      <c r="AT4" s="5" t="s">
        <v>1896</v>
      </c>
      <c r="AU4" s="5" t="s">
        <v>1897</v>
      </c>
      <c r="AV4" s="5" t="s">
        <v>2090</v>
      </c>
      <c r="AW4" s="23" t="s">
        <v>2094</v>
      </c>
      <c r="AX4" s="5" t="s">
        <v>869</v>
      </c>
      <c r="AY4" s="5" t="s">
        <v>2092</v>
      </c>
    </row>
    <row r="5" customFormat="false" ht="15" hidden="false" customHeight="true" outlineLevel="0" collapsed="false">
      <c r="A5" s="18" t="s">
        <v>908</v>
      </c>
      <c r="B5" s="18" t="s">
        <v>908</v>
      </c>
      <c r="C5" s="18" t="s">
        <v>909</v>
      </c>
      <c r="D5" s="18" t="n">
        <v>2019</v>
      </c>
      <c r="E5" s="18" t="s">
        <v>854</v>
      </c>
      <c r="F5" s="18" t="s">
        <v>912</v>
      </c>
      <c r="G5" s="18" t="s">
        <v>913</v>
      </c>
      <c r="H5" s="18" t="n">
        <v>29.7</v>
      </c>
      <c r="I5" s="18" t="n">
        <v>76.96</v>
      </c>
      <c r="J5" s="18" t="s">
        <v>83</v>
      </c>
      <c r="K5" s="18" t="n">
        <v>2013</v>
      </c>
      <c r="L5" s="18" t="s">
        <v>84</v>
      </c>
      <c r="M5" s="18" t="s">
        <v>85</v>
      </c>
      <c r="N5" s="18" t="s">
        <v>86</v>
      </c>
      <c r="O5" s="18" t="s">
        <v>1666</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2095</v>
      </c>
      <c r="AS5" s="18" t="s">
        <v>1913</v>
      </c>
      <c r="AT5" s="18" t="s">
        <v>2096</v>
      </c>
      <c r="AU5" s="18" t="s">
        <v>1915</v>
      </c>
      <c r="AV5" s="18" t="s">
        <v>2097</v>
      </c>
      <c r="AW5" s="32" t="s">
        <v>2098</v>
      </c>
      <c r="AX5" s="18" t="s">
        <v>922</v>
      </c>
      <c r="AY5" s="18" t="s">
        <v>2099</v>
      </c>
    </row>
    <row r="6" customFormat="false" ht="15" hidden="false" customHeight="true" outlineLevel="0" collapsed="false">
      <c r="A6" s="18" t="s">
        <v>908</v>
      </c>
      <c r="B6" s="18" t="s">
        <v>908</v>
      </c>
      <c r="C6" s="18" t="s">
        <v>909</v>
      </c>
      <c r="D6" s="18" t="n">
        <v>2019</v>
      </c>
      <c r="E6" s="18" t="s">
        <v>854</v>
      </c>
      <c r="F6" s="18" t="s">
        <v>912</v>
      </c>
      <c r="G6" s="18" t="s">
        <v>913</v>
      </c>
      <c r="H6" s="18" t="n">
        <v>29.7</v>
      </c>
      <c r="I6" s="18" t="n">
        <v>76.96</v>
      </c>
      <c r="J6" s="18" t="s">
        <v>83</v>
      </c>
      <c r="K6" s="18" t="n">
        <v>2015</v>
      </c>
      <c r="L6" s="18" t="s">
        <v>84</v>
      </c>
      <c r="M6" s="18" t="s">
        <v>85</v>
      </c>
      <c r="N6" s="18" t="s">
        <v>86</v>
      </c>
      <c r="O6" s="18" t="s">
        <v>1666</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2095</v>
      </c>
      <c r="AS6" s="18" t="s">
        <v>1913</v>
      </c>
      <c r="AT6" s="18" t="s">
        <v>2100</v>
      </c>
      <c r="AU6" s="18" t="s">
        <v>1915</v>
      </c>
      <c r="AV6" s="18" t="s">
        <v>2101</v>
      </c>
      <c r="AW6" s="32" t="s">
        <v>2102</v>
      </c>
      <c r="AX6" s="18" t="s">
        <v>922</v>
      </c>
      <c r="AY6" s="18" t="s">
        <v>2099</v>
      </c>
    </row>
    <row r="7" customFormat="false" ht="15" hidden="false" customHeight="true" outlineLevel="0" collapsed="false">
      <c r="A7" s="18" t="s">
        <v>908</v>
      </c>
      <c r="B7" s="18" t="s">
        <v>908</v>
      </c>
      <c r="C7" s="18" t="s">
        <v>909</v>
      </c>
      <c r="D7" s="18" t="n">
        <v>2019</v>
      </c>
      <c r="E7" s="18" t="s">
        <v>854</v>
      </c>
      <c r="F7" s="18" t="s">
        <v>912</v>
      </c>
      <c r="G7" s="18" t="s">
        <v>913</v>
      </c>
      <c r="H7" s="18" t="n">
        <v>29.7</v>
      </c>
      <c r="I7" s="18" t="n">
        <v>76.96</v>
      </c>
      <c r="J7" s="18" t="s">
        <v>83</v>
      </c>
      <c r="K7" s="18" t="n">
        <v>2013</v>
      </c>
      <c r="L7" s="18" t="s">
        <v>84</v>
      </c>
      <c r="M7" s="18" t="s">
        <v>85</v>
      </c>
      <c r="N7" s="18" t="s">
        <v>1673</v>
      </c>
      <c r="O7" s="18" t="s">
        <v>1674</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2095</v>
      </c>
      <c r="AS7" s="18" t="s">
        <v>1913</v>
      </c>
      <c r="AT7" s="18" t="s">
        <v>2096</v>
      </c>
      <c r="AU7" s="18" t="s">
        <v>1915</v>
      </c>
      <c r="AV7" s="18" t="s">
        <v>2103</v>
      </c>
      <c r="AW7" s="32" t="s">
        <v>2104</v>
      </c>
      <c r="AX7" s="18" t="s">
        <v>922</v>
      </c>
      <c r="AY7" s="18" t="s">
        <v>2099</v>
      </c>
    </row>
    <row r="8" customFormat="false" ht="15" hidden="false" customHeight="true" outlineLevel="0" collapsed="false">
      <c r="A8" s="18" t="s">
        <v>908</v>
      </c>
      <c r="B8" s="18" t="s">
        <v>908</v>
      </c>
      <c r="C8" s="18" t="s">
        <v>909</v>
      </c>
      <c r="D8" s="18" t="n">
        <v>2019</v>
      </c>
      <c r="E8" s="18" t="s">
        <v>854</v>
      </c>
      <c r="F8" s="18" t="s">
        <v>912</v>
      </c>
      <c r="G8" s="18" t="s">
        <v>913</v>
      </c>
      <c r="H8" s="18" t="n">
        <v>29.7</v>
      </c>
      <c r="I8" s="18" t="n">
        <v>76.96</v>
      </c>
      <c r="J8" s="18" t="s">
        <v>83</v>
      </c>
      <c r="K8" s="18" t="n">
        <v>2015</v>
      </c>
      <c r="L8" s="18" t="s">
        <v>84</v>
      </c>
      <c r="M8" s="18" t="s">
        <v>85</v>
      </c>
      <c r="N8" s="18" t="s">
        <v>1673</v>
      </c>
      <c r="O8" s="18" t="s">
        <v>1674</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2095</v>
      </c>
      <c r="AS8" s="18" t="s">
        <v>1913</v>
      </c>
      <c r="AT8" s="18" t="s">
        <v>2100</v>
      </c>
      <c r="AU8" s="18" t="s">
        <v>1915</v>
      </c>
      <c r="AV8" s="18" t="s">
        <v>2105</v>
      </c>
      <c r="AW8" s="32" t="s">
        <v>2106</v>
      </c>
      <c r="AX8" s="18" t="s">
        <v>922</v>
      </c>
      <c r="AY8" s="18" t="s">
        <v>2099</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2107</v>
      </c>
      <c r="Q1" s="27" t="s">
        <v>2108</v>
      </c>
      <c r="R1" s="27" t="s">
        <v>2109</v>
      </c>
      <c r="S1" s="27" t="s">
        <v>2110</v>
      </c>
      <c r="T1" s="27" t="s">
        <v>2111</v>
      </c>
      <c r="U1" s="27" t="s">
        <v>2112</v>
      </c>
      <c r="V1" s="27" t="s">
        <v>2113</v>
      </c>
      <c r="W1" s="27" t="s">
        <v>2114</v>
      </c>
      <c r="X1" s="30" t="s">
        <v>2115</v>
      </c>
      <c r="Y1" s="30" t="s">
        <v>2116</v>
      </c>
      <c r="Z1" s="30" t="s">
        <v>2117</v>
      </c>
      <c r="AA1" s="30" t="s">
        <v>2118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166</v>
      </c>
      <c r="B2" s="5" t="n">
        <v>166</v>
      </c>
      <c r="C2" s="5" t="s">
        <v>853</v>
      </c>
      <c r="D2" s="5" t="n">
        <v>2014</v>
      </c>
      <c r="E2" s="5" t="s">
        <v>854</v>
      </c>
      <c r="F2" s="5" t="s">
        <v>857</v>
      </c>
      <c r="G2" s="5" t="s">
        <v>858</v>
      </c>
      <c r="H2" s="5" t="n">
        <v>29.067</v>
      </c>
      <c r="I2" s="5" t="n">
        <v>77.767</v>
      </c>
      <c r="J2" s="5" t="s">
        <v>83</v>
      </c>
      <c r="K2" s="5" t="n">
        <v>2011</v>
      </c>
      <c r="L2" s="5" t="s">
        <v>823</v>
      </c>
      <c r="M2" s="5" t="s">
        <v>85</v>
      </c>
      <c r="N2" s="5" t="s">
        <v>86</v>
      </c>
      <c r="O2" s="5" t="s">
        <v>1893</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2119</v>
      </c>
      <c r="AS2" s="5" t="s">
        <v>1895</v>
      </c>
      <c r="AT2" s="5" t="s">
        <v>1896</v>
      </c>
      <c r="AU2" s="5" t="s">
        <v>1897</v>
      </c>
      <c r="AV2" s="5" t="s">
        <v>1670</v>
      </c>
      <c r="AW2" s="23" t="s">
        <v>2048</v>
      </c>
      <c r="AX2" s="5" t="s">
        <v>869</v>
      </c>
      <c r="AY2" s="5" t="s">
        <v>2120</v>
      </c>
      <c r="BA2" s="33" t="s">
        <v>1102</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1905</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2119</v>
      </c>
      <c r="AS3" s="5" t="s">
        <v>1895</v>
      </c>
      <c r="AT3" s="5" t="s">
        <v>1896</v>
      </c>
      <c r="AU3" s="5" t="s">
        <v>1897</v>
      </c>
      <c r="AV3" s="5" t="s">
        <v>1670</v>
      </c>
      <c r="AW3" s="23" t="s">
        <v>2048</v>
      </c>
      <c r="AX3" s="5" t="s">
        <v>869</v>
      </c>
      <c r="AY3" s="5" t="s">
        <v>2120</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1673</v>
      </c>
      <c r="O4" s="5" t="s">
        <v>1674</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2119</v>
      </c>
      <c r="AS4" s="5" t="s">
        <v>1895</v>
      </c>
      <c r="AT4" s="5" t="s">
        <v>1896</v>
      </c>
      <c r="AU4" s="5" t="s">
        <v>1897</v>
      </c>
      <c r="AV4" s="5" t="s">
        <v>1670</v>
      </c>
      <c r="AW4" s="23" t="s">
        <v>2049</v>
      </c>
      <c r="AX4" s="5" t="s">
        <v>869</v>
      </c>
      <c r="AY4" s="5" t="s">
        <v>2120</v>
      </c>
    </row>
    <row r="5" customFormat="false" ht="15" hidden="false" customHeight="true" outlineLevel="0" collapsed="false">
      <c r="A5" s="18" t="s">
        <v>908</v>
      </c>
      <c r="B5" s="18" t="s">
        <v>908</v>
      </c>
      <c r="C5" s="18" t="s">
        <v>909</v>
      </c>
      <c r="D5" s="18" t="n">
        <v>2019</v>
      </c>
      <c r="E5" s="18" t="s">
        <v>854</v>
      </c>
      <c r="F5" s="18" t="s">
        <v>912</v>
      </c>
      <c r="G5" s="18" t="s">
        <v>913</v>
      </c>
      <c r="H5" s="18" t="n">
        <v>29.7</v>
      </c>
      <c r="I5" s="18" t="n">
        <v>76.96</v>
      </c>
      <c r="J5" s="18" t="s">
        <v>83</v>
      </c>
      <c r="K5" s="18" t="n">
        <v>2013</v>
      </c>
      <c r="L5" s="18" t="s">
        <v>84</v>
      </c>
      <c r="M5" s="18" t="s">
        <v>85</v>
      </c>
      <c r="N5" s="18" t="s">
        <v>86</v>
      </c>
      <c r="O5" s="18" t="s">
        <v>1666</v>
      </c>
      <c r="P5" s="18" t="n">
        <f aca="false">ROUND(AVERAGE(5.6,3.3),2)</f>
        <v>4.45</v>
      </c>
      <c r="Q5" s="18" t="n">
        <f aca="false">ROUND(AVERAGE(2.53,2.87),2)</f>
        <v>2.7</v>
      </c>
      <c r="R5" s="18"/>
      <c r="S5" s="18"/>
      <c r="T5" s="18"/>
      <c r="U5" s="18"/>
      <c r="V5" s="18"/>
      <c r="W5" s="18"/>
      <c r="X5" s="18" t="n">
        <f aca="false">ROUND(AVERAGE(5.37,3.9),2)</f>
        <v>4.64</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2121</v>
      </c>
      <c r="AS5" s="18" t="s">
        <v>1913</v>
      </c>
      <c r="AT5" s="18" t="s">
        <v>2096</v>
      </c>
      <c r="AU5" s="18" t="s">
        <v>1915</v>
      </c>
      <c r="AV5" s="18" t="s">
        <v>2097</v>
      </c>
      <c r="AW5" s="32" t="s">
        <v>2122</v>
      </c>
      <c r="AX5" s="18" t="s">
        <v>922</v>
      </c>
      <c r="AY5" s="18" t="s">
        <v>2099</v>
      </c>
    </row>
    <row r="6" customFormat="false" ht="15" hidden="false" customHeight="true" outlineLevel="0" collapsed="false">
      <c r="A6" s="18" t="s">
        <v>908</v>
      </c>
      <c r="B6" s="18" t="s">
        <v>908</v>
      </c>
      <c r="C6" s="18" t="s">
        <v>909</v>
      </c>
      <c r="D6" s="18" t="n">
        <v>2019</v>
      </c>
      <c r="E6" s="18" t="s">
        <v>854</v>
      </c>
      <c r="F6" s="18" t="s">
        <v>912</v>
      </c>
      <c r="G6" s="18" t="s">
        <v>913</v>
      </c>
      <c r="H6" s="18" t="n">
        <v>29.7</v>
      </c>
      <c r="I6" s="18" t="n">
        <v>76.96</v>
      </c>
      <c r="J6" s="18" t="s">
        <v>83</v>
      </c>
      <c r="K6" s="18" t="n">
        <v>2015</v>
      </c>
      <c r="L6" s="18" t="s">
        <v>84</v>
      </c>
      <c r="M6" s="18" t="s">
        <v>85</v>
      </c>
      <c r="N6" s="18" t="s">
        <v>86</v>
      </c>
      <c r="O6" s="18" t="s">
        <v>1666</v>
      </c>
      <c r="P6" s="18" t="n">
        <f aca="false">ROUND(AVERAGE(8.25,6.83),2)</f>
        <v>7.54</v>
      </c>
      <c r="Q6" s="18" t="n">
        <f aca="false">ROUND(AVERAGE(6,5.34),2)</f>
        <v>5.67</v>
      </c>
      <c r="R6" s="18"/>
      <c r="S6" s="18"/>
      <c r="T6" s="18"/>
      <c r="U6" s="18"/>
      <c r="V6" s="18"/>
      <c r="W6" s="18"/>
      <c r="X6" s="18" t="n">
        <f aca="false">ROUND(AVERAGE(7.7,5.97),2)</f>
        <v>6.84</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2121</v>
      </c>
      <c r="AS6" s="18" t="s">
        <v>1913</v>
      </c>
      <c r="AT6" s="18" t="s">
        <v>2100</v>
      </c>
      <c r="AU6" s="18" t="s">
        <v>1915</v>
      </c>
      <c r="AV6" s="18" t="s">
        <v>2101</v>
      </c>
      <c r="AW6" s="32" t="s">
        <v>2123</v>
      </c>
      <c r="AX6" s="18" t="s">
        <v>922</v>
      </c>
      <c r="AY6" s="18" t="s">
        <v>2099</v>
      </c>
    </row>
    <row r="7" customFormat="false" ht="15" hidden="false" customHeight="true" outlineLevel="0" collapsed="false">
      <c r="A7" s="18" t="s">
        <v>908</v>
      </c>
      <c r="B7" s="18" t="s">
        <v>908</v>
      </c>
      <c r="C7" s="18" t="s">
        <v>909</v>
      </c>
      <c r="D7" s="18" t="n">
        <v>2019</v>
      </c>
      <c r="E7" s="18" t="s">
        <v>854</v>
      </c>
      <c r="F7" s="18" t="s">
        <v>912</v>
      </c>
      <c r="G7" s="18" t="s">
        <v>913</v>
      </c>
      <c r="H7" s="18" t="n">
        <v>29.7</v>
      </c>
      <c r="I7" s="18" t="n">
        <v>76.96</v>
      </c>
      <c r="J7" s="18" t="s">
        <v>83</v>
      </c>
      <c r="K7" s="18" t="n">
        <v>2013</v>
      </c>
      <c r="L7" s="18" t="s">
        <v>84</v>
      </c>
      <c r="M7" s="18" t="s">
        <v>85</v>
      </c>
      <c r="N7" s="18" t="s">
        <v>1673</v>
      </c>
      <c r="O7" s="18" t="s">
        <v>1674</v>
      </c>
      <c r="P7" s="18" t="n">
        <f aca="false">ROUND(AVERAGE(2.4,2.97),2)</f>
        <v>2.69</v>
      </c>
      <c r="Q7" s="18" t="n">
        <f aca="false">ROUND(AVERAGE(2.17,2.67),2)</f>
        <v>2.42</v>
      </c>
      <c r="R7" s="18"/>
      <c r="S7" s="18"/>
      <c r="T7" s="18"/>
      <c r="U7" s="18"/>
      <c r="V7" s="18"/>
      <c r="W7" s="18"/>
      <c r="X7" s="18" t="n">
        <f aca="false">ROUND(AVERAGE(2.2,2.8),2)</f>
        <v>2.5</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2121</v>
      </c>
      <c r="AS7" s="18" t="s">
        <v>1913</v>
      </c>
      <c r="AT7" s="18" t="s">
        <v>2096</v>
      </c>
      <c r="AU7" s="18" t="s">
        <v>1915</v>
      </c>
      <c r="AV7" s="18" t="s">
        <v>2103</v>
      </c>
      <c r="AW7" s="32" t="s">
        <v>2124</v>
      </c>
      <c r="AX7" s="18" t="s">
        <v>922</v>
      </c>
      <c r="AY7" s="18" t="s">
        <v>2099</v>
      </c>
    </row>
    <row r="8" customFormat="false" ht="15" hidden="false" customHeight="true" outlineLevel="0" collapsed="false">
      <c r="A8" s="18" t="s">
        <v>908</v>
      </c>
      <c r="B8" s="18" t="s">
        <v>908</v>
      </c>
      <c r="C8" s="18" t="s">
        <v>909</v>
      </c>
      <c r="D8" s="18" t="n">
        <v>2019</v>
      </c>
      <c r="E8" s="18" t="s">
        <v>854</v>
      </c>
      <c r="F8" s="18" t="s">
        <v>912</v>
      </c>
      <c r="G8" s="18" t="s">
        <v>913</v>
      </c>
      <c r="H8" s="18" t="n">
        <v>29.7</v>
      </c>
      <c r="I8" s="18" t="n">
        <v>76.96</v>
      </c>
      <c r="J8" s="18" t="s">
        <v>83</v>
      </c>
      <c r="K8" s="18" t="n">
        <v>2015</v>
      </c>
      <c r="L8" s="18" t="s">
        <v>84</v>
      </c>
      <c r="M8" s="18" t="s">
        <v>85</v>
      </c>
      <c r="N8" s="18" t="s">
        <v>1673</v>
      </c>
      <c r="O8" s="18" t="s">
        <v>1674</v>
      </c>
      <c r="P8" s="18" t="n">
        <f aca="false">ROUND(AVERAGE(4.33,4.33),2)</f>
        <v>4.33</v>
      </c>
      <c r="Q8" s="18" t="n">
        <f aca="false">ROUND(AVERAGE(5.34,4.7),2)</f>
        <v>5.02</v>
      </c>
      <c r="R8" s="18"/>
      <c r="S8" s="18"/>
      <c r="T8" s="18"/>
      <c r="U8" s="18"/>
      <c r="V8" s="18"/>
      <c r="W8" s="18"/>
      <c r="X8" s="18" t="n">
        <f aca="false">ROUND(AVERAGE(5.62,4.17),2)</f>
        <v>4.9</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2121</v>
      </c>
      <c r="AS8" s="18" t="s">
        <v>1913</v>
      </c>
      <c r="AT8" s="18" t="s">
        <v>2100</v>
      </c>
      <c r="AU8" s="18" t="s">
        <v>1915</v>
      </c>
      <c r="AV8" s="18" t="s">
        <v>2105</v>
      </c>
      <c r="AW8" s="32" t="s">
        <v>2125</v>
      </c>
      <c r="AX8" s="18" t="s">
        <v>922</v>
      </c>
      <c r="AY8" s="18" t="s">
        <v>2099</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2126</v>
      </c>
      <c r="Q1" s="27" t="s">
        <v>2127</v>
      </c>
      <c r="R1" s="27" t="s">
        <v>2128</v>
      </c>
      <c r="S1" s="27" t="s">
        <v>2129</v>
      </c>
      <c r="T1" s="27" t="s">
        <v>2130</v>
      </c>
      <c r="U1" s="27" t="s">
        <v>2131</v>
      </c>
      <c r="V1" s="27" t="s">
        <v>2132</v>
      </c>
      <c r="W1" s="27" t="s">
        <v>2133</v>
      </c>
      <c r="X1" s="30" t="s">
        <v>2134</v>
      </c>
      <c r="Y1" s="30" t="s">
        <v>2135</v>
      </c>
      <c r="Z1" s="30" t="s">
        <v>2136</v>
      </c>
      <c r="AA1" s="30" t="s">
        <v>2137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24" t="s">
        <v>988</v>
      </c>
      <c r="B2" s="24" t="s">
        <v>988</v>
      </c>
      <c r="C2" s="24" t="s">
        <v>989</v>
      </c>
      <c r="D2" s="24" t="n">
        <v>2011</v>
      </c>
      <c r="E2" s="24" t="s">
        <v>990</v>
      </c>
      <c r="F2" s="24" t="s">
        <v>857</v>
      </c>
      <c r="G2" s="24" t="s">
        <v>993</v>
      </c>
      <c r="H2" s="24" t="n">
        <v>29.017</v>
      </c>
      <c r="I2" s="24" t="n">
        <v>77.75</v>
      </c>
      <c r="J2" s="24" t="s">
        <v>83</v>
      </c>
      <c r="K2" s="24" t="s">
        <v>1719</v>
      </c>
      <c r="L2" s="24" t="s">
        <v>84</v>
      </c>
      <c r="M2" s="24" t="s">
        <v>85</v>
      </c>
      <c r="N2" s="24" t="s">
        <v>2138</v>
      </c>
      <c r="O2" s="24" t="s">
        <v>2139</v>
      </c>
      <c r="P2" s="24"/>
      <c r="Q2" s="24" t="n">
        <v>0.93</v>
      </c>
      <c r="R2" s="24" t="n">
        <v>1.3</v>
      </c>
      <c r="S2" s="24"/>
      <c r="T2" s="24"/>
      <c r="U2" s="24" t="n">
        <v>1.02</v>
      </c>
      <c r="V2" s="24"/>
      <c r="W2" s="24"/>
      <c r="X2" s="24"/>
      <c r="Y2" s="24" t="n">
        <v>1.12</v>
      </c>
      <c r="Z2" s="24"/>
      <c r="AA2" s="24"/>
      <c r="AB2" s="24" t="n">
        <v>8</v>
      </c>
      <c r="AC2" s="24" t="n">
        <v>3</v>
      </c>
      <c r="AD2" s="24" t="n">
        <f aca="false">IF(AND(N(AB2)&gt;0,N(AC2)&gt;0),SQRT(2*AB2/AC2),"")</f>
        <v>2.3094010767585</v>
      </c>
      <c r="AE2" s="24" t="n">
        <v>19</v>
      </c>
      <c r="AF2" s="24" t="n">
        <v>2</v>
      </c>
      <c r="AG2" s="24" t="n">
        <v>43</v>
      </c>
      <c r="AH2" s="24" t="n">
        <v>800</v>
      </c>
      <c r="AI2" s="24" t="n">
        <v>29.017</v>
      </c>
      <c r="AJ2" s="24" t="s">
        <v>1721</v>
      </c>
      <c r="AK2" s="24"/>
      <c r="AL2" s="24"/>
      <c r="AM2" s="24" t="n">
        <v>8.1</v>
      </c>
      <c r="AN2" s="24"/>
      <c r="AO2" s="24"/>
      <c r="AP2" s="24" t="n">
        <v>55</v>
      </c>
      <c r="AQ2" s="24" t="n">
        <v>26</v>
      </c>
      <c r="AR2" s="24" t="s">
        <v>2140</v>
      </c>
      <c r="AS2" s="24" t="s">
        <v>1722</v>
      </c>
      <c r="AT2" s="24" t="s">
        <v>2141</v>
      </c>
      <c r="AU2" s="24" t="s">
        <v>1724</v>
      </c>
      <c r="AV2" s="24" t="s">
        <v>2142</v>
      </c>
      <c r="AW2" s="25" t="s">
        <v>2143</v>
      </c>
      <c r="AX2" s="24" t="s">
        <v>1008</v>
      </c>
      <c r="AY2" s="24" t="s">
        <v>2144</v>
      </c>
      <c r="BA2" s="36" t="s">
        <v>1104</v>
      </c>
    </row>
    <row r="3" customFormat="false" ht="15" hidden="false" customHeight="true" outlineLevel="0" collapsed="false">
      <c r="A3" s="24" t="s">
        <v>988</v>
      </c>
      <c r="B3" s="24" t="s">
        <v>988</v>
      </c>
      <c r="C3" s="24" t="s">
        <v>989</v>
      </c>
      <c r="D3" s="24" t="n">
        <v>2011</v>
      </c>
      <c r="E3" s="24" t="s">
        <v>990</v>
      </c>
      <c r="F3" s="24" t="s">
        <v>857</v>
      </c>
      <c r="G3" s="24" t="s">
        <v>993</v>
      </c>
      <c r="H3" s="24" t="n">
        <v>29.017</v>
      </c>
      <c r="I3" s="24" t="n">
        <v>77.75</v>
      </c>
      <c r="J3" s="24" t="s">
        <v>83</v>
      </c>
      <c r="K3" s="24" t="s">
        <v>1719</v>
      </c>
      <c r="L3" s="24" t="s">
        <v>84</v>
      </c>
      <c r="M3" s="24" t="s">
        <v>85</v>
      </c>
      <c r="N3" s="24" t="s">
        <v>2138</v>
      </c>
      <c r="O3" s="24" t="s">
        <v>2139</v>
      </c>
      <c r="P3" s="24"/>
      <c r="Q3" s="24" t="n">
        <v>0.93</v>
      </c>
      <c r="R3" s="24" t="n">
        <v>1.4</v>
      </c>
      <c r="S3" s="24"/>
      <c r="T3" s="24"/>
      <c r="U3" s="24" t="n">
        <v>1.08</v>
      </c>
      <c r="V3" s="24"/>
      <c r="W3" s="24"/>
      <c r="X3" s="24"/>
      <c r="Y3" s="24" t="n">
        <v>1.12</v>
      </c>
      <c r="Z3" s="24"/>
      <c r="AA3" s="24"/>
      <c r="AB3" s="24" t="n">
        <v>8</v>
      </c>
      <c r="AC3" s="24" t="n">
        <v>3</v>
      </c>
      <c r="AD3" s="24" t="n">
        <f aca="false">IF(AND(N(AB3)&gt;0,N(AC3)&gt;0),SQRT(2*AB3/AC3),"")</f>
        <v>2.3094010767585</v>
      </c>
      <c r="AE3" s="24" t="n">
        <v>19</v>
      </c>
      <c r="AF3" s="24" t="n">
        <v>2</v>
      </c>
      <c r="AG3" s="24" t="n">
        <v>43</v>
      </c>
      <c r="AH3" s="24" t="n">
        <v>800</v>
      </c>
      <c r="AI3" s="24" t="n">
        <v>29.017</v>
      </c>
      <c r="AJ3" s="24" t="s">
        <v>1721</v>
      </c>
      <c r="AK3" s="24"/>
      <c r="AL3" s="24"/>
      <c r="AM3" s="24" t="n">
        <v>8.1</v>
      </c>
      <c r="AN3" s="24"/>
      <c r="AO3" s="24"/>
      <c r="AP3" s="24" t="n">
        <v>55</v>
      </c>
      <c r="AQ3" s="24" t="n">
        <v>26</v>
      </c>
      <c r="AR3" s="24" t="s">
        <v>2140</v>
      </c>
      <c r="AS3" s="24" t="s">
        <v>1722</v>
      </c>
      <c r="AT3" s="24" t="s">
        <v>2141</v>
      </c>
      <c r="AU3" s="24" t="s">
        <v>1724</v>
      </c>
      <c r="AV3" s="24" t="s">
        <v>2142</v>
      </c>
      <c r="AW3" s="25" t="s">
        <v>2145</v>
      </c>
      <c r="AX3" s="24" t="s">
        <v>1008</v>
      </c>
      <c r="AY3" s="24" t="s">
        <v>2144</v>
      </c>
    </row>
    <row r="4" customFormat="false" ht="15" hidden="false" customHeight="true" outlineLevel="0" collapsed="false">
      <c r="A4" s="24" t="s">
        <v>988</v>
      </c>
      <c r="B4" s="24" t="s">
        <v>988</v>
      </c>
      <c r="C4" s="24" t="s">
        <v>989</v>
      </c>
      <c r="D4" s="24" t="n">
        <v>2011</v>
      </c>
      <c r="E4" s="24" t="s">
        <v>990</v>
      </c>
      <c r="F4" s="24" t="s">
        <v>857</v>
      </c>
      <c r="G4" s="24" t="s">
        <v>993</v>
      </c>
      <c r="H4" s="24" t="n">
        <v>29.017</v>
      </c>
      <c r="I4" s="24" t="n">
        <v>77.75</v>
      </c>
      <c r="J4" s="24" t="s">
        <v>83</v>
      </c>
      <c r="K4" s="24" t="s">
        <v>1719</v>
      </c>
      <c r="L4" s="24" t="s">
        <v>84</v>
      </c>
      <c r="M4" s="24" t="s">
        <v>85</v>
      </c>
      <c r="N4" s="24" t="s">
        <v>2138</v>
      </c>
      <c r="O4" s="24" t="s">
        <v>2146</v>
      </c>
      <c r="P4" s="24"/>
      <c r="Q4" s="24" t="n">
        <v>1.29</v>
      </c>
      <c r="R4" s="24" t="n">
        <v>1.68</v>
      </c>
      <c r="S4" s="24"/>
      <c r="T4" s="24"/>
      <c r="U4" s="24" t="n">
        <v>1.55</v>
      </c>
      <c r="V4" s="24"/>
      <c r="W4" s="24"/>
      <c r="X4" s="24"/>
      <c r="Y4" s="24" t="n">
        <v>1.48</v>
      </c>
      <c r="Z4" s="24"/>
      <c r="AA4" s="24"/>
      <c r="AB4" s="24" t="n">
        <v>8</v>
      </c>
      <c r="AC4" s="24" t="n">
        <v>3</v>
      </c>
      <c r="AD4" s="24" t="n">
        <f aca="false">IF(AND(N(AB4)&gt;0,N(AC4)&gt;0),SQRT(2*AB4/AC4),"")</f>
        <v>2.3094010767585</v>
      </c>
      <c r="AE4" s="24" t="n">
        <v>19</v>
      </c>
      <c r="AF4" s="24" t="n">
        <v>2</v>
      </c>
      <c r="AG4" s="24" t="n">
        <v>43</v>
      </c>
      <c r="AH4" s="24" t="n">
        <v>800</v>
      </c>
      <c r="AI4" s="24" t="n">
        <v>29.017</v>
      </c>
      <c r="AJ4" s="24" t="s">
        <v>1721</v>
      </c>
      <c r="AK4" s="24"/>
      <c r="AL4" s="24"/>
      <c r="AM4" s="24" t="n">
        <v>8.1</v>
      </c>
      <c r="AN4" s="24"/>
      <c r="AO4" s="24"/>
      <c r="AP4" s="24" t="n">
        <v>55</v>
      </c>
      <c r="AQ4" s="24" t="n">
        <v>26</v>
      </c>
      <c r="AR4" s="24" t="s">
        <v>2140</v>
      </c>
      <c r="AS4" s="24" t="s">
        <v>1722</v>
      </c>
      <c r="AT4" s="24" t="s">
        <v>2141</v>
      </c>
      <c r="AU4" s="24" t="s">
        <v>1724</v>
      </c>
      <c r="AV4" s="24" t="s">
        <v>2142</v>
      </c>
      <c r="AW4" s="25" t="s">
        <v>2143</v>
      </c>
      <c r="AX4" s="24" t="s">
        <v>1008</v>
      </c>
      <c r="AY4" s="24" t="s">
        <v>2144</v>
      </c>
    </row>
    <row r="5" customFormat="false" ht="15" hidden="false" customHeight="true" outlineLevel="0" collapsed="false">
      <c r="A5" s="24" t="s">
        <v>988</v>
      </c>
      <c r="B5" s="24" t="s">
        <v>988</v>
      </c>
      <c r="C5" s="24" t="s">
        <v>989</v>
      </c>
      <c r="D5" s="24" t="n">
        <v>2011</v>
      </c>
      <c r="E5" s="24" t="s">
        <v>990</v>
      </c>
      <c r="F5" s="24" t="s">
        <v>857</v>
      </c>
      <c r="G5" s="24" t="s">
        <v>993</v>
      </c>
      <c r="H5" s="24" t="n">
        <v>29.017</v>
      </c>
      <c r="I5" s="24" t="n">
        <v>77.75</v>
      </c>
      <c r="J5" s="24" t="s">
        <v>83</v>
      </c>
      <c r="K5" s="24" t="s">
        <v>1719</v>
      </c>
      <c r="L5" s="24" t="s">
        <v>84</v>
      </c>
      <c r="M5" s="24" t="s">
        <v>85</v>
      </c>
      <c r="N5" s="24" t="s">
        <v>2138</v>
      </c>
      <c r="O5" s="24" t="s">
        <v>2146</v>
      </c>
      <c r="P5" s="24"/>
      <c r="Q5" s="24" t="n">
        <v>1.29</v>
      </c>
      <c r="R5" s="24" t="n">
        <v>1.82</v>
      </c>
      <c r="S5" s="24"/>
      <c r="T5" s="24"/>
      <c r="U5" s="24" t="n">
        <v>1.51</v>
      </c>
      <c r="V5" s="24"/>
      <c r="W5" s="24"/>
      <c r="X5" s="24"/>
      <c r="Y5" s="24" t="n">
        <v>1.48</v>
      </c>
      <c r="Z5" s="24"/>
      <c r="AA5" s="24"/>
      <c r="AB5" s="24" t="n">
        <v>8</v>
      </c>
      <c r="AC5" s="24" t="n">
        <v>3</v>
      </c>
      <c r="AD5" s="24" t="n">
        <f aca="false">IF(AND(N(AB5)&gt;0,N(AC5)&gt;0),SQRT(2*AB5/AC5),"")</f>
        <v>2.3094010767585</v>
      </c>
      <c r="AE5" s="24" t="n">
        <v>19</v>
      </c>
      <c r="AF5" s="24" t="n">
        <v>2</v>
      </c>
      <c r="AG5" s="24" t="n">
        <v>43</v>
      </c>
      <c r="AH5" s="24" t="n">
        <v>800</v>
      </c>
      <c r="AI5" s="24" t="n">
        <v>29.017</v>
      </c>
      <c r="AJ5" s="24" t="s">
        <v>1721</v>
      </c>
      <c r="AK5" s="24"/>
      <c r="AL5" s="24"/>
      <c r="AM5" s="24" t="n">
        <v>8.1</v>
      </c>
      <c r="AN5" s="24"/>
      <c r="AO5" s="24"/>
      <c r="AP5" s="24" t="n">
        <v>55</v>
      </c>
      <c r="AQ5" s="24" t="n">
        <v>26</v>
      </c>
      <c r="AR5" s="24" t="s">
        <v>2140</v>
      </c>
      <c r="AS5" s="24" t="s">
        <v>1722</v>
      </c>
      <c r="AT5" s="24" t="s">
        <v>2141</v>
      </c>
      <c r="AU5" s="24" t="s">
        <v>1724</v>
      </c>
      <c r="AV5" s="24" t="s">
        <v>2142</v>
      </c>
      <c r="AW5" s="25" t="s">
        <v>2145</v>
      </c>
      <c r="AX5" s="24" t="s">
        <v>1008</v>
      </c>
      <c r="AY5" s="24" t="s">
        <v>2144</v>
      </c>
    </row>
    <row r="6" customFormat="false" ht="15" hidden="false" customHeight="true" outlineLevel="0" collapsed="false">
      <c r="A6" s="24" t="s">
        <v>988</v>
      </c>
      <c r="B6" s="24" t="s">
        <v>988</v>
      </c>
      <c r="C6" s="24" t="s">
        <v>989</v>
      </c>
      <c r="D6" s="24" t="n">
        <v>2011</v>
      </c>
      <c r="E6" s="24" t="s">
        <v>990</v>
      </c>
      <c r="F6" s="24" t="s">
        <v>857</v>
      </c>
      <c r="G6" s="24" t="s">
        <v>993</v>
      </c>
      <c r="H6" s="24" t="n">
        <v>29.017</v>
      </c>
      <c r="I6" s="24" t="n">
        <v>77.75</v>
      </c>
      <c r="J6" s="24" t="s">
        <v>83</v>
      </c>
      <c r="K6" s="24" t="s">
        <v>1719</v>
      </c>
      <c r="L6" s="24" t="s">
        <v>84</v>
      </c>
      <c r="M6" s="24" t="s">
        <v>85</v>
      </c>
      <c r="N6" s="24" t="s">
        <v>2147</v>
      </c>
      <c r="O6" s="24" t="s">
        <v>2148</v>
      </c>
      <c r="P6" s="24"/>
      <c r="Q6" s="24" t="n">
        <v>2.54</v>
      </c>
      <c r="R6" s="24" t="n">
        <v>2.21</v>
      </c>
      <c r="S6" s="24"/>
      <c r="T6" s="24"/>
      <c r="U6" s="24" t="n">
        <v>1.96</v>
      </c>
      <c r="V6" s="24"/>
      <c r="W6" s="24"/>
      <c r="X6" s="24"/>
      <c r="Y6" s="24" t="n">
        <v>2.47</v>
      </c>
      <c r="Z6" s="24"/>
      <c r="AA6" s="24"/>
      <c r="AB6" s="24" t="n">
        <v>8</v>
      </c>
      <c r="AC6" s="24" t="n">
        <v>3</v>
      </c>
      <c r="AD6" s="24" t="n">
        <f aca="false">IF(AND(N(AB6)&gt;0,N(AC6)&gt;0),SQRT(2*AB6/AC6),"")</f>
        <v>2.3094010767585</v>
      </c>
      <c r="AE6" s="24" t="n">
        <v>19</v>
      </c>
      <c r="AF6" s="24" t="n">
        <v>2</v>
      </c>
      <c r="AG6" s="24" t="n">
        <v>43</v>
      </c>
      <c r="AH6" s="24" t="n">
        <v>800</v>
      </c>
      <c r="AI6" s="24" t="n">
        <v>29.017</v>
      </c>
      <c r="AJ6" s="24" t="s">
        <v>1721</v>
      </c>
      <c r="AK6" s="24"/>
      <c r="AL6" s="24"/>
      <c r="AM6" s="24" t="n">
        <v>8.1</v>
      </c>
      <c r="AN6" s="24"/>
      <c r="AO6" s="24"/>
      <c r="AP6" s="24" t="n">
        <v>55</v>
      </c>
      <c r="AQ6" s="24" t="n">
        <v>26</v>
      </c>
      <c r="AR6" s="24" t="s">
        <v>2140</v>
      </c>
      <c r="AS6" s="24" t="s">
        <v>1722</v>
      </c>
      <c r="AT6" s="24" t="s">
        <v>2141</v>
      </c>
      <c r="AU6" s="24" t="s">
        <v>1724</v>
      </c>
      <c r="AV6" s="24" t="s">
        <v>2142</v>
      </c>
      <c r="AW6" s="25" t="s">
        <v>2143</v>
      </c>
      <c r="AX6" s="24" t="s">
        <v>1008</v>
      </c>
      <c r="AY6" s="24" t="s">
        <v>2144</v>
      </c>
    </row>
    <row r="7" customFormat="false" ht="15" hidden="false" customHeight="true" outlineLevel="0" collapsed="false">
      <c r="A7" s="24" t="s">
        <v>988</v>
      </c>
      <c r="B7" s="24" t="s">
        <v>988</v>
      </c>
      <c r="C7" s="24" t="s">
        <v>989</v>
      </c>
      <c r="D7" s="24" t="n">
        <v>2011</v>
      </c>
      <c r="E7" s="24" t="s">
        <v>990</v>
      </c>
      <c r="F7" s="24" t="s">
        <v>857</v>
      </c>
      <c r="G7" s="24" t="s">
        <v>993</v>
      </c>
      <c r="H7" s="24" t="n">
        <v>29.017</v>
      </c>
      <c r="I7" s="24" t="n">
        <v>77.75</v>
      </c>
      <c r="J7" s="24" t="s">
        <v>83</v>
      </c>
      <c r="K7" s="24" t="s">
        <v>1719</v>
      </c>
      <c r="L7" s="24" t="s">
        <v>84</v>
      </c>
      <c r="M7" s="24" t="s">
        <v>85</v>
      </c>
      <c r="N7" s="24" t="s">
        <v>2147</v>
      </c>
      <c r="O7" s="24" t="s">
        <v>2148</v>
      </c>
      <c r="P7" s="24"/>
      <c r="Q7" s="24" t="n">
        <v>2.54</v>
      </c>
      <c r="R7" s="24" t="n">
        <v>2.26</v>
      </c>
      <c r="S7" s="24"/>
      <c r="T7" s="24"/>
      <c r="U7" s="24" t="n">
        <v>1.92</v>
      </c>
      <c r="V7" s="24"/>
      <c r="W7" s="24"/>
      <c r="X7" s="24"/>
      <c r="Y7" s="24" t="n">
        <v>2.47</v>
      </c>
      <c r="Z7" s="24"/>
      <c r="AA7" s="24"/>
      <c r="AB7" s="24" t="n">
        <v>8</v>
      </c>
      <c r="AC7" s="24" t="n">
        <v>3</v>
      </c>
      <c r="AD7" s="24" t="n">
        <f aca="false">IF(AND(N(AB7)&gt;0,N(AC7)&gt;0),SQRT(2*AB7/AC7),"")</f>
        <v>2.3094010767585</v>
      </c>
      <c r="AE7" s="24" t="n">
        <v>19</v>
      </c>
      <c r="AF7" s="24" t="n">
        <v>2</v>
      </c>
      <c r="AG7" s="24" t="n">
        <v>43</v>
      </c>
      <c r="AH7" s="24" t="n">
        <v>800</v>
      </c>
      <c r="AI7" s="24" t="n">
        <v>29.017</v>
      </c>
      <c r="AJ7" s="24" t="s">
        <v>1721</v>
      </c>
      <c r="AK7" s="24"/>
      <c r="AL7" s="24"/>
      <c r="AM7" s="24" t="n">
        <v>8.1</v>
      </c>
      <c r="AN7" s="24"/>
      <c r="AO7" s="24"/>
      <c r="AP7" s="24" t="n">
        <v>55</v>
      </c>
      <c r="AQ7" s="24" t="n">
        <v>26</v>
      </c>
      <c r="AR7" s="24" t="s">
        <v>2140</v>
      </c>
      <c r="AS7" s="24" t="s">
        <v>1722</v>
      </c>
      <c r="AT7" s="24" t="s">
        <v>2141</v>
      </c>
      <c r="AU7" s="24" t="s">
        <v>1724</v>
      </c>
      <c r="AV7" s="24" t="s">
        <v>2142</v>
      </c>
      <c r="AW7" s="25" t="s">
        <v>2145</v>
      </c>
      <c r="AX7" s="24" t="s">
        <v>1008</v>
      </c>
      <c r="AY7" s="24" t="s">
        <v>2144</v>
      </c>
    </row>
    <row r="8" customFormat="false" ht="15" hidden="false" customHeight="true" outlineLevel="0" collapsed="false">
      <c r="A8" s="24" t="s">
        <v>988</v>
      </c>
      <c r="B8" s="24" t="s">
        <v>988</v>
      </c>
      <c r="C8" s="24" t="s">
        <v>989</v>
      </c>
      <c r="D8" s="24" t="n">
        <v>2011</v>
      </c>
      <c r="E8" s="24" t="s">
        <v>990</v>
      </c>
      <c r="F8" s="24" t="s">
        <v>857</v>
      </c>
      <c r="G8" s="24" t="s">
        <v>993</v>
      </c>
      <c r="H8" s="24" t="n">
        <v>29.017</v>
      </c>
      <c r="I8" s="24" t="n">
        <v>77.75</v>
      </c>
      <c r="J8" s="24" t="s">
        <v>83</v>
      </c>
      <c r="K8" s="24" t="s">
        <v>1719</v>
      </c>
      <c r="L8" s="24" t="s">
        <v>84</v>
      </c>
      <c r="M8" s="24" t="s">
        <v>85</v>
      </c>
      <c r="N8" s="24" t="s">
        <v>2147</v>
      </c>
      <c r="O8" s="24" t="s">
        <v>2149</v>
      </c>
      <c r="P8" s="24"/>
      <c r="Q8" s="24" t="n">
        <v>3.46</v>
      </c>
      <c r="R8" s="24" t="n">
        <v>2.76</v>
      </c>
      <c r="S8" s="24"/>
      <c r="T8" s="24"/>
      <c r="U8" s="24" t="n">
        <v>2.58</v>
      </c>
      <c r="V8" s="24"/>
      <c r="W8" s="24"/>
      <c r="X8" s="24"/>
      <c r="Y8" s="24" t="n">
        <v>3.72</v>
      </c>
      <c r="Z8" s="24"/>
      <c r="AA8" s="24"/>
      <c r="AB8" s="24" t="n">
        <v>8</v>
      </c>
      <c r="AC8" s="24" t="n">
        <v>3</v>
      </c>
      <c r="AD8" s="24" t="n">
        <f aca="false">IF(AND(N(AB8)&gt;0,N(AC8)&gt;0),SQRT(2*AB8/AC8),"")</f>
        <v>2.3094010767585</v>
      </c>
      <c r="AE8" s="24" t="n">
        <v>19</v>
      </c>
      <c r="AF8" s="24" t="n">
        <v>2</v>
      </c>
      <c r="AG8" s="24" t="n">
        <v>43</v>
      </c>
      <c r="AH8" s="24" t="n">
        <v>800</v>
      </c>
      <c r="AI8" s="24" t="n">
        <v>29.017</v>
      </c>
      <c r="AJ8" s="24" t="s">
        <v>1721</v>
      </c>
      <c r="AK8" s="24"/>
      <c r="AL8" s="24"/>
      <c r="AM8" s="24" t="n">
        <v>8.1</v>
      </c>
      <c r="AN8" s="24"/>
      <c r="AO8" s="24"/>
      <c r="AP8" s="24" t="n">
        <v>55</v>
      </c>
      <c r="AQ8" s="24" t="n">
        <v>26</v>
      </c>
      <c r="AR8" s="24" t="s">
        <v>2140</v>
      </c>
      <c r="AS8" s="24" t="s">
        <v>1722</v>
      </c>
      <c r="AT8" s="24" t="s">
        <v>2141</v>
      </c>
      <c r="AU8" s="24" t="s">
        <v>1724</v>
      </c>
      <c r="AV8" s="24" t="s">
        <v>2142</v>
      </c>
      <c r="AW8" s="25" t="s">
        <v>2143</v>
      </c>
      <c r="AX8" s="24" t="s">
        <v>1008</v>
      </c>
      <c r="AY8" s="24" t="s">
        <v>2144</v>
      </c>
    </row>
    <row r="9" customFormat="false" ht="15" hidden="false" customHeight="true" outlineLevel="0" collapsed="false">
      <c r="A9" s="24" t="s">
        <v>988</v>
      </c>
      <c r="B9" s="24" t="s">
        <v>988</v>
      </c>
      <c r="C9" s="24" t="s">
        <v>989</v>
      </c>
      <c r="D9" s="24" t="n">
        <v>2011</v>
      </c>
      <c r="E9" s="24" t="s">
        <v>990</v>
      </c>
      <c r="F9" s="24" t="s">
        <v>857</v>
      </c>
      <c r="G9" s="24" t="s">
        <v>993</v>
      </c>
      <c r="H9" s="24" t="n">
        <v>29.017</v>
      </c>
      <c r="I9" s="24" t="n">
        <v>77.75</v>
      </c>
      <c r="J9" s="24" t="s">
        <v>83</v>
      </c>
      <c r="K9" s="24" t="s">
        <v>1719</v>
      </c>
      <c r="L9" s="24" t="s">
        <v>84</v>
      </c>
      <c r="M9" s="24" t="s">
        <v>85</v>
      </c>
      <c r="N9" s="24" t="s">
        <v>2147</v>
      </c>
      <c r="O9" s="24" t="s">
        <v>2149</v>
      </c>
      <c r="P9" s="24"/>
      <c r="Q9" s="24" t="n">
        <v>3.46</v>
      </c>
      <c r="R9" s="24" t="n">
        <v>2.83</v>
      </c>
      <c r="S9" s="24"/>
      <c r="T9" s="24"/>
      <c r="U9" s="24" t="n">
        <v>2.51</v>
      </c>
      <c r="V9" s="24"/>
      <c r="W9" s="24"/>
      <c r="X9" s="24"/>
      <c r="Y9" s="24" t="n">
        <v>3.72</v>
      </c>
      <c r="Z9" s="24"/>
      <c r="AA9" s="24"/>
      <c r="AB9" s="24" t="n">
        <v>8</v>
      </c>
      <c r="AC9" s="24" t="n">
        <v>3</v>
      </c>
      <c r="AD9" s="24" t="n">
        <f aca="false">IF(AND(N(AB9)&gt;0,N(AC9)&gt;0),SQRT(2*AB9/AC9),"")</f>
        <v>2.3094010767585</v>
      </c>
      <c r="AE9" s="24" t="n">
        <v>19</v>
      </c>
      <c r="AF9" s="24" t="n">
        <v>2</v>
      </c>
      <c r="AG9" s="24" t="n">
        <v>43</v>
      </c>
      <c r="AH9" s="24" t="n">
        <v>800</v>
      </c>
      <c r="AI9" s="24" t="n">
        <v>29.017</v>
      </c>
      <c r="AJ9" s="24" t="s">
        <v>1721</v>
      </c>
      <c r="AK9" s="24"/>
      <c r="AL9" s="24"/>
      <c r="AM9" s="24" t="n">
        <v>8.1</v>
      </c>
      <c r="AN9" s="24"/>
      <c r="AO9" s="24"/>
      <c r="AP9" s="24" t="n">
        <v>55</v>
      </c>
      <c r="AQ9" s="24" t="n">
        <v>26</v>
      </c>
      <c r="AR9" s="24" t="s">
        <v>2140</v>
      </c>
      <c r="AS9" s="24" t="s">
        <v>1722</v>
      </c>
      <c r="AT9" s="24" t="s">
        <v>2141</v>
      </c>
      <c r="AU9" s="24" t="s">
        <v>1724</v>
      </c>
      <c r="AV9" s="24" t="s">
        <v>2142</v>
      </c>
      <c r="AW9" s="25" t="s">
        <v>2145</v>
      </c>
      <c r="AX9" s="24" t="s">
        <v>1008</v>
      </c>
      <c r="AY9" s="24" t="s">
        <v>2144</v>
      </c>
    </row>
    <row r="10" customFormat="false" ht="15" hidden="false" customHeight="true" outlineLevel="0" collapsed="false">
      <c r="A10" s="24" t="s">
        <v>988</v>
      </c>
      <c r="B10" s="24" t="s">
        <v>988</v>
      </c>
      <c r="C10" s="24" t="s">
        <v>989</v>
      </c>
      <c r="D10" s="24" t="n">
        <v>2011</v>
      </c>
      <c r="E10" s="24" t="s">
        <v>990</v>
      </c>
      <c r="F10" s="24" t="s">
        <v>857</v>
      </c>
      <c r="G10" s="24" t="s">
        <v>993</v>
      </c>
      <c r="H10" s="24" t="n">
        <v>29.017</v>
      </c>
      <c r="I10" s="24" t="n">
        <v>77.75</v>
      </c>
      <c r="J10" s="24" t="s">
        <v>83</v>
      </c>
      <c r="K10" s="24" t="s">
        <v>1719</v>
      </c>
      <c r="L10" s="24" t="s">
        <v>84</v>
      </c>
      <c r="M10" s="24" t="s">
        <v>85</v>
      </c>
      <c r="N10" s="24" t="s">
        <v>2150</v>
      </c>
      <c r="O10" s="24" t="s">
        <v>2151</v>
      </c>
      <c r="P10" s="24"/>
      <c r="Q10" s="24" t="n">
        <v>3.17</v>
      </c>
      <c r="R10" s="24" t="n">
        <v>2.38</v>
      </c>
      <c r="S10" s="24"/>
      <c r="T10" s="24"/>
      <c r="U10" s="24" t="n">
        <v>2.79</v>
      </c>
      <c r="V10" s="24"/>
      <c r="W10" s="24"/>
      <c r="X10" s="24"/>
      <c r="Y10" s="24" t="n">
        <v>3.58</v>
      </c>
      <c r="Z10" s="24"/>
      <c r="AA10" s="24"/>
      <c r="AB10" s="24" t="n">
        <v>8</v>
      </c>
      <c r="AC10" s="24" t="n">
        <v>3</v>
      </c>
      <c r="AD10" s="24" t="n">
        <f aca="false">IF(AND(N(AB10)&gt;0,N(AC10)&gt;0),SQRT(2*AB10/AC10),"")</f>
        <v>2.3094010767585</v>
      </c>
      <c r="AE10" s="24" t="n">
        <v>19</v>
      </c>
      <c r="AF10" s="24" t="n">
        <v>2</v>
      </c>
      <c r="AG10" s="24" t="n">
        <v>43</v>
      </c>
      <c r="AH10" s="24" t="n">
        <v>800</v>
      </c>
      <c r="AI10" s="24" t="n">
        <v>29.017</v>
      </c>
      <c r="AJ10" s="24" t="s">
        <v>1721</v>
      </c>
      <c r="AK10" s="24"/>
      <c r="AL10" s="24"/>
      <c r="AM10" s="24" t="n">
        <v>8.1</v>
      </c>
      <c r="AN10" s="24"/>
      <c r="AO10" s="24"/>
      <c r="AP10" s="24" t="n">
        <v>55</v>
      </c>
      <c r="AQ10" s="24" t="n">
        <v>26</v>
      </c>
      <c r="AR10" s="24" t="s">
        <v>2140</v>
      </c>
      <c r="AS10" s="24" t="s">
        <v>1722</v>
      </c>
      <c r="AT10" s="24" t="s">
        <v>2141</v>
      </c>
      <c r="AU10" s="24" t="s">
        <v>1724</v>
      </c>
      <c r="AV10" s="24" t="s">
        <v>2142</v>
      </c>
      <c r="AW10" s="25" t="s">
        <v>2143</v>
      </c>
      <c r="AX10" s="24" t="s">
        <v>1008</v>
      </c>
      <c r="AY10" s="24" t="s">
        <v>2144</v>
      </c>
    </row>
    <row r="11" customFormat="false" ht="15" hidden="false" customHeight="true" outlineLevel="0" collapsed="false">
      <c r="A11" s="24" t="s">
        <v>988</v>
      </c>
      <c r="B11" s="24" t="s">
        <v>988</v>
      </c>
      <c r="C11" s="24" t="s">
        <v>989</v>
      </c>
      <c r="D11" s="24" t="n">
        <v>2011</v>
      </c>
      <c r="E11" s="24" t="s">
        <v>990</v>
      </c>
      <c r="F11" s="24" t="s">
        <v>857</v>
      </c>
      <c r="G11" s="24" t="s">
        <v>993</v>
      </c>
      <c r="H11" s="24" t="n">
        <v>29.017</v>
      </c>
      <c r="I11" s="24" t="n">
        <v>77.75</v>
      </c>
      <c r="J11" s="24" t="s">
        <v>83</v>
      </c>
      <c r="K11" s="24" t="s">
        <v>1719</v>
      </c>
      <c r="L11" s="24" t="s">
        <v>84</v>
      </c>
      <c r="M11" s="24" t="s">
        <v>85</v>
      </c>
      <c r="N11" s="24" t="s">
        <v>2150</v>
      </c>
      <c r="O11" s="24" t="s">
        <v>2151</v>
      </c>
      <c r="P11" s="24"/>
      <c r="Q11" s="24" t="n">
        <v>3.17</v>
      </c>
      <c r="R11" s="24" t="n">
        <v>2.7</v>
      </c>
      <c r="S11" s="24"/>
      <c r="T11" s="24"/>
      <c r="U11" s="24" t="n">
        <v>2.71</v>
      </c>
      <c r="V11" s="24"/>
      <c r="W11" s="24"/>
      <c r="X11" s="24"/>
      <c r="Y11" s="24" t="n">
        <v>3.58</v>
      </c>
      <c r="Z11" s="24"/>
      <c r="AA11" s="24"/>
      <c r="AB11" s="24" t="n">
        <v>8</v>
      </c>
      <c r="AC11" s="24" t="n">
        <v>3</v>
      </c>
      <c r="AD11" s="24" t="n">
        <f aca="false">IF(AND(N(AB11)&gt;0,N(AC11)&gt;0),SQRT(2*AB11/AC11),"")</f>
        <v>2.3094010767585</v>
      </c>
      <c r="AE11" s="24" t="n">
        <v>19</v>
      </c>
      <c r="AF11" s="24" t="n">
        <v>2</v>
      </c>
      <c r="AG11" s="24" t="n">
        <v>43</v>
      </c>
      <c r="AH11" s="24" t="n">
        <v>800</v>
      </c>
      <c r="AI11" s="24" t="n">
        <v>29.017</v>
      </c>
      <c r="AJ11" s="24" t="s">
        <v>1721</v>
      </c>
      <c r="AK11" s="24"/>
      <c r="AL11" s="24"/>
      <c r="AM11" s="24" t="n">
        <v>8.1</v>
      </c>
      <c r="AN11" s="24"/>
      <c r="AO11" s="24"/>
      <c r="AP11" s="24" t="n">
        <v>55</v>
      </c>
      <c r="AQ11" s="24" t="n">
        <v>26</v>
      </c>
      <c r="AR11" s="24" t="s">
        <v>2140</v>
      </c>
      <c r="AS11" s="24" t="s">
        <v>1722</v>
      </c>
      <c r="AT11" s="24" t="s">
        <v>2141</v>
      </c>
      <c r="AU11" s="24" t="s">
        <v>1724</v>
      </c>
      <c r="AV11" s="24" t="s">
        <v>2142</v>
      </c>
      <c r="AW11" s="25" t="s">
        <v>2152</v>
      </c>
      <c r="AX11" s="24" t="s">
        <v>1008</v>
      </c>
      <c r="AY11" s="24" t="s">
        <v>2144</v>
      </c>
    </row>
    <row r="12" customFormat="false" ht="14.25" hidden="false" customHeight="false" outlineLevel="0" collapsed="false">
      <c r="A12" s="24" t="s">
        <v>988</v>
      </c>
      <c r="B12" s="24" t="s">
        <v>988</v>
      </c>
      <c r="C12" s="24" t="s">
        <v>989</v>
      </c>
      <c r="D12" s="24" t="n">
        <v>2011</v>
      </c>
      <c r="E12" s="24" t="s">
        <v>990</v>
      </c>
      <c r="F12" s="24" t="s">
        <v>857</v>
      </c>
      <c r="G12" s="24" t="s">
        <v>993</v>
      </c>
      <c r="H12" s="24" t="n">
        <v>29.017</v>
      </c>
      <c r="I12" s="24" t="n">
        <v>77.75</v>
      </c>
      <c r="J12" s="24" t="s">
        <v>83</v>
      </c>
      <c r="K12" s="24" t="s">
        <v>1719</v>
      </c>
      <c r="L12" s="24" t="s">
        <v>84</v>
      </c>
      <c r="M12" s="24" t="s">
        <v>85</v>
      </c>
      <c r="N12" s="24" t="s">
        <v>2150</v>
      </c>
      <c r="O12" s="24" t="s">
        <v>2153</v>
      </c>
      <c r="P12" s="24"/>
      <c r="Q12" s="24" t="n">
        <v>2.69</v>
      </c>
      <c r="R12" s="24" t="n">
        <v>2.09</v>
      </c>
      <c r="S12" s="24"/>
      <c r="T12" s="24"/>
      <c r="U12" s="24" t="n">
        <v>2.33</v>
      </c>
      <c r="V12" s="24"/>
      <c r="W12" s="24"/>
      <c r="X12" s="24"/>
      <c r="Y12" s="24" t="n">
        <v>2.65</v>
      </c>
      <c r="Z12" s="24"/>
      <c r="AA12" s="24"/>
      <c r="AB12" s="24" t="n">
        <v>8</v>
      </c>
      <c r="AC12" s="24" t="n">
        <v>3</v>
      </c>
      <c r="AD12" s="24" t="n">
        <f aca="false">IF(AND(N(AB12)&gt;0,N(AC12)&gt;0),SQRT(2*AB12/AC12),"")</f>
        <v>2.3094010767585</v>
      </c>
      <c r="AE12" s="24" t="n">
        <v>19</v>
      </c>
      <c r="AF12" s="24" t="n">
        <v>2</v>
      </c>
      <c r="AG12" s="24" t="n">
        <v>43</v>
      </c>
      <c r="AH12" s="24" t="n">
        <v>800</v>
      </c>
      <c r="AI12" s="24" t="n">
        <v>29.017</v>
      </c>
      <c r="AJ12" s="24" t="s">
        <v>1721</v>
      </c>
      <c r="AK12" s="24"/>
      <c r="AL12" s="24"/>
      <c r="AM12" s="24" t="n">
        <v>8.1</v>
      </c>
      <c r="AN12" s="24"/>
      <c r="AO12" s="24"/>
      <c r="AP12" s="24" t="n">
        <v>55</v>
      </c>
      <c r="AQ12" s="24" t="n">
        <v>26</v>
      </c>
      <c r="AR12" s="24" t="s">
        <v>2140</v>
      </c>
      <c r="AS12" s="24" t="s">
        <v>1722</v>
      </c>
      <c r="AT12" s="24" t="s">
        <v>2141</v>
      </c>
      <c r="AU12" s="24" t="s">
        <v>1724</v>
      </c>
      <c r="AV12" s="24" t="s">
        <v>2142</v>
      </c>
      <c r="AW12" s="25" t="s">
        <v>2143</v>
      </c>
      <c r="AX12" s="24" t="s">
        <v>1008</v>
      </c>
      <c r="AY12" s="24" t="s">
        <v>2144</v>
      </c>
    </row>
    <row r="13" customFormat="false" ht="14.25" hidden="false" customHeight="false" outlineLevel="0" collapsed="false">
      <c r="A13" s="24" t="s">
        <v>988</v>
      </c>
      <c r="B13" s="24" t="s">
        <v>988</v>
      </c>
      <c r="C13" s="24" t="s">
        <v>989</v>
      </c>
      <c r="D13" s="24" t="n">
        <v>2011</v>
      </c>
      <c r="E13" s="24" t="s">
        <v>990</v>
      </c>
      <c r="F13" s="24" t="s">
        <v>857</v>
      </c>
      <c r="G13" s="24" t="s">
        <v>993</v>
      </c>
      <c r="H13" s="24" t="n">
        <v>29.017</v>
      </c>
      <c r="I13" s="24" t="n">
        <v>77.75</v>
      </c>
      <c r="J13" s="24" t="s">
        <v>83</v>
      </c>
      <c r="K13" s="24" t="s">
        <v>1719</v>
      </c>
      <c r="L13" s="24" t="s">
        <v>84</v>
      </c>
      <c r="M13" s="24" t="s">
        <v>85</v>
      </c>
      <c r="N13" s="24" t="s">
        <v>2150</v>
      </c>
      <c r="O13" s="24" t="s">
        <v>2153</v>
      </c>
      <c r="P13" s="24"/>
      <c r="Q13" s="24" t="n">
        <v>2.69</v>
      </c>
      <c r="R13" s="24" t="n">
        <v>2.65</v>
      </c>
      <c r="S13" s="24"/>
      <c r="T13" s="24"/>
      <c r="U13" s="24" t="n">
        <v>2.61</v>
      </c>
      <c r="V13" s="24"/>
      <c r="W13" s="24"/>
      <c r="X13" s="24"/>
      <c r="Y13" s="24" t="n">
        <v>2.65</v>
      </c>
      <c r="Z13" s="24"/>
      <c r="AA13" s="24"/>
      <c r="AB13" s="24" t="n">
        <v>8</v>
      </c>
      <c r="AC13" s="24" t="n">
        <v>3</v>
      </c>
      <c r="AD13" s="24" t="n">
        <f aca="false">IF(AND(N(AB13)&gt;0,N(AC13)&gt;0),SQRT(2*AB13/AC13),"")</f>
        <v>2.3094010767585</v>
      </c>
      <c r="AE13" s="24" t="n">
        <v>19</v>
      </c>
      <c r="AF13" s="24" t="n">
        <v>2</v>
      </c>
      <c r="AG13" s="24" t="n">
        <v>43</v>
      </c>
      <c r="AH13" s="24" t="n">
        <v>800</v>
      </c>
      <c r="AI13" s="24" t="n">
        <v>29.017</v>
      </c>
      <c r="AJ13" s="24" t="s">
        <v>1721</v>
      </c>
      <c r="AK13" s="24"/>
      <c r="AL13" s="24"/>
      <c r="AM13" s="24" t="n">
        <v>8.1</v>
      </c>
      <c r="AN13" s="24"/>
      <c r="AO13" s="24"/>
      <c r="AP13" s="24" t="n">
        <v>55</v>
      </c>
      <c r="AQ13" s="24" t="n">
        <v>26</v>
      </c>
      <c r="AR13" s="24" t="s">
        <v>2140</v>
      </c>
      <c r="AS13" s="24" t="s">
        <v>1722</v>
      </c>
      <c r="AT13" s="24" t="s">
        <v>2141</v>
      </c>
      <c r="AU13" s="24" t="s">
        <v>1724</v>
      </c>
      <c r="AV13" s="24" t="s">
        <v>2142</v>
      </c>
      <c r="AW13" s="25" t="s">
        <v>2154</v>
      </c>
      <c r="AX13" s="24" t="s">
        <v>1008</v>
      </c>
      <c r="AY13" s="24" t="s">
        <v>2144</v>
      </c>
    </row>
    <row r="14" customFormat="false" ht="14.25" hidden="false" customHeight="false" outlineLevel="0" collapsed="false">
      <c r="A14" s="24" t="s">
        <v>988</v>
      </c>
      <c r="B14" s="24" t="s">
        <v>988</v>
      </c>
      <c r="C14" s="24" t="s">
        <v>989</v>
      </c>
      <c r="D14" s="24" t="n">
        <v>2011</v>
      </c>
      <c r="E14" s="24" t="s">
        <v>990</v>
      </c>
      <c r="F14" s="24" t="s">
        <v>857</v>
      </c>
      <c r="G14" s="24" t="s">
        <v>993</v>
      </c>
      <c r="H14" s="24" t="n">
        <v>29.017</v>
      </c>
      <c r="I14" s="24" t="n">
        <v>77.75</v>
      </c>
      <c r="J14" s="24" t="s">
        <v>83</v>
      </c>
      <c r="K14" s="24" t="s">
        <v>1719</v>
      </c>
      <c r="L14" s="24" t="s">
        <v>84</v>
      </c>
      <c r="M14" s="24" t="s">
        <v>85</v>
      </c>
      <c r="N14" s="24" t="s">
        <v>2155</v>
      </c>
      <c r="O14" s="24" t="s">
        <v>2156</v>
      </c>
      <c r="P14" s="24"/>
      <c r="Q14" s="24" t="n">
        <v>2.21</v>
      </c>
      <c r="R14" s="24" t="n">
        <v>2.4</v>
      </c>
      <c r="S14" s="24"/>
      <c r="T14" s="24"/>
      <c r="U14" s="24" t="n">
        <v>2.41</v>
      </c>
      <c r="V14" s="24"/>
      <c r="W14" s="24"/>
      <c r="X14" s="24"/>
      <c r="Y14" s="24" t="n">
        <v>2.43</v>
      </c>
      <c r="Z14" s="24"/>
      <c r="AA14" s="24"/>
      <c r="AB14" s="24" t="n">
        <v>8</v>
      </c>
      <c r="AC14" s="24" t="n">
        <v>3</v>
      </c>
      <c r="AD14" s="24" t="n">
        <f aca="false">IF(AND(N(AB14)&gt;0,N(AC14)&gt;0),SQRT(2*AB14/AC14),"")</f>
        <v>2.3094010767585</v>
      </c>
      <c r="AE14" s="24" t="n">
        <v>19</v>
      </c>
      <c r="AF14" s="24" t="n">
        <v>2</v>
      </c>
      <c r="AG14" s="24" t="n">
        <v>43</v>
      </c>
      <c r="AH14" s="24" t="n">
        <v>800</v>
      </c>
      <c r="AI14" s="24" t="n">
        <v>29.017</v>
      </c>
      <c r="AJ14" s="24" t="s">
        <v>1721</v>
      </c>
      <c r="AK14" s="24"/>
      <c r="AL14" s="24"/>
      <c r="AM14" s="24" t="n">
        <v>8.1</v>
      </c>
      <c r="AN14" s="24"/>
      <c r="AO14" s="24"/>
      <c r="AP14" s="24" t="n">
        <v>55</v>
      </c>
      <c r="AQ14" s="24" t="n">
        <v>26</v>
      </c>
      <c r="AR14" s="24" t="s">
        <v>2140</v>
      </c>
      <c r="AS14" s="24" t="s">
        <v>1722</v>
      </c>
      <c r="AT14" s="24" t="s">
        <v>2141</v>
      </c>
      <c r="AU14" s="24" t="s">
        <v>1724</v>
      </c>
      <c r="AV14" s="24" t="s">
        <v>2142</v>
      </c>
      <c r="AW14" s="25" t="s">
        <v>2157</v>
      </c>
      <c r="AX14" s="24" t="s">
        <v>1008</v>
      </c>
      <c r="AY14" s="24" t="s">
        <v>2144</v>
      </c>
    </row>
    <row r="15" customFormat="false" ht="14.25" hidden="false" customHeight="false" outlineLevel="0" collapsed="false">
      <c r="A15" s="24" t="s">
        <v>988</v>
      </c>
      <c r="B15" s="24" t="s">
        <v>988</v>
      </c>
      <c r="C15" s="24" t="s">
        <v>989</v>
      </c>
      <c r="D15" s="24" t="n">
        <v>2011</v>
      </c>
      <c r="E15" s="24" t="s">
        <v>990</v>
      </c>
      <c r="F15" s="24" t="s">
        <v>857</v>
      </c>
      <c r="G15" s="24" t="s">
        <v>993</v>
      </c>
      <c r="H15" s="24" t="n">
        <v>29.017</v>
      </c>
      <c r="I15" s="24" t="n">
        <v>77.75</v>
      </c>
      <c r="J15" s="24" t="s">
        <v>83</v>
      </c>
      <c r="K15" s="24" t="s">
        <v>1719</v>
      </c>
      <c r="L15" s="24" t="s">
        <v>84</v>
      </c>
      <c r="M15" s="24" t="s">
        <v>85</v>
      </c>
      <c r="N15" s="24" t="s">
        <v>2155</v>
      </c>
      <c r="O15" s="24" t="s">
        <v>2156</v>
      </c>
      <c r="P15" s="24"/>
      <c r="Q15" s="24" t="n">
        <v>2.21</v>
      </c>
      <c r="R15" s="24" t="n">
        <v>2.5</v>
      </c>
      <c r="S15" s="24"/>
      <c r="T15" s="24"/>
      <c r="U15" s="24" t="n">
        <v>2.43</v>
      </c>
      <c r="V15" s="24"/>
      <c r="W15" s="24"/>
      <c r="X15" s="24"/>
      <c r="Y15" s="24" t="n">
        <v>2.43</v>
      </c>
      <c r="Z15" s="24"/>
      <c r="AA15" s="24"/>
      <c r="AB15" s="24" t="n">
        <v>8</v>
      </c>
      <c r="AC15" s="24" t="n">
        <v>3</v>
      </c>
      <c r="AD15" s="24" t="n">
        <f aca="false">IF(AND(N(AB15)&gt;0,N(AC15)&gt;0),SQRT(2*AB15/AC15),"")</f>
        <v>2.3094010767585</v>
      </c>
      <c r="AE15" s="24" t="n">
        <v>19</v>
      </c>
      <c r="AF15" s="24" t="n">
        <v>2</v>
      </c>
      <c r="AG15" s="24" t="n">
        <v>43</v>
      </c>
      <c r="AH15" s="24" t="n">
        <v>800</v>
      </c>
      <c r="AI15" s="24" t="n">
        <v>29.017</v>
      </c>
      <c r="AJ15" s="24" t="s">
        <v>1721</v>
      </c>
      <c r="AK15" s="24"/>
      <c r="AL15" s="24"/>
      <c r="AM15" s="24" t="n">
        <v>8.1</v>
      </c>
      <c r="AN15" s="24"/>
      <c r="AO15" s="24"/>
      <c r="AP15" s="24" t="n">
        <v>55</v>
      </c>
      <c r="AQ15" s="24" t="n">
        <v>26</v>
      </c>
      <c r="AR15" s="24" t="s">
        <v>2140</v>
      </c>
      <c r="AS15" s="24" t="s">
        <v>1722</v>
      </c>
      <c r="AT15" s="24" t="s">
        <v>2141</v>
      </c>
      <c r="AU15" s="24" t="s">
        <v>1724</v>
      </c>
      <c r="AV15" s="24" t="s">
        <v>2142</v>
      </c>
      <c r="AW15" s="25" t="s">
        <v>2158</v>
      </c>
      <c r="AX15" s="24" t="s">
        <v>1008</v>
      </c>
      <c r="AY15" s="24" t="s">
        <v>2144</v>
      </c>
    </row>
    <row r="16" customFormat="false" ht="14.25" hidden="false" customHeight="false" outlineLevel="0" collapsed="false">
      <c r="A16" s="24" t="s">
        <v>988</v>
      </c>
      <c r="B16" s="24" t="s">
        <v>988</v>
      </c>
      <c r="C16" s="24" t="s">
        <v>989</v>
      </c>
      <c r="D16" s="24" t="n">
        <v>2011</v>
      </c>
      <c r="E16" s="24" t="s">
        <v>990</v>
      </c>
      <c r="F16" s="24" t="s">
        <v>857</v>
      </c>
      <c r="G16" s="24" t="s">
        <v>993</v>
      </c>
      <c r="H16" s="24" t="n">
        <v>29.017</v>
      </c>
      <c r="I16" s="24" t="n">
        <v>77.75</v>
      </c>
      <c r="J16" s="24" t="s">
        <v>83</v>
      </c>
      <c r="K16" s="24" t="s">
        <v>1719</v>
      </c>
      <c r="L16" s="24" t="s">
        <v>84</v>
      </c>
      <c r="M16" s="24" t="s">
        <v>85</v>
      </c>
      <c r="N16" s="24" t="s">
        <v>2155</v>
      </c>
      <c r="O16" s="24" t="s">
        <v>2159</v>
      </c>
      <c r="P16" s="24"/>
      <c r="Q16" s="24" t="n">
        <v>2.13</v>
      </c>
      <c r="R16" s="24" t="n">
        <v>2.35</v>
      </c>
      <c r="S16" s="24"/>
      <c r="T16" s="24"/>
      <c r="U16" s="24" t="n">
        <v>2.33</v>
      </c>
      <c r="V16" s="24"/>
      <c r="W16" s="24"/>
      <c r="X16" s="24"/>
      <c r="Y16" s="24" t="n">
        <v>2.35</v>
      </c>
      <c r="Z16" s="24"/>
      <c r="AA16" s="24"/>
      <c r="AB16" s="24" t="n">
        <v>8</v>
      </c>
      <c r="AC16" s="24" t="n">
        <v>3</v>
      </c>
      <c r="AD16" s="24" t="n">
        <f aca="false">IF(AND(N(AB16)&gt;0,N(AC16)&gt;0),SQRT(2*AB16/AC16),"")</f>
        <v>2.3094010767585</v>
      </c>
      <c r="AE16" s="24" t="n">
        <v>19</v>
      </c>
      <c r="AF16" s="24" t="n">
        <v>2</v>
      </c>
      <c r="AG16" s="24" t="n">
        <v>43</v>
      </c>
      <c r="AH16" s="24" t="n">
        <v>800</v>
      </c>
      <c r="AI16" s="24" t="n">
        <v>29.017</v>
      </c>
      <c r="AJ16" s="24" t="s">
        <v>1721</v>
      </c>
      <c r="AK16" s="24"/>
      <c r="AL16" s="24"/>
      <c r="AM16" s="24" t="n">
        <v>8.1</v>
      </c>
      <c r="AN16" s="24"/>
      <c r="AO16" s="24"/>
      <c r="AP16" s="24" t="n">
        <v>55</v>
      </c>
      <c r="AQ16" s="24" t="n">
        <v>26</v>
      </c>
      <c r="AR16" s="24" t="s">
        <v>2140</v>
      </c>
      <c r="AS16" s="24" t="s">
        <v>1722</v>
      </c>
      <c r="AT16" s="24" t="s">
        <v>2141</v>
      </c>
      <c r="AU16" s="24" t="s">
        <v>1724</v>
      </c>
      <c r="AV16" s="24" t="s">
        <v>2142</v>
      </c>
      <c r="AW16" s="25" t="s">
        <v>2160</v>
      </c>
      <c r="AX16" s="24" t="s">
        <v>1008</v>
      </c>
      <c r="AY16" s="24" t="s">
        <v>2144</v>
      </c>
    </row>
    <row r="17" customFormat="false" ht="14.25" hidden="false" customHeight="false" outlineLevel="0" collapsed="false">
      <c r="A17" s="24" t="s">
        <v>988</v>
      </c>
      <c r="B17" s="24" t="s">
        <v>988</v>
      </c>
      <c r="C17" s="24" t="s">
        <v>989</v>
      </c>
      <c r="D17" s="24" t="n">
        <v>2011</v>
      </c>
      <c r="E17" s="24" t="s">
        <v>990</v>
      </c>
      <c r="F17" s="24" t="s">
        <v>857</v>
      </c>
      <c r="G17" s="24" t="s">
        <v>993</v>
      </c>
      <c r="H17" s="24" t="n">
        <v>29.017</v>
      </c>
      <c r="I17" s="24" t="n">
        <v>77.75</v>
      </c>
      <c r="J17" s="24" t="s">
        <v>83</v>
      </c>
      <c r="K17" s="24" t="s">
        <v>1719</v>
      </c>
      <c r="L17" s="24" t="s">
        <v>84</v>
      </c>
      <c r="M17" s="24" t="s">
        <v>85</v>
      </c>
      <c r="N17" s="24" t="s">
        <v>2155</v>
      </c>
      <c r="O17" s="24" t="s">
        <v>2159</v>
      </c>
      <c r="P17" s="24"/>
      <c r="Q17" s="24" t="n">
        <v>2.13</v>
      </c>
      <c r="R17" s="24" t="n">
        <v>2.53</v>
      </c>
      <c r="S17" s="24"/>
      <c r="T17" s="24"/>
      <c r="U17" s="24" t="n">
        <v>2.18</v>
      </c>
      <c r="V17" s="24"/>
      <c r="W17" s="24"/>
      <c r="X17" s="24"/>
      <c r="Y17" s="24" t="n">
        <v>2.35</v>
      </c>
      <c r="Z17" s="24"/>
      <c r="AA17" s="24"/>
      <c r="AB17" s="24" t="n">
        <v>8</v>
      </c>
      <c r="AC17" s="24" t="n">
        <v>3</v>
      </c>
      <c r="AD17" s="24" t="n">
        <f aca="false">IF(AND(N(AB17)&gt;0,N(AC17)&gt;0),SQRT(2*AB17/AC17),"")</f>
        <v>2.3094010767585</v>
      </c>
      <c r="AE17" s="24" t="n">
        <v>19</v>
      </c>
      <c r="AF17" s="24" t="n">
        <v>2</v>
      </c>
      <c r="AG17" s="24" t="n">
        <v>43</v>
      </c>
      <c r="AH17" s="24" t="n">
        <v>800</v>
      </c>
      <c r="AI17" s="24" t="n">
        <v>29.017</v>
      </c>
      <c r="AJ17" s="24" t="s">
        <v>1721</v>
      </c>
      <c r="AK17" s="24"/>
      <c r="AL17" s="24"/>
      <c r="AM17" s="24" t="n">
        <v>8.1</v>
      </c>
      <c r="AN17" s="24"/>
      <c r="AO17" s="24"/>
      <c r="AP17" s="24" t="n">
        <v>55</v>
      </c>
      <c r="AQ17" s="24" t="n">
        <v>26</v>
      </c>
      <c r="AR17" s="24" t="s">
        <v>2140</v>
      </c>
      <c r="AS17" s="24" t="s">
        <v>1722</v>
      </c>
      <c r="AT17" s="24" t="s">
        <v>2141</v>
      </c>
      <c r="AU17" s="24" t="s">
        <v>1724</v>
      </c>
      <c r="AV17" s="24" t="s">
        <v>2142</v>
      </c>
      <c r="AW17" s="25" t="s">
        <v>2145</v>
      </c>
      <c r="AX17" s="24" t="s">
        <v>1008</v>
      </c>
      <c r="AY17" s="24" t="s">
        <v>2144</v>
      </c>
    </row>
    <row r="18" customFormat="false" ht="14.25" hidden="false" customHeight="false" outlineLevel="0" collapsed="false">
      <c r="A18" s="24" t="s">
        <v>988</v>
      </c>
      <c r="B18" s="24" t="s">
        <v>988</v>
      </c>
      <c r="C18" s="24" t="s">
        <v>989</v>
      </c>
      <c r="D18" s="24" t="n">
        <v>2011</v>
      </c>
      <c r="E18" s="24" t="s">
        <v>990</v>
      </c>
      <c r="F18" s="24" t="s">
        <v>857</v>
      </c>
      <c r="G18" s="24" t="s">
        <v>993</v>
      </c>
      <c r="H18" s="24" t="n">
        <v>29.017</v>
      </c>
      <c r="I18" s="24" t="n">
        <v>77.75</v>
      </c>
      <c r="J18" s="24" t="s">
        <v>83</v>
      </c>
      <c r="K18" s="24" t="s">
        <v>1719</v>
      </c>
      <c r="L18" s="24" t="s">
        <v>84</v>
      </c>
      <c r="M18" s="24" t="s">
        <v>85</v>
      </c>
      <c r="N18" s="24" t="s">
        <v>2161</v>
      </c>
      <c r="O18" s="24" t="s">
        <v>2162</v>
      </c>
      <c r="P18" s="24"/>
      <c r="Q18" s="24" t="n">
        <v>2.21</v>
      </c>
      <c r="R18" s="24" t="n">
        <v>2.36</v>
      </c>
      <c r="S18" s="24"/>
      <c r="T18" s="24"/>
      <c r="U18" s="24" t="n">
        <v>2.3</v>
      </c>
      <c r="V18" s="24"/>
      <c r="W18" s="24"/>
      <c r="X18" s="24"/>
      <c r="Y18" s="24" t="n">
        <v>2.28</v>
      </c>
      <c r="Z18" s="24"/>
      <c r="AA18" s="24"/>
      <c r="AB18" s="24" t="n">
        <v>6</v>
      </c>
      <c r="AC18" s="24" t="n">
        <v>3</v>
      </c>
      <c r="AD18" s="24" t="n">
        <f aca="false">IF(AND(N(AB18)&gt;0,N(AC18)&gt;0),SQRT(2*AB18/AC18),"")</f>
        <v>2</v>
      </c>
      <c r="AE18" s="24" t="n">
        <v>19</v>
      </c>
      <c r="AF18" s="24" t="n">
        <v>2</v>
      </c>
      <c r="AG18" s="24" t="n">
        <v>43</v>
      </c>
      <c r="AH18" s="24" t="n">
        <v>800</v>
      </c>
      <c r="AI18" s="24" t="n">
        <v>29.017</v>
      </c>
      <c r="AJ18" s="24" t="s">
        <v>1721</v>
      </c>
      <c r="AK18" s="24"/>
      <c r="AL18" s="24"/>
      <c r="AM18" s="24" t="n">
        <v>8.1</v>
      </c>
      <c r="AN18" s="24"/>
      <c r="AO18" s="24"/>
      <c r="AP18" s="24" t="n">
        <v>55</v>
      </c>
      <c r="AQ18" s="24" t="n">
        <v>26</v>
      </c>
      <c r="AR18" s="24" t="s">
        <v>2140</v>
      </c>
      <c r="AS18" s="24" t="s">
        <v>1722</v>
      </c>
      <c r="AT18" s="24" t="s">
        <v>2141</v>
      </c>
      <c r="AU18" s="24" t="s">
        <v>1724</v>
      </c>
      <c r="AV18" s="24" t="s">
        <v>2142</v>
      </c>
      <c r="AW18" s="25" t="s">
        <v>2163</v>
      </c>
      <c r="AX18" s="24" t="s">
        <v>1008</v>
      </c>
      <c r="AY18" s="24" t="s">
        <v>2144</v>
      </c>
    </row>
    <row r="19" customFormat="false" ht="14.25" hidden="false" customHeight="false" outlineLevel="0" collapsed="false">
      <c r="A19" s="24" t="s">
        <v>988</v>
      </c>
      <c r="B19" s="24" t="s">
        <v>988</v>
      </c>
      <c r="C19" s="24" t="s">
        <v>989</v>
      </c>
      <c r="D19" s="24" t="n">
        <v>2011</v>
      </c>
      <c r="E19" s="24" t="s">
        <v>990</v>
      </c>
      <c r="F19" s="24" t="s">
        <v>857</v>
      </c>
      <c r="G19" s="24" t="s">
        <v>993</v>
      </c>
      <c r="H19" s="24" t="n">
        <v>29.017</v>
      </c>
      <c r="I19" s="24" t="n">
        <v>77.75</v>
      </c>
      <c r="J19" s="24" t="s">
        <v>83</v>
      </c>
      <c r="K19" s="24" t="s">
        <v>1719</v>
      </c>
      <c r="L19" s="24" t="s">
        <v>84</v>
      </c>
      <c r="M19" s="24" t="s">
        <v>85</v>
      </c>
      <c r="N19" s="24" t="s">
        <v>2161</v>
      </c>
      <c r="O19" s="24" t="s">
        <v>2162</v>
      </c>
      <c r="P19" s="24"/>
      <c r="Q19" s="24" t="n">
        <v>2.21</v>
      </c>
      <c r="R19" s="24" t="n">
        <v>2.57</v>
      </c>
      <c r="S19" s="24"/>
      <c r="T19" s="24"/>
      <c r="U19" s="24" t="n">
        <v>2.01</v>
      </c>
      <c r="V19" s="24"/>
      <c r="W19" s="24"/>
      <c r="X19" s="24"/>
      <c r="Y19" s="24" t="n">
        <v>2.28</v>
      </c>
      <c r="Z19" s="24"/>
      <c r="AA19" s="24"/>
      <c r="AB19" s="24" t="n">
        <v>6</v>
      </c>
      <c r="AC19" s="24" t="n">
        <v>3</v>
      </c>
      <c r="AD19" s="24" t="n">
        <f aca="false">IF(AND(N(AB19)&gt;0,N(AC19)&gt;0),SQRT(2*AB19/AC19),"")</f>
        <v>2</v>
      </c>
      <c r="AE19" s="24" t="n">
        <v>19</v>
      </c>
      <c r="AF19" s="24" t="n">
        <v>2</v>
      </c>
      <c r="AG19" s="24" t="n">
        <v>43</v>
      </c>
      <c r="AH19" s="24" t="n">
        <v>800</v>
      </c>
      <c r="AI19" s="24" t="n">
        <v>29.017</v>
      </c>
      <c r="AJ19" s="24" t="s">
        <v>1721</v>
      </c>
      <c r="AK19" s="24"/>
      <c r="AL19" s="24"/>
      <c r="AM19" s="24" t="n">
        <v>8.1</v>
      </c>
      <c r="AN19" s="24"/>
      <c r="AO19" s="24"/>
      <c r="AP19" s="24" t="n">
        <v>55</v>
      </c>
      <c r="AQ19" s="24" t="n">
        <v>26</v>
      </c>
      <c r="AR19" s="24" t="s">
        <v>2140</v>
      </c>
      <c r="AS19" s="24" t="s">
        <v>1722</v>
      </c>
      <c r="AT19" s="24" t="s">
        <v>2141</v>
      </c>
      <c r="AU19" s="24" t="s">
        <v>1724</v>
      </c>
      <c r="AV19" s="24" t="s">
        <v>2142</v>
      </c>
      <c r="AW19" s="25" t="s">
        <v>2164</v>
      </c>
      <c r="AX19" s="24" t="s">
        <v>1008</v>
      </c>
      <c r="AY19" s="24" t="s">
        <v>2144</v>
      </c>
    </row>
    <row r="20" customFormat="false" ht="14.25" hidden="false" customHeight="false" outlineLevel="0" collapsed="false">
      <c r="A20" s="24" t="s">
        <v>1034</v>
      </c>
      <c r="B20" s="24" t="s">
        <v>1034</v>
      </c>
      <c r="C20" s="24" t="s">
        <v>1035</v>
      </c>
      <c r="D20" s="24" t="n">
        <v>2022</v>
      </c>
      <c r="E20" s="24" t="s">
        <v>80</v>
      </c>
      <c r="F20" s="24" t="s">
        <v>912</v>
      </c>
      <c r="G20" s="24" t="s">
        <v>913</v>
      </c>
      <c r="H20" s="24" t="n">
        <v>29.706</v>
      </c>
      <c r="I20" s="24" t="n">
        <v>76.956</v>
      </c>
      <c r="J20" s="24" t="s">
        <v>83</v>
      </c>
      <c r="K20" s="24" t="n">
        <v>2019</v>
      </c>
      <c r="L20" s="24" t="s">
        <v>84</v>
      </c>
      <c r="M20" s="24" t="s">
        <v>85</v>
      </c>
      <c r="N20" s="24" t="s">
        <v>2138</v>
      </c>
      <c r="O20" s="24" t="s">
        <v>1720</v>
      </c>
      <c r="P20" s="24" t="n">
        <v>1.11</v>
      </c>
      <c r="Q20" s="24" t="n">
        <v>1.11</v>
      </c>
      <c r="R20" s="24"/>
      <c r="S20" s="24"/>
      <c r="T20" s="24"/>
      <c r="U20" s="24"/>
      <c r="V20" s="24"/>
      <c r="W20" s="24"/>
      <c r="X20" s="24" t="n">
        <v>1.02</v>
      </c>
      <c r="Y20" s="24"/>
      <c r="Z20" s="24"/>
      <c r="AA20" s="24"/>
      <c r="AB20" s="24" t="n">
        <v>2</v>
      </c>
      <c r="AC20" s="24" t="n">
        <v>3</v>
      </c>
      <c r="AD20" s="24" t="n">
        <f aca="false">IF(AND(N(AB20)&gt;0,N(AC20)&gt;0),SQRT(2*AB20/AC20),"")</f>
        <v>1.15470053837925</v>
      </c>
      <c r="AE20" s="24"/>
      <c r="AF20" s="24"/>
      <c r="AG20" s="24"/>
      <c r="AH20" s="24" t="n">
        <v>670</v>
      </c>
      <c r="AI20" s="24" t="n">
        <v>29.706</v>
      </c>
      <c r="AJ20" s="24" t="n">
        <v>10</v>
      </c>
      <c r="AK20" s="24"/>
      <c r="AL20" s="24"/>
      <c r="AM20" s="24"/>
      <c r="AN20" s="24"/>
      <c r="AO20" s="24"/>
      <c r="AP20" s="24"/>
      <c r="AQ20" s="24"/>
      <c r="AR20" s="24" t="s">
        <v>2140</v>
      </c>
      <c r="AS20" s="24" t="s">
        <v>1742</v>
      </c>
      <c r="AT20" s="24" t="s">
        <v>1743</v>
      </c>
      <c r="AU20" s="24" t="s">
        <v>1744</v>
      </c>
      <c r="AV20" s="24" t="s">
        <v>2165</v>
      </c>
      <c r="AW20" s="25" t="s">
        <v>2166</v>
      </c>
      <c r="AX20" s="24" t="s">
        <v>1046</v>
      </c>
      <c r="AY20" s="24" t="s">
        <v>2167</v>
      </c>
    </row>
    <row r="21" customFormat="false" ht="14.25" hidden="false" customHeight="false" outlineLevel="0" collapsed="false">
      <c r="A21" s="24" t="s">
        <v>1034</v>
      </c>
      <c r="B21" s="24" t="s">
        <v>1034</v>
      </c>
      <c r="C21" s="24" t="s">
        <v>1035</v>
      </c>
      <c r="D21" s="24" t="n">
        <v>2022</v>
      </c>
      <c r="E21" s="24" t="s">
        <v>80</v>
      </c>
      <c r="F21" s="24" t="s">
        <v>912</v>
      </c>
      <c r="G21" s="24" t="s">
        <v>913</v>
      </c>
      <c r="H21" s="24" t="n">
        <v>29.706</v>
      </c>
      <c r="I21" s="24" t="n">
        <v>76.956</v>
      </c>
      <c r="J21" s="24" t="s">
        <v>83</v>
      </c>
      <c r="K21" s="24" t="n">
        <v>2019</v>
      </c>
      <c r="L21" s="24" t="s">
        <v>84</v>
      </c>
      <c r="M21" s="24" t="s">
        <v>85</v>
      </c>
      <c r="N21" s="24" t="s">
        <v>2138</v>
      </c>
      <c r="O21" s="24" t="s">
        <v>1757</v>
      </c>
      <c r="P21" s="24" t="n">
        <v>1.59</v>
      </c>
      <c r="Q21" s="24" t="n">
        <v>1.42</v>
      </c>
      <c r="R21" s="24"/>
      <c r="S21" s="24"/>
      <c r="T21" s="24"/>
      <c r="U21" s="24"/>
      <c r="V21" s="24"/>
      <c r="W21" s="24"/>
      <c r="X21" s="24" t="n">
        <v>1.17</v>
      </c>
      <c r="Y21" s="24"/>
      <c r="Z21" s="24"/>
      <c r="AA21" s="24"/>
      <c r="AB21" s="24" t="n">
        <v>2</v>
      </c>
      <c r="AC21" s="24" t="n">
        <v>3</v>
      </c>
      <c r="AD21" s="24" t="n">
        <f aca="false">IF(AND(N(AB21)&gt;0,N(AC21)&gt;0),SQRT(2*AB21/AC21),"")</f>
        <v>1.15470053837925</v>
      </c>
      <c r="AE21" s="24"/>
      <c r="AF21" s="24"/>
      <c r="AG21" s="24"/>
      <c r="AH21" s="24" t="n">
        <v>670</v>
      </c>
      <c r="AI21" s="24" t="n">
        <v>29.706</v>
      </c>
      <c r="AJ21" s="24" t="n">
        <v>10</v>
      </c>
      <c r="AK21" s="24"/>
      <c r="AL21" s="24"/>
      <c r="AM21" s="24"/>
      <c r="AN21" s="24"/>
      <c r="AO21" s="24"/>
      <c r="AP21" s="24"/>
      <c r="AQ21" s="24"/>
      <c r="AR21" s="24" t="s">
        <v>2140</v>
      </c>
      <c r="AS21" s="24" t="s">
        <v>1742</v>
      </c>
      <c r="AT21" s="24" t="s">
        <v>1743</v>
      </c>
      <c r="AU21" s="24" t="s">
        <v>1744</v>
      </c>
      <c r="AV21" s="24" t="s">
        <v>2165</v>
      </c>
      <c r="AW21" s="25" t="s">
        <v>2166</v>
      </c>
      <c r="AX21" s="24" t="s">
        <v>1046</v>
      </c>
      <c r="AY21" s="24" t="s">
        <v>2167</v>
      </c>
    </row>
    <row r="22" customFormat="false" ht="14.25" hidden="false" customHeight="false" outlineLevel="0" collapsed="false">
      <c r="A22" s="24" t="s">
        <v>1034</v>
      </c>
      <c r="B22" s="24" t="s">
        <v>1034</v>
      </c>
      <c r="C22" s="24" t="s">
        <v>1035</v>
      </c>
      <c r="D22" s="24" t="n">
        <v>2022</v>
      </c>
      <c r="E22" s="24" t="s">
        <v>80</v>
      </c>
      <c r="F22" s="24" t="s">
        <v>912</v>
      </c>
      <c r="G22" s="24" t="s">
        <v>913</v>
      </c>
      <c r="H22" s="24" t="n">
        <v>29.706</v>
      </c>
      <c r="I22" s="24" t="n">
        <v>76.956</v>
      </c>
      <c r="J22" s="24" t="s">
        <v>83</v>
      </c>
      <c r="K22" s="24" t="n">
        <v>2019</v>
      </c>
      <c r="L22" s="24" t="s">
        <v>84</v>
      </c>
      <c r="M22" s="24" t="s">
        <v>85</v>
      </c>
      <c r="N22" s="24" t="s">
        <v>2147</v>
      </c>
      <c r="O22" s="24" t="s">
        <v>2168</v>
      </c>
      <c r="P22" s="24" t="n">
        <v>1.93</v>
      </c>
      <c r="Q22" s="24" t="n">
        <v>1.72</v>
      </c>
      <c r="R22" s="24"/>
      <c r="S22" s="24"/>
      <c r="T22" s="24"/>
      <c r="U22" s="24"/>
      <c r="V22" s="24"/>
      <c r="W22" s="24"/>
      <c r="X22" s="24" t="n">
        <v>1.77</v>
      </c>
      <c r="Y22" s="24"/>
      <c r="Z22" s="24"/>
      <c r="AA22" s="24"/>
      <c r="AB22" s="24" t="n">
        <v>2</v>
      </c>
      <c r="AC22" s="24" t="n">
        <v>3</v>
      </c>
      <c r="AD22" s="24" t="n">
        <f aca="false">IF(AND(N(AB22)&gt;0,N(AC22)&gt;0),SQRT(2*AB22/AC22),"")</f>
        <v>1.15470053837925</v>
      </c>
      <c r="AE22" s="24"/>
      <c r="AF22" s="24"/>
      <c r="AG22" s="24"/>
      <c r="AH22" s="24" t="n">
        <v>670</v>
      </c>
      <c r="AI22" s="24" t="n">
        <v>29.706</v>
      </c>
      <c r="AJ22" s="24" t="n">
        <v>10</v>
      </c>
      <c r="AK22" s="24"/>
      <c r="AL22" s="24"/>
      <c r="AM22" s="24"/>
      <c r="AN22" s="24"/>
      <c r="AO22" s="24"/>
      <c r="AP22" s="24"/>
      <c r="AQ22" s="24"/>
      <c r="AR22" s="24" t="s">
        <v>2140</v>
      </c>
      <c r="AS22" s="24" t="s">
        <v>1742</v>
      </c>
      <c r="AT22" s="24" t="s">
        <v>1743</v>
      </c>
      <c r="AU22" s="24" t="s">
        <v>1744</v>
      </c>
      <c r="AV22" s="24" t="s">
        <v>2165</v>
      </c>
      <c r="AW22" s="25" t="s">
        <v>2166</v>
      </c>
      <c r="AX22" s="24" t="s">
        <v>1046</v>
      </c>
      <c r="AY22" s="24" t="s">
        <v>2167</v>
      </c>
    </row>
    <row r="23" customFormat="false" ht="14.25" hidden="false" customHeight="false" outlineLevel="0" collapsed="false">
      <c r="A23" s="24" t="s">
        <v>1034</v>
      </c>
      <c r="B23" s="24" t="s">
        <v>1034</v>
      </c>
      <c r="C23" s="24" t="s">
        <v>1035</v>
      </c>
      <c r="D23" s="24" t="n">
        <v>2022</v>
      </c>
      <c r="E23" s="24" t="s">
        <v>80</v>
      </c>
      <c r="F23" s="24" t="s">
        <v>912</v>
      </c>
      <c r="G23" s="24" t="s">
        <v>913</v>
      </c>
      <c r="H23" s="24" t="n">
        <v>29.706</v>
      </c>
      <c r="I23" s="24" t="n">
        <v>76.956</v>
      </c>
      <c r="J23" s="24" t="s">
        <v>83</v>
      </c>
      <c r="K23" s="24" t="n">
        <v>2019</v>
      </c>
      <c r="L23" s="24" t="s">
        <v>84</v>
      </c>
      <c r="M23" s="24" t="s">
        <v>85</v>
      </c>
      <c r="N23" s="24" t="s">
        <v>2147</v>
      </c>
      <c r="O23" s="24" t="s">
        <v>2169</v>
      </c>
      <c r="P23" s="24" t="n">
        <v>2.21</v>
      </c>
      <c r="Q23" s="24" t="n">
        <v>2.65</v>
      </c>
      <c r="R23" s="24"/>
      <c r="S23" s="24"/>
      <c r="T23" s="24"/>
      <c r="U23" s="24"/>
      <c r="V23" s="24"/>
      <c r="W23" s="24"/>
      <c r="X23" s="24" t="n">
        <v>3.16</v>
      </c>
      <c r="Y23" s="24"/>
      <c r="Z23" s="24"/>
      <c r="AA23" s="24"/>
      <c r="AB23" s="24" t="n">
        <v>2</v>
      </c>
      <c r="AC23" s="24" t="n">
        <v>3</v>
      </c>
      <c r="AD23" s="24" t="n">
        <f aca="false">IF(AND(N(AB23)&gt;0,N(AC23)&gt;0),SQRT(2*AB23/AC23),"")</f>
        <v>1.15470053837925</v>
      </c>
      <c r="AE23" s="24"/>
      <c r="AF23" s="24"/>
      <c r="AG23" s="24"/>
      <c r="AH23" s="24" t="n">
        <v>670</v>
      </c>
      <c r="AI23" s="24" t="n">
        <v>29.706</v>
      </c>
      <c r="AJ23" s="24" t="n">
        <v>10</v>
      </c>
      <c r="AK23" s="24"/>
      <c r="AL23" s="24"/>
      <c r="AM23" s="24"/>
      <c r="AN23" s="24"/>
      <c r="AO23" s="24"/>
      <c r="AP23" s="24"/>
      <c r="AQ23" s="24"/>
      <c r="AR23" s="24" t="s">
        <v>2140</v>
      </c>
      <c r="AS23" s="24" t="s">
        <v>1742</v>
      </c>
      <c r="AT23" s="24" t="s">
        <v>1743</v>
      </c>
      <c r="AU23" s="24" t="s">
        <v>1744</v>
      </c>
      <c r="AV23" s="24" t="s">
        <v>2165</v>
      </c>
      <c r="AW23" s="25" t="s">
        <v>2166</v>
      </c>
      <c r="AX23" s="24" t="s">
        <v>1046</v>
      </c>
      <c r="AY23" s="24" t="s">
        <v>2167</v>
      </c>
    </row>
    <row r="24" customFormat="false" ht="14.25" hidden="false" customHeight="false" outlineLevel="0" collapsed="false">
      <c r="A24" s="24" t="s">
        <v>1034</v>
      </c>
      <c r="B24" s="24" t="s">
        <v>1034</v>
      </c>
      <c r="C24" s="24" t="s">
        <v>1035</v>
      </c>
      <c r="D24" s="24" t="n">
        <v>2022</v>
      </c>
      <c r="E24" s="24" t="s">
        <v>80</v>
      </c>
      <c r="F24" s="24" t="s">
        <v>912</v>
      </c>
      <c r="G24" s="24" t="s">
        <v>913</v>
      </c>
      <c r="H24" s="24" t="n">
        <v>29.706</v>
      </c>
      <c r="I24" s="24" t="n">
        <v>76.956</v>
      </c>
      <c r="J24" s="24" t="s">
        <v>83</v>
      </c>
      <c r="K24" s="24" t="n">
        <v>2019</v>
      </c>
      <c r="L24" s="24" t="s">
        <v>84</v>
      </c>
      <c r="M24" s="24" t="s">
        <v>85</v>
      </c>
      <c r="N24" s="24" t="s">
        <v>2150</v>
      </c>
      <c r="O24" s="24" t="s">
        <v>2170</v>
      </c>
      <c r="P24" s="24" t="n">
        <v>2</v>
      </c>
      <c r="Q24" s="24" t="n">
        <v>2.98</v>
      </c>
      <c r="R24" s="24"/>
      <c r="S24" s="24"/>
      <c r="T24" s="24"/>
      <c r="U24" s="24"/>
      <c r="V24" s="24"/>
      <c r="W24" s="24"/>
      <c r="X24" s="24" t="n">
        <v>3.24</v>
      </c>
      <c r="Y24" s="24"/>
      <c r="Z24" s="24"/>
      <c r="AA24" s="24"/>
      <c r="AB24" s="24" t="n">
        <v>2</v>
      </c>
      <c r="AC24" s="24" t="n">
        <v>3</v>
      </c>
      <c r="AD24" s="24" t="n">
        <f aca="false">IF(AND(N(AB24)&gt;0,N(AC24)&gt;0),SQRT(2*AB24/AC24),"")</f>
        <v>1.15470053837925</v>
      </c>
      <c r="AE24" s="24"/>
      <c r="AF24" s="24"/>
      <c r="AG24" s="24"/>
      <c r="AH24" s="24" t="n">
        <v>670</v>
      </c>
      <c r="AI24" s="24" t="n">
        <v>29.706</v>
      </c>
      <c r="AJ24" s="24" t="n">
        <v>10</v>
      </c>
      <c r="AK24" s="24"/>
      <c r="AL24" s="24"/>
      <c r="AM24" s="24"/>
      <c r="AN24" s="24"/>
      <c r="AO24" s="24"/>
      <c r="AP24" s="24"/>
      <c r="AQ24" s="24"/>
      <c r="AR24" s="24" t="s">
        <v>2140</v>
      </c>
      <c r="AS24" s="24" t="s">
        <v>1742</v>
      </c>
      <c r="AT24" s="24" t="s">
        <v>1743</v>
      </c>
      <c r="AU24" s="24" t="s">
        <v>1744</v>
      </c>
      <c r="AV24" s="24" t="s">
        <v>2165</v>
      </c>
      <c r="AW24" s="25" t="s">
        <v>2166</v>
      </c>
      <c r="AX24" s="24" t="s">
        <v>1046</v>
      </c>
      <c r="AY24" s="24" t="s">
        <v>2167</v>
      </c>
    </row>
    <row r="25" customFormat="false" ht="14.25" hidden="false" customHeight="false" outlineLevel="0" collapsed="false">
      <c r="A25" s="24" t="s">
        <v>1034</v>
      </c>
      <c r="B25" s="24" t="s">
        <v>1034</v>
      </c>
      <c r="C25" s="24" t="s">
        <v>1035</v>
      </c>
      <c r="D25" s="24" t="n">
        <v>2022</v>
      </c>
      <c r="E25" s="24" t="s">
        <v>80</v>
      </c>
      <c r="F25" s="24" t="s">
        <v>912</v>
      </c>
      <c r="G25" s="24" t="s">
        <v>913</v>
      </c>
      <c r="H25" s="24" t="n">
        <v>29.706</v>
      </c>
      <c r="I25" s="24" t="n">
        <v>76.956</v>
      </c>
      <c r="J25" s="24" t="s">
        <v>83</v>
      </c>
      <c r="K25" s="24" t="n">
        <v>2019</v>
      </c>
      <c r="L25" s="24" t="s">
        <v>84</v>
      </c>
      <c r="M25" s="24" t="s">
        <v>85</v>
      </c>
      <c r="N25" s="24" t="s">
        <v>2150</v>
      </c>
      <c r="O25" s="24" t="s">
        <v>2171</v>
      </c>
      <c r="P25" s="24" t="n">
        <v>1.45</v>
      </c>
      <c r="Q25" s="24" t="n">
        <v>2.41</v>
      </c>
      <c r="R25" s="24"/>
      <c r="S25" s="24"/>
      <c r="T25" s="24"/>
      <c r="U25" s="24"/>
      <c r="V25" s="24"/>
      <c r="W25" s="24"/>
      <c r="X25" s="24" t="n">
        <v>2.43</v>
      </c>
      <c r="Y25" s="24"/>
      <c r="Z25" s="24"/>
      <c r="AA25" s="24"/>
      <c r="AB25" s="24" t="n">
        <v>2</v>
      </c>
      <c r="AC25" s="24" t="n">
        <v>3</v>
      </c>
      <c r="AD25" s="24" t="n">
        <f aca="false">IF(AND(N(AB25)&gt;0,N(AC25)&gt;0),SQRT(2*AB25/AC25),"")</f>
        <v>1.15470053837925</v>
      </c>
      <c r="AE25" s="24"/>
      <c r="AF25" s="24"/>
      <c r="AG25" s="24"/>
      <c r="AH25" s="24" t="n">
        <v>670</v>
      </c>
      <c r="AI25" s="24" t="n">
        <v>29.706</v>
      </c>
      <c r="AJ25" s="24" t="n">
        <v>10</v>
      </c>
      <c r="AK25" s="24"/>
      <c r="AL25" s="24"/>
      <c r="AM25" s="24"/>
      <c r="AN25" s="24"/>
      <c r="AO25" s="24"/>
      <c r="AP25" s="24"/>
      <c r="AQ25" s="24"/>
      <c r="AR25" s="24" t="s">
        <v>2140</v>
      </c>
      <c r="AS25" s="24" t="s">
        <v>1742</v>
      </c>
      <c r="AT25" s="24" t="s">
        <v>1743</v>
      </c>
      <c r="AU25" s="24" t="s">
        <v>1744</v>
      </c>
      <c r="AV25" s="24" t="s">
        <v>2165</v>
      </c>
      <c r="AW25" s="25" t="s">
        <v>2166</v>
      </c>
      <c r="AX25" s="24" t="s">
        <v>1046</v>
      </c>
      <c r="AY25" s="24" t="s">
        <v>2167</v>
      </c>
    </row>
    <row r="26" customFormat="false" ht="14.25" hidden="false" customHeight="false" outlineLevel="0" collapsed="false">
      <c r="A26" s="24" t="s">
        <v>1034</v>
      </c>
      <c r="B26" s="24" t="s">
        <v>1034</v>
      </c>
      <c r="C26" s="24" t="s">
        <v>1035</v>
      </c>
      <c r="D26" s="24" t="n">
        <v>2022</v>
      </c>
      <c r="E26" s="24" t="s">
        <v>80</v>
      </c>
      <c r="F26" s="24" t="s">
        <v>912</v>
      </c>
      <c r="G26" s="24" t="s">
        <v>913</v>
      </c>
      <c r="H26" s="24" t="n">
        <v>29.706</v>
      </c>
      <c r="I26" s="24" t="n">
        <v>76.956</v>
      </c>
      <c r="J26" s="24" t="s">
        <v>83</v>
      </c>
      <c r="K26" s="24" t="n">
        <v>2019</v>
      </c>
      <c r="L26" s="24" t="s">
        <v>84</v>
      </c>
      <c r="M26" s="24" t="s">
        <v>85</v>
      </c>
      <c r="N26" s="24" t="s">
        <v>2155</v>
      </c>
      <c r="O26" s="24" t="s">
        <v>2172</v>
      </c>
      <c r="P26" s="24" t="n">
        <v>1.33</v>
      </c>
      <c r="Q26" s="24" t="n">
        <v>2.18</v>
      </c>
      <c r="R26" s="24"/>
      <c r="S26" s="24"/>
      <c r="T26" s="24"/>
      <c r="U26" s="24"/>
      <c r="V26" s="24"/>
      <c r="W26" s="24"/>
      <c r="X26" s="24" t="n">
        <v>1.8</v>
      </c>
      <c r="Y26" s="24"/>
      <c r="Z26" s="24"/>
      <c r="AA26" s="24"/>
      <c r="AB26" s="24" t="n">
        <v>2</v>
      </c>
      <c r="AC26" s="24" t="n">
        <v>3</v>
      </c>
      <c r="AD26" s="24" t="n">
        <f aca="false">IF(AND(N(AB26)&gt;0,N(AC26)&gt;0),SQRT(2*AB26/AC26),"")</f>
        <v>1.15470053837925</v>
      </c>
      <c r="AE26" s="24"/>
      <c r="AF26" s="24"/>
      <c r="AG26" s="24"/>
      <c r="AH26" s="24" t="n">
        <v>670</v>
      </c>
      <c r="AI26" s="24" t="n">
        <v>29.706</v>
      </c>
      <c r="AJ26" s="24" t="n">
        <v>10</v>
      </c>
      <c r="AK26" s="24"/>
      <c r="AL26" s="24"/>
      <c r="AM26" s="24"/>
      <c r="AN26" s="24"/>
      <c r="AO26" s="24"/>
      <c r="AP26" s="24"/>
      <c r="AQ26" s="24"/>
      <c r="AR26" s="24" t="s">
        <v>2140</v>
      </c>
      <c r="AS26" s="24" t="s">
        <v>1742</v>
      </c>
      <c r="AT26" s="24" t="s">
        <v>1743</v>
      </c>
      <c r="AU26" s="24" t="s">
        <v>1744</v>
      </c>
      <c r="AV26" s="24" t="s">
        <v>2165</v>
      </c>
      <c r="AW26" s="25" t="s">
        <v>2166</v>
      </c>
      <c r="AX26" s="24" t="s">
        <v>1046</v>
      </c>
      <c r="AY26" s="24" t="s">
        <v>2167</v>
      </c>
    </row>
    <row r="27" customFormat="false" ht="14.25" hidden="false" customHeight="false" outlineLevel="0" collapsed="false">
      <c r="A27" s="24" t="s">
        <v>1034</v>
      </c>
      <c r="B27" s="24" t="s">
        <v>1034</v>
      </c>
      <c r="C27" s="24" t="s">
        <v>1035</v>
      </c>
      <c r="D27" s="24" t="n">
        <v>2022</v>
      </c>
      <c r="E27" s="24" t="s">
        <v>80</v>
      </c>
      <c r="F27" s="24" t="s">
        <v>912</v>
      </c>
      <c r="G27" s="24" t="s">
        <v>913</v>
      </c>
      <c r="H27" s="24" t="n">
        <v>29.706</v>
      </c>
      <c r="I27" s="24" t="n">
        <v>76.956</v>
      </c>
      <c r="J27" s="24" t="s">
        <v>83</v>
      </c>
      <c r="K27" s="24" t="n">
        <v>2019</v>
      </c>
      <c r="L27" s="24" t="s">
        <v>84</v>
      </c>
      <c r="M27" s="24" t="s">
        <v>85</v>
      </c>
      <c r="N27" s="24" t="s">
        <v>2155</v>
      </c>
      <c r="O27" s="24" t="s">
        <v>2173</v>
      </c>
      <c r="P27" s="24" t="n">
        <v>1.37</v>
      </c>
      <c r="Q27" s="24" t="n">
        <v>2.28</v>
      </c>
      <c r="R27" s="24"/>
      <c r="S27" s="24"/>
      <c r="T27" s="24"/>
      <c r="U27" s="24"/>
      <c r="V27" s="24"/>
      <c r="W27" s="24"/>
      <c r="X27" s="24" t="n">
        <v>1.62</v>
      </c>
      <c r="Y27" s="24"/>
      <c r="Z27" s="24"/>
      <c r="AA27" s="24"/>
      <c r="AB27" s="24" t="n">
        <v>2</v>
      </c>
      <c r="AC27" s="24" t="n">
        <v>3</v>
      </c>
      <c r="AD27" s="24" t="n">
        <f aca="false">IF(AND(N(AB27)&gt;0,N(AC27)&gt;0),SQRT(2*AB27/AC27),"")</f>
        <v>1.15470053837925</v>
      </c>
      <c r="AE27" s="24"/>
      <c r="AF27" s="24"/>
      <c r="AG27" s="24"/>
      <c r="AH27" s="24" t="n">
        <v>670</v>
      </c>
      <c r="AI27" s="24" t="n">
        <v>29.706</v>
      </c>
      <c r="AJ27" s="24" t="n">
        <v>10</v>
      </c>
      <c r="AK27" s="24"/>
      <c r="AL27" s="24"/>
      <c r="AM27" s="24"/>
      <c r="AN27" s="24"/>
      <c r="AO27" s="24"/>
      <c r="AP27" s="24"/>
      <c r="AQ27" s="24"/>
      <c r="AR27" s="24" t="s">
        <v>2140</v>
      </c>
      <c r="AS27" s="24" t="s">
        <v>1742</v>
      </c>
      <c r="AT27" s="24" t="s">
        <v>1743</v>
      </c>
      <c r="AU27" s="24" t="s">
        <v>1744</v>
      </c>
      <c r="AV27" s="24" t="s">
        <v>2165</v>
      </c>
      <c r="AW27" s="25" t="s">
        <v>2166</v>
      </c>
      <c r="AX27" s="24" t="s">
        <v>1046</v>
      </c>
      <c r="AY27" s="24" t="s">
        <v>2167</v>
      </c>
    </row>
    <row r="28" customFormat="false" ht="14.25" hidden="false" customHeight="false" outlineLevel="0" collapsed="false">
      <c r="A28" s="24" t="s">
        <v>1034</v>
      </c>
      <c r="B28" s="24" t="s">
        <v>1034</v>
      </c>
      <c r="C28" s="24" t="s">
        <v>1035</v>
      </c>
      <c r="D28" s="24" t="n">
        <v>2022</v>
      </c>
      <c r="E28" s="24" t="s">
        <v>80</v>
      </c>
      <c r="F28" s="24" t="s">
        <v>912</v>
      </c>
      <c r="G28" s="24" t="s">
        <v>913</v>
      </c>
      <c r="H28" s="24" t="n">
        <v>29.706</v>
      </c>
      <c r="I28" s="24" t="n">
        <v>76.956</v>
      </c>
      <c r="J28" s="24" t="s">
        <v>83</v>
      </c>
      <c r="K28" s="24" t="n">
        <v>2019</v>
      </c>
      <c r="L28" s="24" t="s">
        <v>84</v>
      </c>
      <c r="M28" s="24" t="s">
        <v>85</v>
      </c>
      <c r="N28" s="24" t="s">
        <v>2161</v>
      </c>
      <c r="O28" s="24" t="s">
        <v>2174</v>
      </c>
      <c r="P28" s="24" t="n">
        <v>1.48</v>
      </c>
      <c r="Q28" s="24" t="n">
        <v>2.39</v>
      </c>
      <c r="R28" s="24"/>
      <c r="S28" s="24"/>
      <c r="T28" s="24"/>
      <c r="U28" s="24"/>
      <c r="V28" s="24"/>
      <c r="W28" s="24"/>
      <c r="X28" s="24" t="n">
        <v>1.57</v>
      </c>
      <c r="Y28" s="24"/>
      <c r="Z28" s="24"/>
      <c r="AA28" s="24"/>
      <c r="AB28" s="24" t="n">
        <v>1</v>
      </c>
      <c r="AC28" s="24" t="n">
        <v>3</v>
      </c>
      <c r="AD28" s="24" t="n">
        <f aca="false">IF(AND(N(AB28)&gt;0,N(AC28)&gt;0),SQRT(2*AB28/AC28),"")</f>
        <v>0.816496580927726</v>
      </c>
      <c r="AE28" s="24"/>
      <c r="AF28" s="24"/>
      <c r="AG28" s="24"/>
      <c r="AH28" s="24" t="n">
        <v>670</v>
      </c>
      <c r="AI28" s="24" t="n">
        <v>29.706</v>
      </c>
      <c r="AJ28" s="24" t="n">
        <v>10</v>
      </c>
      <c r="AK28" s="24"/>
      <c r="AL28" s="24"/>
      <c r="AM28" s="24"/>
      <c r="AN28" s="24"/>
      <c r="AO28" s="24"/>
      <c r="AP28" s="24"/>
      <c r="AQ28" s="24"/>
      <c r="AR28" s="24" t="s">
        <v>2140</v>
      </c>
      <c r="AS28" s="24" t="s">
        <v>1742</v>
      </c>
      <c r="AT28" s="24" t="s">
        <v>1743</v>
      </c>
      <c r="AU28" s="24" t="s">
        <v>1744</v>
      </c>
      <c r="AV28" s="24" t="s">
        <v>2165</v>
      </c>
      <c r="AW28" s="25" t="s">
        <v>2175</v>
      </c>
      <c r="AX28" s="24" t="s">
        <v>1046</v>
      </c>
      <c r="AY28" s="24" t="s">
        <v>2167</v>
      </c>
    </row>
    <row r="29" customFormat="false" ht="14.25" hidden="false" customHeight="false" outlineLevel="0" collapsed="false">
      <c r="A29" s="34" t="n">
        <v>170</v>
      </c>
      <c r="B29" s="34" t="n">
        <v>170</v>
      </c>
      <c r="C29" s="34" t="s">
        <v>971</v>
      </c>
      <c r="D29" s="34" t="n">
        <v>2003</v>
      </c>
      <c r="E29" s="34" t="s">
        <v>854</v>
      </c>
      <c r="F29" s="34" t="s">
        <v>887</v>
      </c>
      <c r="G29" s="34" t="s">
        <v>1750</v>
      </c>
      <c r="H29" s="34" t="n">
        <v>30.933</v>
      </c>
      <c r="I29" s="34" t="n">
        <v>75.867</v>
      </c>
      <c r="J29" s="34" t="s">
        <v>891</v>
      </c>
      <c r="K29" s="34" t="n">
        <v>1996</v>
      </c>
      <c r="L29" s="34" t="s">
        <v>842</v>
      </c>
      <c r="M29" s="34" t="s">
        <v>978</v>
      </c>
      <c r="N29" s="34" t="s">
        <v>2138</v>
      </c>
      <c r="O29" s="34" t="s">
        <v>1720</v>
      </c>
      <c r="P29" s="34"/>
      <c r="Q29" s="34" t="n">
        <v>0.62</v>
      </c>
      <c r="R29" s="34"/>
      <c r="S29" s="34"/>
      <c r="T29" s="34"/>
      <c r="U29" s="34" t="n">
        <v>0.75</v>
      </c>
      <c r="V29" s="34"/>
      <c r="W29" s="34"/>
      <c r="X29" s="34"/>
      <c r="Y29" s="34"/>
      <c r="Z29" s="34"/>
      <c r="AA29" s="34"/>
      <c r="AB29" s="34" t="n">
        <v>4</v>
      </c>
      <c r="AC29" s="34" t="n">
        <v>3</v>
      </c>
      <c r="AD29" s="34" t="n">
        <f aca="false">IF(AND(N(AB29)&gt;0,N(AC29)&gt;0),SQRT(2*AB29/AC29),"")</f>
        <v>1.63299316185545</v>
      </c>
      <c r="AE29" s="34" t="n">
        <v>12</v>
      </c>
      <c r="AF29" s="34"/>
      <c r="AG29" s="34"/>
      <c r="AH29" s="34"/>
      <c r="AI29" s="34" t="n">
        <v>30.933</v>
      </c>
      <c r="AJ29" s="34" t="n">
        <v>3</v>
      </c>
      <c r="AK29" s="34"/>
      <c r="AL29" s="34"/>
      <c r="AM29" s="34"/>
      <c r="AN29" s="34" t="n">
        <v>3.3</v>
      </c>
      <c r="AO29" s="34"/>
      <c r="AP29" s="34" t="n">
        <v>71</v>
      </c>
      <c r="AQ29" s="34" t="n">
        <v>17</v>
      </c>
      <c r="AR29" s="34" t="s">
        <v>2140</v>
      </c>
      <c r="AS29" s="34" t="s">
        <v>1751</v>
      </c>
      <c r="AT29" s="34" t="s">
        <v>2176</v>
      </c>
      <c r="AU29" s="34" t="s">
        <v>1753</v>
      </c>
      <c r="AV29" s="34" t="s">
        <v>1898</v>
      </c>
      <c r="AW29" s="35" t="s">
        <v>2177</v>
      </c>
      <c r="AX29" s="34" t="s">
        <v>984</v>
      </c>
      <c r="AY29" s="34" t="s">
        <v>2178</v>
      </c>
    </row>
    <row r="30" customFormat="false" ht="14.25" hidden="false" customHeight="false" outlineLevel="0" collapsed="false">
      <c r="A30" s="34" t="n">
        <v>170</v>
      </c>
      <c r="B30" s="34" t="n">
        <v>170</v>
      </c>
      <c r="C30" s="34" t="s">
        <v>971</v>
      </c>
      <c r="D30" s="34" t="n">
        <v>2003</v>
      </c>
      <c r="E30" s="34" t="s">
        <v>854</v>
      </c>
      <c r="F30" s="34" t="s">
        <v>887</v>
      </c>
      <c r="G30" s="34" t="s">
        <v>1750</v>
      </c>
      <c r="H30" s="34" t="n">
        <v>30.933</v>
      </c>
      <c r="I30" s="34" t="n">
        <v>75.867</v>
      </c>
      <c r="J30" s="34" t="s">
        <v>891</v>
      </c>
      <c r="K30" s="34" t="n">
        <v>1996</v>
      </c>
      <c r="L30" s="34" t="s">
        <v>842</v>
      </c>
      <c r="M30" s="34" t="s">
        <v>978</v>
      </c>
      <c r="N30" s="34" t="s">
        <v>2138</v>
      </c>
      <c r="O30" s="34" t="s">
        <v>1757</v>
      </c>
      <c r="P30" s="34"/>
      <c r="Q30" s="34" t="n">
        <v>1.22</v>
      </c>
      <c r="R30" s="34"/>
      <c r="S30" s="34"/>
      <c r="T30" s="34"/>
      <c r="U30" s="34" t="n">
        <v>1.49</v>
      </c>
      <c r="V30" s="34"/>
      <c r="W30" s="34"/>
      <c r="X30" s="34"/>
      <c r="Y30" s="34"/>
      <c r="Z30" s="34"/>
      <c r="AA30" s="34"/>
      <c r="AB30" s="34" t="n">
        <v>4</v>
      </c>
      <c r="AC30" s="34" t="n">
        <v>3</v>
      </c>
      <c r="AD30" s="34" t="n">
        <f aca="false">IF(AND(N(AB30)&gt;0,N(AC30)&gt;0),SQRT(2*AB30/AC30),"")</f>
        <v>1.63299316185545</v>
      </c>
      <c r="AE30" s="34" t="n">
        <v>12</v>
      </c>
      <c r="AF30" s="34"/>
      <c r="AG30" s="34"/>
      <c r="AH30" s="34"/>
      <c r="AI30" s="34" t="n">
        <v>30.933</v>
      </c>
      <c r="AJ30" s="34" t="n">
        <v>3</v>
      </c>
      <c r="AK30" s="34"/>
      <c r="AL30" s="34"/>
      <c r="AM30" s="34"/>
      <c r="AN30" s="34" t="n">
        <v>3.3</v>
      </c>
      <c r="AO30" s="34"/>
      <c r="AP30" s="34" t="n">
        <v>71</v>
      </c>
      <c r="AQ30" s="34" t="n">
        <v>17</v>
      </c>
      <c r="AR30" s="34" t="s">
        <v>2140</v>
      </c>
      <c r="AS30" s="34" t="s">
        <v>1751</v>
      </c>
      <c r="AT30" s="34" t="s">
        <v>2176</v>
      </c>
      <c r="AU30" s="34" t="s">
        <v>1753</v>
      </c>
      <c r="AV30" s="34" t="s">
        <v>1898</v>
      </c>
      <c r="AW30" s="35" t="s">
        <v>2177</v>
      </c>
      <c r="AX30" s="34" t="s">
        <v>984</v>
      </c>
      <c r="AY30" s="34" t="s">
        <v>2178</v>
      </c>
    </row>
    <row r="31" customFormat="false" ht="14.25" hidden="false" customHeight="false" outlineLevel="0" collapsed="false">
      <c r="A31" s="34" t="n">
        <v>170</v>
      </c>
      <c r="B31" s="34" t="n">
        <v>170</v>
      </c>
      <c r="C31" s="34" t="s">
        <v>971</v>
      </c>
      <c r="D31" s="34" t="n">
        <v>2003</v>
      </c>
      <c r="E31" s="34" t="s">
        <v>854</v>
      </c>
      <c r="F31" s="34" t="s">
        <v>887</v>
      </c>
      <c r="G31" s="34" t="s">
        <v>1750</v>
      </c>
      <c r="H31" s="34" t="n">
        <v>30.933</v>
      </c>
      <c r="I31" s="34" t="n">
        <v>75.867</v>
      </c>
      <c r="J31" s="34" t="s">
        <v>891</v>
      </c>
      <c r="K31" s="34" t="n">
        <v>1996</v>
      </c>
      <c r="L31" s="34" t="s">
        <v>842</v>
      </c>
      <c r="M31" s="34" t="s">
        <v>978</v>
      </c>
      <c r="N31" s="34" t="s">
        <v>2147</v>
      </c>
      <c r="O31" s="34" t="s">
        <v>2168</v>
      </c>
      <c r="P31" s="34"/>
      <c r="Q31" s="34" t="n">
        <v>1.75</v>
      </c>
      <c r="R31" s="34"/>
      <c r="S31" s="34"/>
      <c r="T31" s="34"/>
      <c r="U31" s="34" t="n">
        <v>1.89</v>
      </c>
      <c r="V31" s="34"/>
      <c r="W31" s="34"/>
      <c r="X31" s="34"/>
      <c r="Y31" s="34"/>
      <c r="Z31" s="34"/>
      <c r="AA31" s="34"/>
      <c r="AB31" s="34" t="n">
        <v>4</v>
      </c>
      <c r="AC31" s="34" t="n">
        <v>3</v>
      </c>
      <c r="AD31" s="34" t="n">
        <f aca="false">IF(AND(N(AB31)&gt;0,N(AC31)&gt;0),SQRT(2*AB31/AC31),"")</f>
        <v>1.63299316185545</v>
      </c>
      <c r="AE31" s="34" t="n">
        <v>12</v>
      </c>
      <c r="AF31" s="34"/>
      <c r="AG31" s="34"/>
      <c r="AH31" s="34"/>
      <c r="AI31" s="34" t="n">
        <v>30.933</v>
      </c>
      <c r="AJ31" s="34" t="n">
        <v>3</v>
      </c>
      <c r="AK31" s="34"/>
      <c r="AL31" s="34"/>
      <c r="AM31" s="34"/>
      <c r="AN31" s="34" t="n">
        <v>3.3</v>
      </c>
      <c r="AO31" s="34"/>
      <c r="AP31" s="34" t="n">
        <v>71</v>
      </c>
      <c r="AQ31" s="34" t="n">
        <v>17</v>
      </c>
      <c r="AR31" s="34" t="s">
        <v>2140</v>
      </c>
      <c r="AS31" s="34" t="s">
        <v>1751</v>
      </c>
      <c r="AT31" s="34" t="s">
        <v>2176</v>
      </c>
      <c r="AU31" s="34" t="s">
        <v>1753</v>
      </c>
      <c r="AV31" s="34" t="s">
        <v>1898</v>
      </c>
      <c r="AW31" s="35" t="s">
        <v>2177</v>
      </c>
      <c r="AX31" s="34" t="s">
        <v>984</v>
      </c>
      <c r="AY31" s="34" t="s">
        <v>2178</v>
      </c>
    </row>
    <row r="32" customFormat="false" ht="14.25" hidden="false" customHeight="false" outlineLevel="0" collapsed="false">
      <c r="A32" s="34" t="n">
        <v>170</v>
      </c>
      <c r="B32" s="34" t="n">
        <v>170</v>
      </c>
      <c r="C32" s="34" t="s">
        <v>971</v>
      </c>
      <c r="D32" s="34" t="n">
        <v>2003</v>
      </c>
      <c r="E32" s="34" t="s">
        <v>854</v>
      </c>
      <c r="F32" s="34" t="s">
        <v>887</v>
      </c>
      <c r="G32" s="34" t="s">
        <v>1750</v>
      </c>
      <c r="H32" s="34" t="n">
        <v>30.933</v>
      </c>
      <c r="I32" s="34" t="n">
        <v>75.867</v>
      </c>
      <c r="J32" s="34" t="s">
        <v>891</v>
      </c>
      <c r="K32" s="34" t="n">
        <v>1996</v>
      </c>
      <c r="L32" s="34" t="s">
        <v>842</v>
      </c>
      <c r="M32" s="34" t="s">
        <v>978</v>
      </c>
      <c r="N32" s="34" t="s">
        <v>2147</v>
      </c>
      <c r="O32" s="34" t="s">
        <v>2169</v>
      </c>
      <c r="P32" s="34"/>
      <c r="Q32" s="34" t="n">
        <v>3.87</v>
      </c>
      <c r="R32" s="34"/>
      <c r="S32" s="34"/>
      <c r="T32" s="34"/>
      <c r="U32" s="34" t="n">
        <v>2.89</v>
      </c>
      <c r="V32" s="34"/>
      <c r="W32" s="34"/>
      <c r="X32" s="34"/>
      <c r="Y32" s="34"/>
      <c r="Z32" s="34"/>
      <c r="AA32" s="34"/>
      <c r="AB32" s="34" t="n">
        <v>4</v>
      </c>
      <c r="AC32" s="34" t="n">
        <v>3</v>
      </c>
      <c r="AD32" s="34" t="n">
        <f aca="false">IF(AND(N(AB32)&gt;0,N(AC32)&gt;0),SQRT(2*AB32/AC32),"")</f>
        <v>1.63299316185545</v>
      </c>
      <c r="AE32" s="34" t="n">
        <v>12</v>
      </c>
      <c r="AF32" s="34"/>
      <c r="AG32" s="34"/>
      <c r="AH32" s="34"/>
      <c r="AI32" s="34" t="n">
        <v>30.933</v>
      </c>
      <c r="AJ32" s="34" t="n">
        <v>3</v>
      </c>
      <c r="AK32" s="34"/>
      <c r="AL32" s="34"/>
      <c r="AM32" s="34"/>
      <c r="AN32" s="34" t="n">
        <v>3.3</v>
      </c>
      <c r="AO32" s="34"/>
      <c r="AP32" s="34" t="n">
        <v>71</v>
      </c>
      <c r="AQ32" s="34" t="n">
        <v>17</v>
      </c>
      <c r="AR32" s="34" t="s">
        <v>2140</v>
      </c>
      <c r="AS32" s="34" t="s">
        <v>1751</v>
      </c>
      <c r="AT32" s="34" t="s">
        <v>2176</v>
      </c>
      <c r="AU32" s="34" t="s">
        <v>1753</v>
      </c>
      <c r="AV32" s="34" t="s">
        <v>1898</v>
      </c>
      <c r="AW32" s="35" t="s">
        <v>2179</v>
      </c>
      <c r="AX32" s="34" t="s">
        <v>984</v>
      </c>
      <c r="AY32" s="34" t="s">
        <v>2178</v>
      </c>
    </row>
    <row r="33" customFormat="false" ht="14.25" hidden="false" customHeight="false" outlineLevel="0" collapsed="false">
      <c r="A33" s="34" t="n">
        <v>170</v>
      </c>
      <c r="B33" s="34" t="n">
        <v>170</v>
      </c>
      <c r="C33" s="34" t="s">
        <v>971</v>
      </c>
      <c r="D33" s="34" t="n">
        <v>2003</v>
      </c>
      <c r="E33" s="34" t="s">
        <v>854</v>
      </c>
      <c r="F33" s="34" t="s">
        <v>887</v>
      </c>
      <c r="G33" s="34" t="s">
        <v>1750</v>
      </c>
      <c r="H33" s="34" t="n">
        <v>30.933</v>
      </c>
      <c r="I33" s="34" t="n">
        <v>75.867</v>
      </c>
      <c r="J33" s="34" t="s">
        <v>891</v>
      </c>
      <c r="K33" s="34" t="n">
        <v>1996</v>
      </c>
      <c r="L33" s="34" t="s">
        <v>842</v>
      </c>
      <c r="M33" s="34" t="s">
        <v>978</v>
      </c>
      <c r="N33" s="34" t="s">
        <v>2150</v>
      </c>
      <c r="O33" s="34" t="s">
        <v>2170</v>
      </c>
      <c r="P33" s="34"/>
      <c r="Q33" s="34" t="n">
        <v>4.33</v>
      </c>
      <c r="R33" s="34"/>
      <c r="S33" s="34"/>
      <c r="T33" s="34"/>
      <c r="U33" s="34" t="n">
        <v>3.5</v>
      </c>
      <c r="V33" s="34"/>
      <c r="W33" s="34"/>
      <c r="X33" s="34"/>
      <c r="Y33" s="34"/>
      <c r="Z33" s="34"/>
      <c r="AA33" s="34"/>
      <c r="AB33" s="34" t="n">
        <v>4</v>
      </c>
      <c r="AC33" s="34" t="n">
        <v>3</v>
      </c>
      <c r="AD33" s="34" t="n">
        <f aca="false">IF(AND(N(AB33)&gt;0,N(AC33)&gt;0),SQRT(2*AB33/AC33),"")</f>
        <v>1.63299316185545</v>
      </c>
      <c r="AE33" s="34" t="n">
        <v>12</v>
      </c>
      <c r="AF33" s="34"/>
      <c r="AG33" s="34"/>
      <c r="AH33" s="34"/>
      <c r="AI33" s="34" t="n">
        <v>30.933</v>
      </c>
      <c r="AJ33" s="34" t="n">
        <v>3</v>
      </c>
      <c r="AK33" s="34"/>
      <c r="AL33" s="34"/>
      <c r="AM33" s="34"/>
      <c r="AN33" s="34" t="n">
        <v>3.3</v>
      </c>
      <c r="AO33" s="34"/>
      <c r="AP33" s="34" t="n">
        <v>71</v>
      </c>
      <c r="AQ33" s="34" t="n">
        <v>17</v>
      </c>
      <c r="AR33" s="34" t="s">
        <v>2140</v>
      </c>
      <c r="AS33" s="34" t="s">
        <v>1751</v>
      </c>
      <c r="AT33" s="34" t="s">
        <v>2176</v>
      </c>
      <c r="AU33" s="34" t="s">
        <v>1753</v>
      </c>
      <c r="AV33" s="34" t="s">
        <v>1898</v>
      </c>
      <c r="AW33" s="35" t="s">
        <v>2177</v>
      </c>
      <c r="AX33" s="34" t="s">
        <v>984</v>
      </c>
      <c r="AY33" s="34" t="s">
        <v>2178</v>
      </c>
    </row>
    <row r="34" customFormat="false" ht="14.25" hidden="false" customHeight="false" outlineLevel="0" collapsed="false">
      <c r="A34" s="34" t="n">
        <v>170</v>
      </c>
      <c r="B34" s="34" t="n">
        <v>170</v>
      </c>
      <c r="C34" s="34" t="s">
        <v>971</v>
      </c>
      <c r="D34" s="34" t="n">
        <v>2003</v>
      </c>
      <c r="E34" s="34" t="s">
        <v>854</v>
      </c>
      <c r="F34" s="34" t="s">
        <v>887</v>
      </c>
      <c r="G34" s="34" t="s">
        <v>1750</v>
      </c>
      <c r="H34" s="34" t="n">
        <v>30.933</v>
      </c>
      <c r="I34" s="34" t="n">
        <v>75.867</v>
      </c>
      <c r="J34" s="34" t="s">
        <v>891</v>
      </c>
      <c r="K34" s="34" t="n">
        <v>1996</v>
      </c>
      <c r="L34" s="34" t="s">
        <v>842</v>
      </c>
      <c r="M34" s="34" t="s">
        <v>978</v>
      </c>
      <c r="N34" s="34" t="s">
        <v>2150</v>
      </c>
      <c r="O34" s="34" t="s">
        <v>2171</v>
      </c>
      <c r="P34" s="34"/>
      <c r="Q34" s="34" t="n">
        <v>4.07</v>
      </c>
      <c r="R34" s="34"/>
      <c r="S34" s="34"/>
      <c r="T34" s="34"/>
      <c r="U34" s="34" t="n">
        <v>3.83</v>
      </c>
      <c r="V34" s="34"/>
      <c r="W34" s="34"/>
      <c r="X34" s="34"/>
      <c r="Y34" s="34"/>
      <c r="Z34" s="34"/>
      <c r="AA34" s="34"/>
      <c r="AB34" s="34" t="n">
        <v>4</v>
      </c>
      <c r="AC34" s="34" t="n">
        <v>3</v>
      </c>
      <c r="AD34" s="34" t="n">
        <f aca="false">IF(AND(N(AB34)&gt;0,N(AC34)&gt;0),SQRT(2*AB34/AC34),"")</f>
        <v>1.63299316185545</v>
      </c>
      <c r="AE34" s="34" t="n">
        <v>12</v>
      </c>
      <c r="AF34" s="34"/>
      <c r="AG34" s="34"/>
      <c r="AH34" s="34"/>
      <c r="AI34" s="34" t="n">
        <v>30.933</v>
      </c>
      <c r="AJ34" s="34" t="n">
        <v>3</v>
      </c>
      <c r="AK34" s="34"/>
      <c r="AL34" s="34"/>
      <c r="AM34" s="34"/>
      <c r="AN34" s="34" t="n">
        <v>3.3</v>
      </c>
      <c r="AO34" s="34"/>
      <c r="AP34" s="34" t="n">
        <v>71</v>
      </c>
      <c r="AQ34" s="34" t="n">
        <v>17</v>
      </c>
      <c r="AR34" s="34" t="s">
        <v>2140</v>
      </c>
      <c r="AS34" s="34" t="s">
        <v>1751</v>
      </c>
      <c r="AT34" s="34" t="s">
        <v>2176</v>
      </c>
      <c r="AU34" s="34" t="s">
        <v>1753</v>
      </c>
      <c r="AV34" s="34" t="s">
        <v>1898</v>
      </c>
      <c r="AW34" s="35" t="s">
        <v>2177</v>
      </c>
      <c r="AX34" s="34" t="s">
        <v>984</v>
      </c>
      <c r="AY34" s="34" t="s">
        <v>2178</v>
      </c>
    </row>
    <row r="35" customFormat="false" ht="14.25" hidden="false" customHeight="false" outlineLevel="0" collapsed="false">
      <c r="A35" s="24" t="n">
        <v>170</v>
      </c>
      <c r="B35" s="24" t="n">
        <v>170</v>
      </c>
      <c r="C35" s="24" t="s">
        <v>971</v>
      </c>
      <c r="D35" s="24" t="n">
        <v>2003</v>
      </c>
      <c r="E35" s="24" t="s">
        <v>854</v>
      </c>
      <c r="F35" s="24" t="s">
        <v>887</v>
      </c>
      <c r="G35" s="24" t="s">
        <v>1750</v>
      </c>
      <c r="H35" s="24" t="n">
        <v>30.933</v>
      </c>
      <c r="I35" s="24" t="n">
        <v>75.867</v>
      </c>
      <c r="J35" s="24" t="s">
        <v>891</v>
      </c>
      <c r="K35" s="24" t="s">
        <v>1773</v>
      </c>
      <c r="L35" s="24" t="s">
        <v>842</v>
      </c>
      <c r="M35" s="24" t="s">
        <v>978</v>
      </c>
      <c r="N35" s="24" t="s">
        <v>2138</v>
      </c>
      <c r="O35" s="24" t="s">
        <v>1720</v>
      </c>
      <c r="P35" s="24"/>
      <c r="Q35" s="24" t="n">
        <v>0.05</v>
      </c>
      <c r="R35" s="24"/>
      <c r="S35" s="24"/>
      <c r="T35" s="24"/>
      <c r="U35" s="24" t="n">
        <v>0.05</v>
      </c>
      <c r="V35" s="24"/>
      <c r="W35" s="24"/>
      <c r="X35" s="24"/>
      <c r="Y35" s="24"/>
      <c r="Z35" s="24"/>
      <c r="AA35" s="24"/>
      <c r="AB35" s="24" t="n">
        <v>4</v>
      </c>
      <c r="AC35" s="24" t="n">
        <v>3</v>
      </c>
      <c r="AD35" s="24" t="n">
        <f aca="false">IF(AND(N(AB35)&gt;0,N(AC35)&gt;0),SQRT(2*AB35/AC35),"")</f>
        <v>1.63299316185545</v>
      </c>
      <c r="AE35" s="24" t="n">
        <v>12</v>
      </c>
      <c r="AF35" s="24"/>
      <c r="AG35" s="24"/>
      <c r="AH35" s="24"/>
      <c r="AI35" s="24" t="n">
        <v>30.933</v>
      </c>
      <c r="AJ35" s="24" t="n">
        <v>3</v>
      </c>
      <c r="AK35" s="24"/>
      <c r="AL35" s="24"/>
      <c r="AM35" s="24"/>
      <c r="AN35" s="24" t="n">
        <v>3.3</v>
      </c>
      <c r="AO35" s="24"/>
      <c r="AP35" s="24" t="n">
        <v>71</v>
      </c>
      <c r="AQ35" s="24" t="n">
        <v>17</v>
      </c>
      <c r="AR35" s="24" t="s">
        <v>2140</v>
      </c>
      <c r="AS35" s="24" t="s">
        <v>1751</v>
      </c>
      <c r="AT35" s="24" t="s">
        <v>2180</v>
      </c>
      <c r="AU35" s="24" t="s">
        <v>1753</v>
      </c>
      <c r="AV35" s="24" t="s">
        <v>1902</v>
      </c>
      <c r="AW35" s="25" t="s">
        <v>2181</v>
      </c>
      <c r="AX35" s="24" t="s">
        <v>984</v>
      </c>
      <c r="AY35" s="24" t="s">
        <v>2178</v>
      </c>
    </row>
    <row r="36" customFormat="false" ht="14.25" hidden="false" customHeight="false" outlineLevel="0" collapsed="false">
      <c r="A36" s="24" t="n">
        <v>170</v>
      </c>
      <c r="B36" s="24" t="n">
        <v>170</v>
      </c>
      <c r="C36" s="24" t="s">
        <v>971</v>
      </c>
      <c r="D36" s="24" t="n">
        <v>2003</v>
      </c>
      <c r="E36" s="24" t="s">
        <v>854</v>
      </c>
      <c r="F36" s="24" t="s">
        <v>887</v>
      </c>
      <c r="G36" s="24" t="s">
        <v>1750</v>
      </c>
      <c r="H36" s="24" t="n">
        <v>30.933</v>
      </c>
      <c r="I36" s="24" t="n">
        <v>75.867</v>
      </c>
      <c r="J36" s="24" t="s">
        <v>891</v>
      </c>
      <c r="K36" s="24" t="s">
        <v>1773</v>
      </c>
      <c r="L36" s="24" t="s">
        <v>842</v>
      </c>
      <c r="M36" s="24" t="s">
        <v>978</v>
      </c>
      <c r="N36" s="24" t="s">
        <v>2138</v>
      </c>
      <c r="O36" s="24" t="s">
        <v>1757</v>
      </c>
      <c r="P36" s="24"/>
      <c r="Q36" s="24" t="n">
        <v>0.56</v>
      </c>
      <c r="R36" s="24"/>
      <c r="S36" s="24"/>
      <c r="T36" s="24"/>
      <c r="U36" s="24" t="n">
        <v>0.56</v>
      </c>
      <c r="V36" s="24"/>
      <c r="W36" s="24"/>
      <c r="X36" s="24"/>
      <c r="Y36" s="24"/>
      <c r="Z36" s="24"/>
      <c r="AA36" s="24"/>
      <c r="AB36" s="24" t="n">
        <v>4</v>
      </c>
      <c r="AC36" s="24" t="n">
        <v>3</v>
      </c>
      <c r="AD36" s="24" t="n">
        <f aca="false">IF(AND(N(AB36)&gt;0,N(AC36)&gt;0),SQRT(2*AB36/AC36),"")</f>
        <v>1.63299316185545</v>
      </c>
      <c r="AE36" s="24" t="n">
        <v>12</v>
      </c>
      <c r="AF36" s="24"/>
      <c r="AG36" s="24"/>
      <c r="AH36" s="24"/>
      <c r="AI36" s="24" t="n">
        <v>30.933</v>
      </c>
      <c r="AJ36" s="24" t="n">
        <v>3</v>
      </c>
      <c r="AK36" s="24"/>
      <c r="AL36" s="24"/>
      <c r="AM36" s="24"/>
      <c r="AN36" s="24" t="n">
        <v>3.3</v>
      </c>
      <c r="AO36" s="24"/>
      <c r="AP36" s="24" t="n">
        <v>71</v>
      </c>
      <c r="AQ36" s="24" t="n">
        <v>17</v>
      </c>
      <c r="AR36" s="24" t="s">
        <v>2140</v>
      </c>
      <c r="AS36" s="24" t="s">
        <v>1751</v>
      </c>
      <c r="AT36" s="24" t="s">
        <v>2180</v>
      </c>
      <c r="AU36" s="24" t="s">
        <v>1753</v>
      </c>
      <c r="AV36" s="24" t="s">
        <v>1902</v>
      </c>
      <c r="AW36" s="25" t="s">
        <v>2181</v>
      </c>
      <c r="AX36" s="24" t="s">
        <v>984</v>
      </c>
      <c r="AY36" s="24" t="s">
        <v>2178</v>
      </c>
    </row>
    <row r="37" customFormat="false" ht="14.25" hidden="false" customHeight="false" outlineLevel="0" collapsed="false">
      <c r="A37" s="24" t="n">
        <v>170</v>
      </c>
      <c r="B37" s="24" t="n">
        <v>170</v>
      </c>
      <c r="C37" s="24" t="s">
        <v>971</v>
      </c>
      <c r="D37" s="24" t="n">
        <v>2003</v>
      </c>
      <c r="E37" s="24" t="s">
        <v>854</v>
      </c>
      <c r="F37" s="24" t="s">
        <v>887</v>
      </c>
      <c r="G37" s="24" t="s">
        <v>1750</v>
      </c>
      <c r="H37" s="24" t="n">
        <v>30.933</v>
      </c>
      <c r="I37" s="24" t="n">
        <v>75.867</v>
      </c>
      <c r="J37" s="24" t="s">
        <v>891</v>
      </c>
      <c r="K37" s="24" t="s">
        <v>1773</v>
      </c>
      <c r="L37" s="24" t="s">
        <v>842</v>
      </c>
      <c r="M37" s="24" t="s">
        <v>978</v>
      </c>
      <c r="N37" s="24" t="s">
        <v>2147</v>
      </c>
      <c r="O37" s="24" t="s">
        <v>2168</v>
      </c>
      <c r="P37" s="24"/>
      <c r="Q37" s="24" t="n">
        <v>1.01</v>
      </c>
      <c r="R37" s="24"/>
      <c r="S37" s="24"/>
      <c r="T37" s="24"/>
      <c r="U37" s="24" t="n">
        <v>1.01</v>
      </c>
      <c r="V37" s="24"/>
      <c r="W37" s="24"/>
      <c r="X37" s="24"/>
      <c r="Y37" s="24"/>
      <c r="Z37" s="24"/>
      <c r="AA37" s="24"/>
      <c r="AB37" s="24" t="n">
        <v>4</v>
      </c>
      <c r="AC37" s="24" t="n">
        <v>3</v>
      </c>
      <c r="AD37" s="24" t="n">
        <f aca="false">IF(AND(N(AB37)&gt;0,N(AC37)&gt;0),SQRT(2*AB37/AC37),"")</f>
        <v>1.63299316185545</v>
      </c>
      <c r="AE37" s="24" t="n">
        <v>12</v>
      </c>
      <c r="AF37" s="24"/>
      <c r="AG37" s="24"/>
      <c r="AH37" s="24"/>
      <c r="AI37" s="24" t="n">
        <v>30.933</v>
      </c>
      <c r="AJ37" s="24" t="n">
        <v>3</v>
      </c>
      <c r="AK37" s="24"/>
      <c r="AL37" s="24"/>
      <c r="AM37" s="24"/>
      <c r="AN37" s="24" t="n">
        <v>3.3</v>
      </c>
      <c r="AO37" s="24"/>
      <c r="AP37" s="24" t="n">
        <v>71</v>
      </c>
      <c r="AQ37" s="24" t="n">
        <v>17</v>
      </c>
      <c r="AR37" s="24" t="s">
        <v>2140</v>
      </c>
      <c r="AS37" s="24" t="s">
        <v>1751</v>
      </c>
      <c r="AT37" s="24" t="s">
        <v>2180</v>
      </c>
      <c r="AU37" s="24" t="s">
        <v>1753</v>
      </c>
      <c r="AV37" s="24" t="s">
        <v>1902</v>
      </c>
      <c r="AW37" s="25" t="s">
        <v>2181</v>
      </c>
      <c r="AX37" s="24" t="s">
        <v>984</v>
      </c>
      <c r="AY37" s="24" t="s">
        <v>2178</v>
      </c>
    </row>
    <row r="38" customFormat="false" ht="14.25" hidden="false" customHeight="false" outlineLevel="0" collapsed="false">
      <c r="A38" s="24" t="n">
        <v>170</v>
      </c>
      <c r="B38" s="24" t="n">
        <v>170</v>
      </c>
      <c r="C38" s="24" t="s">
        <v>971</v>
      </c>
      <c r="D38" s="24" t="n">
        <v>2003</v>
      </c>
      <c r="E38" s="24" t="s">
        <v>854</v>
      </c>
      <c r="F38" s="24" t="s">
        <v>887</v>
      </c>
      <c r="G38" s="24" t="s">
        <v>1750</v>
      </c>
      <c r="H38" s="24" t="n">
        <v>30.933</v>
      </c>
      <c r="I38" s="24" t="n">
        <v>75.867</v>
      </c>
      <c r="J38" s="24" t="s">
        <v>891</v>
      </c>
      <c r="K38" s="24" t="s">
        <v>1773</v>
      </c>
      <c r="L38" s="24" t="s">
        <v>842</v>
      </c>
      <c r="M38" s="24" t="s">
        <v>978</v>
      </c>
      <c r="N38" s="24" t="s">
        <v>2147</v>
      </c>
      <c r="O38" s="24" t="s">
        <v>2169</v>
      </c>
      <c r="P38" s="24"/>
      <c r="Q38" s="24" t="n">
        <v>3.2</v>
      </c>
      <c r="R38" s="24"/>
      <c r="S38" s="24"/>
      <c r="T38" s="24"/>
      <c r="U38" s="24" t="n">
        <v>2.77</v>
      </c>
      <c r="V38" s="24"/>
      <c r="W38" s="24"/>
      <c r="X38" s="24"/>
      <c r="Y38" s="24"/>
      <c r="Z38" s="24"/>
      <c r="AA38" s="24"/>
      <c r="AB38" s="24" t="n">
        <v>4</v>
      </c>
      <c r="AC38" s="24" t="n">
        <v>3</v>
      </c>
      <c r="AD38" s="24" t="n">
        <f aca="false">IF(AND(N(AB38)&gt;0,N(AC38)&gt;0),SQRT(2*AB38/AC38),"")</f>
        <v>1.63299316185545</v>
      </c>
      <c r="AE38" s="24" t="n">
        <v>12</v>
      </c>
      <c r="AF38" s="24"/>
      <c r="AG38" s="24"/>
      <c r="AH38" s="24"/>
      <c r="AI38" s="24" t="n">
        <v>30.933</v>
      </c>
      <c r="AJ38" s="24" t="n">
        <v>3</v>
      </c>
      <c r="AK38" s="24"/>
      <c r="AL38" s="24"/>
      <c r="AM38" s="24"/>
      <c r="AN38" s="24" t="n">
        <v>3.3</v>
      </c>
      <c r="AO38" s="24"/>
      <c r="AP38" s="24" t="n">
        <v>71</v>
      </c>
      <c r="AQ38" s="24" t="n">
        <v>17</v>
      </c>
      <c r="AR38" s="24" t="s">
        <v>2140</v>
      </c>
      <c r="AS38" s="24" t="s">
        <v>1751</v>
      </c>
      <c r="AT38" s="24" t="s">
        <v>2180</v>
      </c>
      <c r="AU38" s="24" t="s">
        <v>1753</v>
      </c>
      <c r="AV38" s="24" t="s">
        <v>1902</v>
      </c>
      <c r="AW38" s="25" t="s">
        <v>2182</v>
      </c>
      <c r="AX38" s="24" t="s">
        <v>984</v>
      </c>
      <c r="AY38" s="24" t="s">
        <v>2178</v>
      </c>
    </row>
    <row r="39" customFormat="false" ht="14.25" hidden="false" customHeight="false" outlineLevel="0" collapsed="false">
      <c r="A39" s="24" t="n">
        <v>170</v>
      </c>
      <c r="B39" s="24" t="n">
        <v>170</v>
      </c>
      <c r="C39" s="24" t="s">
        <v>971</v>
      </c>
      <c r="D39" s="24" t="n">
        <v>2003</v>
      </c>
      <c r="E39" s="24" t="s">
        <v>854</v>
      </c>
      <c r="F39" s="24" t="s">
        <v>887</v>
      </c>
      <c r="G39" s="24" t="s">
        <v>1750</v>
      </c>
      <c r="H39" s="24" t="n">
        <v>30.933</v>
      </c>
      <c r="I39" s="24" t="n">
        <v>75.867</v>
      </c>
      <c r="J39" s="24" t="s">
        <v>891</v>
      </c>
      <c r="K39" s="24" t="s">
        <v>1773</v>
      </c>
      <c r="L39" s="24" t="s">
        <v>842</v>
      </c>
      <c r="M39" s="24" t="s">
        <v>978</v>
      </c>
      <c r="N39" s="24" t="s">
        <v>2150</v>
      </c>
      <c r="O39" s="24" t="s">
        <v>2170</v>
      </c>
      <c r="P39" s="24"/>
      <c r="Q39" s="24" t="n">
        <v>3.78</v>
      </c>
      <c r="R39" s="24"/>
      <c r="S39" s="24"/>
      <c r="T39" s="24"/>
      <c r="U39" s="24" t="n">
        <v>3.31</v>
      </c>
      <c r="V39" s="24"/>
      <c r="W39" s="24"/>
      <c r="X39" s="24"/>
      <c r="Y39" s="24"/>
      <c r="Z39" s="24"/>
      <c r="AA39" s="24"/>
      <c r="AB39" s="24" t="n">
        <v>4</v>
      </c>
      <c r="AC39" s="24" t="n">
        <v>3</v>
      </c>
      <c r="AD39" s="24" t="n">
        <f aca="false">IF(AND(N(AB39)&gt;0,N(AC39)&gt;0),SQRT(2*AB39/AC39),"")</f>
        <v>1.63299316185545</v>
      </c>
      <c r="AE39" s="24" t="n">
        <v>12</v>
      </c>
      <c r="AF39" s="24"/>
      <c r="AG39" s="24"/>
      <c r="AH39" s="24"/>
      <c r="AI39" s="24" t="n">
        <v>30.933</v>
      </c>
      <c r="AJ39" s="24" t="n">
        <v>3</v>
      </c>
      <c r="AK39" s="24"/>
      <c r="AL39" s="24"/>
      <c r="AM39" s="24"/>
      <c r="AN39" s="24" t="n">
        <v>3.3</v>
      </c>
      <c r="AO39" s="24"/>
      <c r="AP39" s="24" t="n">
        <v>71</v>
      </c>
      <c r="AQ39" s="24" t="n">
        <v>17</v>
      </c>
      <c r="AR39" s="24" t="s">
        <v>2140</v>
      </c>
      <c r="AS39" s="24" t="s">
        <v>1751</v>
      </c>
      <c r="AT39" s="24" t="s">
        <v>2180</v>
      </c>
      <c r="AU39" s="24" t="s">
        <v>1753</v>
      </c>
      <c r="AV39" s="24" t="s">
        <v>1902</v>
      </c>
      <c r="AW39" s="25" t="s">
        <v>2182</v>
      </c>
      <c r="AX39" s="24" t="s">
        <v>984</v>
      </c>
      <c r="AY39" s="24" t="s">
        <v>2178</v>
      </c>
    </row>
    <row r="40" customFormat="false" ht="14.25" hidden="false" customHeight="false" outlineLevel="0" collapsed="false">
      <c r="A40" s="24" t="n">
        <v>170</v>
      </c>
      <c r="B40" s="24" t="n">
        <v>170</v>
      </c>
      <c r="C40" s="24" t="s">
        <v>971</v>
      </c>
      <c r="D40" s="24" t="n">
        <v>2003</v>
      </c>
      <c r="E40" s="24" t="s">
        <v>854</v>
      </c>
      <c r="F40" s="24" t="s">
        <v>887</v>
      </c>
      <c r="G40" s="24" t="s">
        <v>1750</v>
      </c>
      <c r="H40" s="24" t="n">
        <v>30.933</v>
      </c>
      <c r="I40" s="24" t="n">
        <v>75.867</v>
      </c>
      <c r="J40" s="24" t="s">
        <v>891</v>
      </c>
      <c r="K40" s="24" t="s">
        <v>1773</v>
      </c>
      <c r="L40" s="24" t="s">
        <v>842</v>
      </c>
      <c r="M40" s="24" t="s">
        <v>978</v>
      </c>
      <c r="N40" s="24" t="s">
        <v>2150</v>
      </c>
      <c r="O40" s="24" t="s">
        <v>2171</v>
      </c>
      <c r="P40" s="24"/>
      <c r="Q40" s="24" t="n">
        <v>4.06</v>
      </c>
      <c r="R40" s="24"/>
      <c r="S40" s="24"/>
      <c r="T40" s="24"/>
      <c r="U40" s="24" t="n">
        <v>3.9</v>
      </c>
      <c r="V40" s="24"/>
      <c r="W40" s="24"/>
      <c r="X40" s="24"/>
      <c r="Y40" s="24"/>
      <c r="Z40" s="24"/>
      <c r="AA40" s="24"/>
      <c r="AB40" s="24" t="n">
        <v>4</v>
      </c>
      <c r="AC40" s="24" t="n">
        <v>3</v>
      </c>
      <c r="AD40" s="24" t="n">
        <f aca="false">IF(AND(N(AB40)&gt;0,N(AC40)&gt;0),SQRT(2*AB40/AC40),"")</f>
        <v>1.63299316185545</v>
      </c>
      <c r="AE40" s="24" t="n">
        <v>12</v>
      </c>
      <c r="AF40" s="24"/>
      <c r="AG40" s="24"/>
      <c r="AH40" s="24"/>
      <c r="AI40" s="24" t="n">
        <v>30.933</v>
      </c>
      <c r="AJ40" s="24" t="n">
        <v>3</v>
      </c>
      <c r="AK40" s="24"/>
      <c r="AL40" s="24"/>
      <c r="AM40" s="24"/>
      <c r="AN40" s="24" t="n">
        <v>3.3</v>
      </c>
      <c r="AO40" s="24"/>
      <c r="AP40" s="24" t="n">
        <v>71</v>
      </c>
      <c r="AQ40" s="24" t="n">
        <v>17</v>
      </c>
      <c r="AR40" s="24" t="s">
        <v>2140</v>
      </c>
      <c r="AS40" s="24" t="s">
        <v>1751</v>
      </c>
      <c r="AT40" s="24" t="s">
        <v>2180</v>
      </c>
      <c r="AU40" s="24" t="s">
        <v>1753</v>
      </c>
      <c r="AV40" s="24" t="s">
        <v>1902</v>
      </c>
      <c r="AW40" s="25" t="s">
        <v>2182</v>
      </c>
      <c r="AX40" s="24" t="s">
        <v>984</v>
      </c>
      <c r="AY40" s="24" t="s">
        <v>2178</v>
      </c>
    </row>
    <row r="41" customFormat="false" ht="14.25" hidden="false" customHeight="false" outlineLevel="0" collapsed="false">
      <c r="A41" s="34" t="n">
        <v>170</v>
      </c>
      <c r="B41" s="34" t="n">
        <v>170</v>
      </c>
      <c r="C41" s="34" t="s">
        <v>971</v>
      </c>
      <c r="D41" s="34" t="n">
        <v>2003</v>
      </c>
      <c r="E41" s="34" t="s">
        <v>854</v>
      </c>
      <c r="F41" s="34" t="s">
        <v>887</v>
      </c>
      <c r="G41" s="34" t="s">
        <v>1750</v>
      </c>
      <c r="H41" s="34" t="n">
        <v>30.933</v>
      </c>
      <c r="I41" s="34" t="n">
        <v>75.867</v>
      </c>
      <c r="J41" s="34" t="s">
        <v>891</v>
      </c>
      <c r="K41" s="34" t="n">
        <v>1994</v>
      </c>
      <c r="L41" s="34" t="s">
        <v>842</v>
      </c>
      <c r="M41" s="34" t="s">
        <v>978</v>
      </c>
      <c r="N41" s="34" t="s">
        <v>2147</v>
      </c>
      <c r="O41" s="34" t="s">
        <v>2169</v>
      </c>
      <c r="P41" s="34"/>
      <c r="Q41" s="34" t="n">
        <v>3.19</v>
      </c>
      <c r="R41" s="34"/>
      <c r="S41" s="34"/>
      <c r="T41" s="34"/>
      <c r="U41" s="34" t="n">
        <v>3.2</v>
      </c>
      <c r="V41" s="34"/>
      <c r="W41" s="34"/>
      <c r="X41" s="34"/>
      <c r="Y41" s="34"/>
      <c r="Z41" s="34"/>
      <c r="AA41" s="34"/>
      <c r="AB41" s="34" t="n">
        <v>2</v>
      </c>
      <c r="AC41" s="34" t="n">
        <v>3</v>
      </c>
      <c r="AD41" s="34" t="n">
        <f aca="false">IF(AND(N(AB41)&gt;0,N(AC41)&gt;0),SQRT(2*AB41/AC41),"")</f>
        <v>1.15470053837925</v>
      </c>
      <c r="AE41" s="34" t="n">
        <v>12</v>
      </c>
      <c r="AF41" s="34"/>
      <c r="AG41" s="34"/>
      <c r="AH41" s="34"/>
      <c r="AI41" s="34" t="n">
        <v>30.933</v>
      </c>
      <c r="AJ41" s="34" t="n">
        <v>1</v>
      </c>
      <c r="AK41" s="34"/>
      <c r="AL41" s="34"/>
      <c r="AM41" s="34"/>
      <c r="AN41" s="34" t="n">
        <v>3.3</v>
      </c>
      <c r="AO41" s="34"/>
      <c r="AP41" s="34" t="n">
        <v>71</v>
      </c>
      <c r="AQ41" s="34" t="n">
        <v>17</v>
      </c>
      <c r="AR41" s="34" t="s">
        <v>2140</v>
      </c>
      <c r="AS41" s="34" t="s">
        <v>1751</v>
      </c>
      <c r="AT41" s="34" t="s">
        <v>1783</v>
      </c>
      <c r="AU41" s="34" t="s">
        <v>1753</v>
      </c>
      <c r="AV41" s="34" t="s">
        <v>1670</v>
      </c>
      <c r="AW41" s="35" t="s">
        <v>2183</v>
      </c>
      <c r="AX41" s="34" t="s">
        <v>984</v>
      </c>
      <c r="AY41" s="34" t="s">
        <v>2178</v>
      </c>
    </row>
    <row r="42" customFormat="false" ht="14.25" hidden="false" customHeight="false" outlineLevel="0" collapsed="false">
      <c r="A42" s="34" t="n">
        <v>170</v>
      </c>
      <c r="B42" s="34" t="n">
        <v>170</v>
      </c>
      <c r="C42" s="34" t="s">
        <v>971</v>
      </c>
      <c r="D42" s="34" t="n">
        <v>2003</v>
      </c>
      <c r="E42" s="34" t="s">
        <v>854</v>
      </c>
      <c r="F42" s="34" t="s">
        <v>887</v>
      </c>
      <c r="G42" s="34" t="s">
        <v>1750</v>
      </c>
      <c r="H42" s="34" t="n">
        <v>30.933</v>
      </c>
      <c r="I42" s="34" t="n">
        <v>75.867</v>
      </c>
      <c r="J42" s="34" t="s">
        <v>891</v>
      </c>
      <c r="K42" s="34" t="n">
        <v>1995</v>
      </c>
      <c r="L42" s="34" t="s">
        <v>842</v>
      </c>
      <c r="M42" s="34" t="s">
        <v>978</v>
      </c>
      <c r="N42" s="34" t="s">
        <v>2147</v>
      </c>
      <c r="O42" s="34" t="s">
        <v>2169</v>
      </c>
      <c r="P42" s="34"/>
      <c r="Q42" s="34" t="n">
        <v>3.64</v>
      </c>
      <c r="R42" s="34"/>
      <c r="S42" s="34"/>
      <c r="T42" s="34"/>
      <c r="U42" s="34" t="n">
        <v>3.23</v>
      </c>
      <c r="V42" s="34"/>
      <c r="W42" s="34"/>
      <c r="X42" s="34"/>
      <c r="Y42" s="34"/>
      <c r="Z42" s="34"/>
      <c r="AA42" s="34"/>
      <c r="AB42" s="34" t="n">
        <v>2</v>
      </c>
      <c r="AC42" s="34" t="n">
        <v>3</v>
      </c>
      <c r="AD42" s="34" t="n">
        <f aca="false">IF(AND(N(AB42)&gt;0,N(AC42)&gt;0),SQRT(2*AB42/AC42),"")</f>
        <v>1.15470053837925</v>
      </c>
      <c r="AE42" s="34" t="n">
        <v>12</v>
      </c>
      <c r="AF42" s="34"/>
      <c r="AG42" s="34"/>
      <c r="AH42" s="34"/>
      <c r="AI42" s="34" t="n">
        <v>30.933</v>
      </c>
      <c r="AJ42" s="34" t="n">
        <v>2</v>
      </c>
      <c r="AK42" s="34"/>
      <c r="AL42" s="34"/>
      <c r="AM42" s="34"/>
      <c r="AN42" s="34" t="n">
        <v>3.3</v>
      </c>
      <c r="AO42" s="34"/>
      <c r="AP42" s="34" t="n">
        <v>71</v>
      </c>
      <c r="AQ42" s="34" t="n">
        <v>17</v>
      </c>
      <c r="AR42" s="34" t="s">
        <v>2140</v>
      </c>
      <c r="AS42" s="34" t="s">
        <v>1751</v>
      </c>
      <c r="AT42" s="34" t="s">
        <v>1786</v>
      </c>
      <c r="AU42" s="34" t="s">
        <v>1753</v>
      </c>
      <c r="AV42" s="34" t="s">
        <v>1670</v>
      </c>
      <c r="AW42" s="35" t="s">
        <v>2184</v>
      </c>
      <c r="AX42" s="34" t="s">
        <v>984</v>
      </c>
      <c r="AY42" s="34" t="s">
        <v>2178</v>
      </c>
    </row>
    <row r="43" customFormat="false" ht="14.25" hidden="false" customHeight="false" outlineLevel="0" collapsed="false">
      <c r="A43" s="34" t="n">
        <v>170</v>
      </c>
      <c r="B43" s="34" t="n">
        <v>170</v>
      </c>
      <c r="C43" s="34" t="s">
        <v>971</v>
      </c>
      <c r="D43" s="34" t="n">
        <v>2003</v>
      </c>
      <c r="E43" s="34" t="s">
        <v>854</v>
      </c>
      <c r="F43" s="34" t="s">
        <v>887</v>
      </c>
      <c r="G43" s="34" t="s">
        <v>1750</v>
      </c>
      <c r="H43" s="34" t="n">
        <v>30.933</v>
      </c>
      <c r="I43" s="34" t="n">
        <v>75.867</v>
      </c>
      <c r="J43" s="34" t="s">
        <v>891</v>
      </c>
      <c r="K43" s="34" t="n">
        <v>1996</v>
      </c>
      <c r="L43" s="34" t="s">
        <v>842</v>
      </c>
      <c r="M43" s="34" t="s">
        <v>978</v>
      </c>
      <c r="N43" s="34" t="s">
        <v>2147</v>
      </c>
      <c r="O43" s="34" t="s">
        <v>2169</v>
      </c>
      <c r="P43" s="34"/>
      <c r="Q43" s="34" t="n">
        <v>3.87</v>
      </c>
      <c r="R43" s="34"/>
      <c r="S43" s="34"/>
      <c r="T43" s="34"/>
      <c r="U43" s="34" t="n">
        <v>3.33</v>
      </c>
      <c r="V43" s="34"/>
      <c r="W43" s="34"/>
      <c r="X43" s="34"/>
      <c r="Y43" s="34"/>
      <c r="Z43" s="34"/>
      <c r="AA43" s="34"/>
      <c r="AB43" s="34" t="n">
        <v>2</v>
      </c>
      <c r="AC43" s="34" t="n">
        <v>3</v>
      </c>
      <c r="AD43" s="34" t="n">
        <f aca="false">IF(AND(N(AB43)&gt;0,N(AC43)&gt;0),SQRT(2*AB43/AC43),"")</f>
        <v>1.15470053837925</v>
      </c>
      <c r="AE43" s="34" t="n">
        <v>12</v>
      </c>
      <c r="AF43" s="34"/>
      <c r="AG43" s="34"/>
      <c r="AH43" s="34"/>
      <c r="AI43" s="34" t="n">
        <v>30.933</v>
      </c>
      <c r="AJ43" s="34" t="n">
        <v>3</v>
      </c>
      <c r="AK43" s="34"/>
      <c r="AL43" s="34"/>
      <c r="AM43" s="34"/>
      <c r="AN43" s="34" t="n">
        <v>3.3</v>
      </c>
      <c r="AO43" s="34"/>
      <c r="AP43" s="34" t="n">
        <v>71</v>
      </c>
      <c r="AQ43" s="34" t="n">
        <v>17</v>
      </c>
      <c r="AR43" s="34" t="s">
        <v>2140</v>
      </c>
      <c r="AS43" s="34" t="s">
        <v>1751</v>
      </c>
      <c r="AT43" s="34" t="s">
        <v>2185</v>
      </c>
      <c r="AU43" s="34" t="s">
        <v>1753</v>
      </c>
      <c r="AV43" s="34" t="s">
        <v>1670</v>
      </c>
      <c r="AW43" s="35" t="s">
        <v>2186</v>
      </c>
      <c r="AX43" s="34" t="s">
        <v>984</v>
      </c>
      <c r="AY43" s="34" t="s">
        <v>2178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2187</v>
      </c>
      <c r="Q1" s="27" t="s">
        <v>2188</v>
      </c>
      <c r="R1" s="27" t="s">
        <v>2189</v>
      </c>
      <c r="S1" s="27" t="s">
        <v>2190</v>
      </c>
      <c r="T1" s="27" t="s">
        <v>2191</v>
      </c>
      <c r="U1" s="27" t="s">
        <v>2192</v>
      </c>
      <c r="V1" s="27" t="s">
        <v>2193</v>
      </c>
      <c r="W1" s="27" t="s">
        <v>2194</v>
      </c>
      <c r="X1" s="30" t="s">
        <v>2195</v>
      </c>
      <c r="Y1" s="30" t="s">
        <v>2196</v>
      </c>
      <c r="Z1" s="30" t="s">
        <v>2197</v>
      </c>
      <c r="AA1" s="30" t="s">
        <v>2198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1675</v>
      </c>
      <c r="L2" s="5" t="s">
        <v>842</v>
      </c>
      <c r="M2" s="5" t="s">
        <v>85</v>
      </c>
      <c r="N2" s="5" t="s">
        <v>86</v>
      </c>
      <c r="O2" s="5" t="s">
        <v>1666</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2199</v>
      </c>
      <c r="AS2" s="5" t="s">
        <v>1676</v>
      </c>
      <c r="AT2" s="5" t="s">
        <v>1677</v>
      </c>
      <c r="AU2" s="5" t="s">
        <v>1678</v>
      </c>
      <c r="AV2" s="5" t="s">
        <v>1679</v>
      </c>
      <c r="AW2" s="23" t="s">
        <v>2200</v>
      </c>
      <c r="AX2" s="5" t="s">
        <v>850</v>
      </c>
      <c r="AY2" s="5" t="s">
        <v>2201</v>
      </c>
      <c r="BA2" s="33" t="s">
        <v>1107</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1666</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2199</v>
      </c>
      <c r="AS3" s="5" t="s">
        <v>1682</v>
      </c>
      <c r="AT3" s="5" t="s">
        <v>1683</v>
      </c>
      <c r="AU3" s="5" t="s">
        <v>1678</v>
      </c>
      <c r="AV3" s="5" t="s">
        <v>1679</v>
      </c>
      <c r="AW3" s="23" t="s">
        <v>2202</v>
      </c>
      <c r="AX3" s="5" t="s">
        <v>850</v>
      </c>
      <c r="AY3" s="5" t="s">
        <v>2201</v>
      </c>
    </row>
    <row r="4" customFormat="false" ht="1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2203</v>
      </c>
      <c r="AS4" s="18" t="s">
        <v>1699</v>
      </c>
      <c r="AT4" s="18" t="s">
        <v>1700</v>
      </c>
      <c r="AU4" s="18" t="s">
        <v>1701</v>
      </c>
      <c r="AV4" s="18" t="s">
        <v>1702</v>
      </c>
      <c r="AW4" s="32" t="s">
        <v>2204</v>
      </c>
      <c r="AX4" s="18" t="s">
        <v>949</v>
      </c>
      <c r="AY4" s="18" t="s">
        <v>2205</v>
      </c>
    </row>
    <row r="5" customFormat="false" ht="1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2203</v>
      </c>
      <c r="AS5" s="18" t="s">
        <v>1705</v>
      </c>
      <c r="AT5" s="18" t="s">
        <v>1700</v>
      </c>
      <c r="AU5" s="18" t="s">
        <v>1701</v>
      </c>
      <c r="AV5" s="18" t="s">
        <v>1702</v>
      </c>
      <c r="AW5" s="32" t="s">
        <v>2206</v>
      </c>
      <c r="AX5" s="18" t="s">
        <v>949</v>
      </c>
      <c r="AY5" s="18" t="s">
        <v>2205</v>
      </c>
    </row>
    <row r="6" customFormat="false" ht="1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2203</v>
      </c>
      <c r="AS6" s="18" t="s">
        <v>1707</v>
      </c>
      <c r="AT6" s="18" t="s">
        <v>1700</v>
      </c>
      <c r="AU6" s="18" t="s">
        <v>1701</v>
      </c>
      <c r="AV6" s="18" t="s">
        <v>1702</v>
      </c>
      <c r="AW6" s="32" t="s">
        <v>2207</v>
      </c>
      <c r="AX6" s="18" t="s">
        <v>949</v>
      </c>
      <c r="AY6" s="18" t="s">
        <v>2205</v>
      </c>
    </row>
    <row r="7" customFormat="false" ht="1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2203</v>
      </c>
      <c r="AS7" s="18" t="s">
        <v>1709</v>
      </c>
      <c r="AT7" s="18" t="s">
        <v>1700</v>
      </c>
      <c r="AU7" s="18" t="s">
        <v>1701</v>
      </c>
      <c r="AV7" s="18" t="s">
        <v>1702</v>
      </c>
      <c r="AW7" s="32" t="s">
        <v>2208</v>
      </c>
      <c r="AX7" s="18" t="s">
        <v>949</v>
      </c>
      <c r="AY7" s="18" t="s">
        <v>2205</v>
      </c>
    </row>
    <row r="8" customFormat="false" ht="1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2203</v>
      </c>
      <c r="AS8" s="18" t="s">
        <v>1711</v>
      </c>
      <c r="AT8" s="18" t="s">
        <v>1700</v>
      </c>
      <c r="AU8" s="18" t="s">
        <v>1701</v>
      </c>
      <c r="AV8" s="18" t="s">
        <v>1702</v>
      </c>
      <c r="AW8" s="32" t="s">
        <v>2209</v>
      </c>
      <c r="AX8" s="18" t="s">
        <v>949</v>
      </c>
      <c r="AY8" s="18" t="s">
        <v>2205</v>
      </c>
    </row>
    <row r="9" customFormat="false" ht="1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2203</v>
      </c>
      <c r="AS9" s="18" t="s">
        <v>1713</v>
      </c>
      <c r="AT9" s="18" t="s">
        <v>1700</v>
      </c>
      <c r="AU9" s="18" t="s">
        <v>1701</v>
      </c>
      <c r="AV9" s="18" t="s">
        <v>1702</v>
      </c>
      <c r="AW9" s="32" t="s">
        <v>2210</v>
      </c>
      <c r="AX9" s="18" t="s">
        <v>949</v>
      </c>
      <c r="AY9" s="18" t="s">
        <v>2205</v>
      </c>
    </row>
    <row r="10" customFormat="false" ht="15" hidden="false" customHeight="true" outlineLevel="0" collapsed="false">
      <c r="A10" s="18" t="s">
        <v>935</v>
      </c>
      <c r="B10" s="18" t="s">
        <v>935</v>
      </c>
      <c r="C10" s="18" t="s">
        <v>936</v>
      </c>
      <c r="D10" s="18" t="n">
        <v>2020</v>
      </c>
      <c r="E10" s="18" t="s">
        <v>937</v>
      </c>
      <c r="F10" s="18" t="s">
        <v>836</v>
      </c>
      <c r="G10" s="18" t="s">
        <v>940</v>
      </c>
      <c r="H10" s="18" t="n">
        <v>28.4</v>
      </c>
      <c r="I10" s="18" t="n">
        <v>77.1</v>
      </c>
      <c r="J10" s="18" t="s">
        <v>83</v>
      </c>
      <c r="K10" s="18" t="s">
        <v>1698</v>
      </c>
      <c r="L10" s="18" t="s">
        <v>823</v>
      </c>
      <c r="M10" s="18" t="s">
        <v>85</v>
      </c>
      <c r="N10" s="18" t="s">
        <v>86</v>
      </c>
      <c r="O10" s="18" t="s">
        <v>1666</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2203</v>
      </c>
      <c r="AS10" s="18" t="s">
        <v>1715</v>
      </c>
      <c r="AT10" s="18" t="s">
        <v>1700</v>
      </c>
      <c r="AU10" s="18" t="s">
        <v>1701</v>
      </c>
      <c r="AV10" s="18" t="s">
        <v>1702</v>
      </c>
      <c r="AW10" s="32" t="s">
        <v>2211</v>
      </c>
      <c r="AX10" s="18" t="s">
        <v>949</v>
      </c>
      <c r="AY10" s="18" t="s">
        <v>2205</v>
      </c>
    </row>
    <row r="11" customFormat="false" ht="15" hidden="false" customHeight="true" outlineLevel="0" collapsed="false">
      <c r="A11" s="18" t="s">
        <v>935</v>
      </c>
      <c r="B11" s="18" t="s">
        <v>935</v>
      </c>
      <c r="C11" s="18" t="s">
        <v>936</v>
      </c>
      <c r="D11" s="18" t="n">
        <v>2020</v>
      </c>
      <c r="E11" s="18" t="s">
        <v>937</v>
      </c>
      <c r="F11" s="18" t="s">
        <v>836</v>
      </c>
      <c r="G11" s="18" t="s">
        <v>940</v>
      </c>
      <c r="H11" s="18" t="n">
        <v>28.4</v>
      </c>
      <c r="I11" s="18" t="n">
        <v>77.1</v>
      </c>
      <c r="J11" s="18" t="s">
        <v>83</v>
      </c>
      <c r="K11" s="18" t="s">
        <v>1698</v>
      </c>
      <c r="L11" s="18" t="s">
        <v>823</v>
      </c>
      <c r="M11" s="18" t="s">
        <v>85</v>
      </c>
      <c r="N11" s="18" t="s">
        <v>86</v>
      </c>
      <c r="O11" s="18" t="s">
        <v>1666</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2203</v>
      </c>
      <c r="AS11" s="18" t="s">
        <v>1717</v>
      </c>
      <c r="AT11" s="18" t="s">
        <v>1700</v>
      </c>
      <c r="AU11" s="18" t="s">
        <v>1701</v>
      </c>
      <c r="AV11" s="18" t="s">
        <v>1702</v>
      </c>
      <c r="AW11" s="32" t="s">
        <v>2212</v>
      </c>
      <c r="AX11" s="18" t="s">
        <v>949</v>
      </c>
      <c r="AY11" s="18" t="s">
        <v>2205</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2213</v>
      </c>
      <c r="Q1" s="27" t="s">
        <v>2214</v>
      </c>
      <c r="R1" s="27" t="s">
        <v>2215</v>
      </c>
      <c r="S1" s="27" t="s">
        <v>2216</v>
      </c>
      <c r="T1" s="27" t="s">
        <v>2217</v>
      </c>
      <c r="U1" s="27" t="s">
        <v>2218</v>
      </c>
      <c r="V1" s="27" t="s">
        <v>2219</v>
      </c>
      <c r="W1" s="27" t="s">
        <v>2220</v>
      </c>
      <c r="X1" s="30" t="s">
        <v>2221</v>
      </c>
      <c r="Y1" s="30" t="s">
        <v>2222</v>
      </c>
      <c r="Z1" s="30" t="s">
        <v>2223</v>
      </c>
      <c r="AA1" s="30" t="s">
        <v>2224</v>
      </c>
      <c r="AB1" s="27" t="s">
        <v>2225</v>
      </c>
      <c r="AC1" s="27" t="s">
        <v>2226</v>
      </c>
      <c r="AD1" s="27" t="s">
        <v>2227</v>
      </c>
      <c r="AE1" s="27" t="s">
        <v>2228</v>
      </c>
      <c r="AF1" s="27" t="s">
        <v>2229</v>
      </c>
      <c r="AG1" s="27" t="s">
        <v>2230</v>
      </c>
      <c r="AH1" s="27" t="s">
        <v>2231</v>
      </c>
      <c r="AI1" s="27" t="s">
        <v>2232</v>
      </c>
      <c r="AJ1" s="30" t="s">
        <v>2233</v>
      </c>
      <c r="AK1" s="30" t="s">
        <v>2234</v>
      </c>
      <c r="AL1" s="30" t="s">
        <v>2235</v>
      </c>
      <c r="AM1" s="30" t="s">
        <v>2236</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2237</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2238</v>
      </c>
      <c r="BE2" s="18" t="s">
        <v>1667</v>
      </c>
      <c r="BF2" s="18" t="s">
        <v>1668</v>
      </c>
      <c r="BG2" s="18" t="s">
        <v>1669</v>
      </c>
      <c r="BH2" s="18" t="s">
        <v>1738</v>
      </c>
      <c r="BI2" s="32" t="s">
        <v>2239</v>
      </c>
      <c r="BJ2" s="18" t="s">
        <v>898</v>
      </c>
      <c r="BK2" s="18" t="s">
        <v>2240</v>
      </c>
      <c r="BM2" s="1" t="s">
        <v>1110</v>
      </c>
    </row>
    <row r="3" customFormat="false" ht="15" hidden="false" customHeight="true" outlineLevel="0" collapsed="false">
      <c r="A3" s="24" t="s">
        <v>988</v>
      </c>
      <c r="B3" s="24" t="s">
        <v>988</v>
      </c>
      <c r="C3" s="24" t="s">
        <v>989</v>
      </c>
      <c r="D3" s="24" t="n">
        <v>2011</v>
      </c>
      <c r="E3" s="24" t="s">
        <v>990</v>
      </c>
      <c r="F3" s="24" t="s">
        <v>857</v>
      </c>
      <c r="G3" s="24" t="s">
        <v>993</v>
      </c>
      <c r="H3" s="24" t="n">
        <v>29.017</v>
      </c>
      <c r="I3" s="24" t="n">
        <v>77.75</v>
      </c>
      <c r="J3" s="24" t="s">
        <v>83</v>
      </c>
      <c r="K3" s="24" t="s">
        <v>2241</v>
      </c>
      <c r="L3" s="24" t="s">
        <v>842</v>
      </c>
      <c r="M3" s="24" t="s">
        <v>85</v>
      </c>
      <c r="N3" s="24" t="s">
        <v>86</v>
      </c>
      <c r="O3" s="24" t="s">
        <v>2242</v>
      </c>
      <c r="P3" s="24"/>
      <c r="Q3" s="24" t="n">
        <v>0.24</v>
      </c>
      <c r="R3" s="24" t="n">
        <v>0.21</v>
      </c>
      <c r="S3" s="24"/>
      <c r="T3" s="24"/>
      <c r="U3" s="24" t="n">
        <v>0.31</v>
      </c>
      <c r="V3" s="24"/>
      <c r="W3" s="24"/>
      <c r="X3" s="24"/>
      <c r="Y3" s="24" t="n">
        <v>0.26</v>
      </c>
      <c r="Z3" s="24"/>
      <c r="AA3" s="24"/>
      <c r="AB3" s="24"/>
      <c r="AC3" s="24"/>
      <c r="AD3" s="24"/>
      <c r="AE3" s="24"/>
      <c r="AF3" s="24"/>
      <c r="AG3" s="24"/>
      <c r="AH3" s="24"/>
      <c r="AI3" s="24"/>
      <c r="AJ3" s="24"/>
      <c r="AK3" s="24"/>
      <c r="AL3" s="24"/>
      <c r="AM3" s="24"/>
      <c r="AN3" s="24" t="n">
        <v>2</v>
      </c>
      <c r="AO3" s="24" t="n">
        <v>3</v>
      </c>
      <c r="AP3" s="24" t="n">
        <f aca="false">IF(AND(N(AN3)&gt;0,N(AO3)&gt;0),SQRT(2*AN3/AO3),"")</f>
        <v>1.15470053837925</v>
      </c>
      <c r="AQ3" s="24" t="n">
        <v>19</v>
      </c>
      <c r="AR3" s="24" t="n">
        <v>2</v>
      </c>
      <c r="AS3" s="24" t="n">
        <v>43</v>
      </c>
      <c r="AT3" s="24" t="n">
        <v>800</v>
      </c>
      <c r="AU3" s="24" t="n">
        <v>29.017</v>
      </c>
      <c r="AV3" s="24" t="n">
        <v>1</v>
      </c>
      <c r="AW3" s="24"/>
      <c r="AX3" s="24"/>
      <c r="AY3" s="24" t="n">
        <v>8.1</v>
      </c>
      <c r="AZ3" s="24"/>
      <c r="BA3" s="24"/>
      <c r="BB3" s="24" t="n">
        <v>55</v>
      </c>
      <c r="BC3" s="24" t="n">
        <v>26</v>
      </c>
      <c r="BD3" s="24" t="s">
        <v>2243</v>
      </c>
      <c r="BE3" s="24" t="s">
        <v>1722</v>
      </c>
      <c r="BF3" s="24" t="s">
        <v>2244</v>
      </c>
      <c r="BG3" s="24" t="s">
        <v>1724</v>
      </c>
      <c r="BH3" s="24" t="s">
        <v>1670</v>
      </c>
      <c r="BI3" s="25" t="s">
        <v>2245</v>
      </c>
      <c r="BJ3" s="24" t="s">
        <v>1008</v>
      </c>
      <c r="BK3" s="24" t="s">
        <v>2246</v>
      </c>
    </row>
    <row r="4" customFormat="false" ht="15" hidden="false" customHeight="true" outlineLevel="0" collapsed="false">
      <c r="A4" s="24" t="s">
        <v>988</v>
      </c>
      <c r="B4" s="24" t="s">
        <v>988</v>
      </c>
      <c r="C4" s="24" t="s">
        <v>989</v>
      </c>
      <c r="D4" s="24" t="n">
        <v>2011</v>
      </c>
      <c r="E4" s="24" t="s">
        <v>990</v>
      </c>
      <c r="F4" s="24" t="s">
        <v>857</v>
      </c>
      <c r="G4" s="24" t="s">
        <v>993</v>
      </c>
      <c r="H4" s="24" t="n">
        <v>29.017</v>
      </c>
      <c r="I4" s="24" t="n">
        <v>77.75</v>
      </c>
      <c r="J4" s="24" t="s">
        <v>83</v>
      </c>
      <c r="K4" s="24" t="s">
        <v>2241</v>
      </c>
      <c r="L4" s="24" t="s">
        <v>842</v>
      </c>
      <c r="M4" s="24" t="s">
        <v>85</v>
      </c>
      <c r="N4" s="24" t="s">
        <v>86</v>
      </c>
      <c r="O4" s="24" t="s">
        <v>2242</v>
      </c>
      <c r="P4" s="24"/>
      <c r="Q4" s="24" t="n">
        <v>0.24</v>
      </c>
      <c r="R4" s="24" t="n">
        <v>0.18</v>
      </c>
      <c r="S4" s="24"/>
      <c r="T4" s="24"/>
      <c r="U4" s="24" t="n">
        <v>0.27</v>
      </c>
      <c r="V4" s="24"/>
      <c r="W4" s="24"/>
      <c r="X4" s="24"/>
      <c r="Y4" s="24" t="n">
        <v>0.26</v>
      </c>
      <c r="Z4" s="24"/>
      <c r="AA4" s="24"/>
      <c r="AB4" s="24"/>
      <c r="AC4" s="24"/>
      <c r="AD4" s="24"/>
      <c r="AE4" s="24"/>
      <c r="AF4" s="24"/>
      <c r="AG4" s="24"/>
      <c r="AH4" s="24"/>
      <c r="AI4" s="24"/>
      <c r="AJ4" s="24"/>
      <c r="AK4" s="24"/>
      <c r="AL4" s="24"/>
      <c r="AM4" s="24"/>
      <c r="AN4" s="24" t="n">
        <v>2</v>
      </c>
      <c r="AO4" s="24" t="n">
        <v>3</v>
      </c>
      <c r="AP4" s="24" t="n">
        <f aca="false">IF(AND(N(AN4)&gt;0,N(AO4)&gt;0),SQRT(2*AN4/AO4),"")</f>
        <v>1.15470053837925</v>
      </c>
      <c r="AQ4" s="24" t="n">
        <v>19</v>
      </c>
      <c r="AR4" s="24" t="n">
        <v>2</v>
      </c>
      <c r="AS4" s="24" t="n">
        <v>43</v>
      </c>
      <c r="AT4" s="24" t="n">
        <v>800</v>
      </c>
      <c r="AU4" s="24" t="n">
        <v>29.017</v>
      </c>
      <c r="AV4" s="24" t="n">
        <v>1</v>
      </c>
      <c r="AW4" s="24"/>
      <c r="AX4" s="24"/>
      <c r="AY4" s="24" t="n">
        <v>8.1</v>
      </c>
      <c r="AZ4" s="24"/>
      <c r="BA4" s="24"/>
      <c r="BB4" s="24" t="n">
        <v>55</v>
      </c>
      <c r="BC4" s="24" t="n">
        <v>26</v>
      </c>
      <c r="BD4" s="24" t="s">
        <v>2243</v>
      </c>
      <c r="BE4" s="24" t="s">
        <v>1722</v>
      </c>
      <c r="BF4" s="24" t="s">
        <v>2244</v>
      </c>
      <c r="BG4" s="24" t="s">
        <v>1724</v>
      </c>
      <c r="BH4" s="24" t="s">
        <v>1670</v>
      </c>
      <c r="BI4" s="25" t="s">
        <v>2247</v>
      </c>
      <c r="BJ4" s="24" t="s">
        <v>1008</v>
      </c>
      <c r="BK4" s="24" t="s">
        <v>2246</v>
      </c>
    </row>
    <row r="5" customFormat="false" ht="14.25" hidden="false" customHeight="false" outlineLevel="0" collapsed="false">
      <c r="A5" s="24" t="s">
        <v>988</v>
      </c>
      <c r="B5" s="24" t="s">
        <v>988</v>
      </c>
      <c r="C5" s="24" t="s">
        <v>989</v>
      </c>
      <c r="D5" s="24" t="n">
        <v>2011</v>
      </c>
      <c r="E5" s="24" t="s">
        <v>990</v>
      </c>
      <c r="F5" s="24" t="s">
        <v>857</v>
      </c>
      <c r="G5" s="24" t="s">
        <v>993</v>
      </c>
      <c r="H5" s="24" t="n">
        <v>29.017</v>
      </c>
      <c r="I5" s="24" t="n">
        <v>77.75</v>
      </c>
      <c r="J5" s="24" t="s">
        <v>83</v>
      </c>
      <c r="K5" s="24" t="s">
        <v>2020</v>
      </c>
      <c r="L5" s="24" t="s">
        <v>842</v>
      </c>
      <c r="M5" s="24" t="s">
        <v>85</v>
      </c>
      <c r="N5" s="24" t="s">
        <v>86</v>
      </c>
      <c r="O5" s="24" t="s">
        <v>2242</v>
      </c>
      <c r="P5" s="24"/>
      <c r="Q5" s="24" t="n">
        <v>0.25</v>
      </c>
      <c r="R5" s="24" t="n">
        <v>0.33</v>
      </c>
      <c r="S5" s="24"/>
      <c r="T5" s="24"/>
      <c r="U5" s="24" t="n">
        <v>0.31</v>
      </c>
      <c r="V5" s="24"/>
      <c r="W5" s="24"/>
      <c r="X5" s="24"/>
      <c r="Y5" s="24" t="n">
        <v>0.25</v>
      </c>
      <c r="Z5" s="24"/>
      <c r="AA5" s="24"/>
      <c r="AB5" s="24"/>
      <c r="AC5" s="24"/>
      <c r="AD5" s="24"/>
      <c r="AE5" s="24"/>
      <c r="AF5" s="24"/>
      <c r="AG5" s="24"/>
      <c r="AH5" s="24"/>
      <c r="AI5" s="24"/>
      <c r="AJ5" s="24"/>
      <c r="AK5" s="24"/>
      <c r="AL5" s="24"/>
      <c r="AM5" s="24"/>
      <c r="AN5" s="24" t="n">
        <v>2</v>
      </c>
      <c r="AO5" s="24" t="n">
        <v>3</v>
      </c>
      <c r="AP5" s="24" t="n">
        <f aca="false">IF(AND(N(AN5)&gt;0,N(AO5)&gt;0),SQRT(2*AN5/AO5),"")</f>
        <v>1.15470053837925</v>
      </c>
      <c r="AQ5" s="24" t="n">
        <v>19</v>
      </c>
      <c r="AR5" s="24" t="n">
        <v>2</v>
      </c>
      <c r="AS5" s="24" t="n">
        <v>43</v>
      </c>
      <c r="AT5" s="24" t="n">
        <v>800</v>
      </c>
      <c r="AU5" s="24" t="n">
        <v>29.017</v>
      </c>
      <c r="AV5" s="24" t="n">
        <v>2</v>
      </c>
      <c r="AW5" s="24"/>
      <c r="AX5" s="24"/>
      <c r="AY5" s="24" t="n">
        <v>8.1</v>
      </c>
      <c r="AZ5" s="24"/>
      <c r="BA5" s="24"/>
      <c r="BB5" s="24" t="n">
        <v>55</v>
      </c>
      <c r="BC5" s="24" t="n">
        <v>26</v>
      </c>
      <c r="BD5" s="24" t="s">
        <v>2243</v>
      </c>
      <c r="BE5" s="24" t="s">
        <v>1722</v>
      </c>
      <c r="BF5" s="24" t="s">
        <v>2248</v>
      </c>
      <c r="BG5" s="24" t="s">
        <v>1724</v>
      </c>
      <c r="BH5" s="24" t="s">
        <v>1670</v>
      </c>
      <c r="BI5" s="25" t="s">
        <v>2245</v>
      </c>
      <c r="BJ5" s="24" t="s">
        <v>1008</v>
      </c>
      <c r="BK5" s="24" t="s">
        <v>2246</v>
      </c>
    </row>
    <row r="6" customFormat="false" ht="14.25" hidden="false" customHeight="false" outlineLevel="0" collapsed="false">
      <c r="A6" s="24" t="s">
        <v>988</v>
      </c>
      <c r="B6" s="24" t="s">
        <v>988</v>
      </c>
      <c r="C6" s="24" t="s">
        <v>989</v>
      </c>
      <c r="D6" s="24" t="n">
        <v>2011</v>
      </c>
      <c r="E6" s="24" t="s">
        <v>990</v>
      </c>
      <c r="F6" s="24" t="s">
        <v>857</v>
      </c>
      <c r="G6" s="24" t="s">
        <v>993</v>
      </c>
      <c r="H6" s="24" t="n">
        <v>29.017</v>
      </c>
      <c r="I6" s="24" t="n">
        <v>77.75</v>
      </c>
      <c r="J6" s="24" t="s">
        <v>83</v>
      </c>
      <c r="K6" s="24" t="s">
        <v>2020</v>
      </c>
      <c r="L6" s="24" t="s">
        <v>842</v>
      </c>
      <c r="M6" s="24" t="s">
        <v>85</v>
      </c>
      <c r="N6" s="24" t="s">
        <v>86</v>
      </c>
      <c r="O6" s="24" t="s">
        <v>2242</v>
      </c>
      <c r="P6" s="24"/>
      <c r="Q6" s="24" t="n">
        <v>0.25</v>
      </c>
      <c r="R6" s="24" t="n">
        <v>0.3</v>
      </c>
      <c r="S6" s="24"/>
      <c r="T6" s="24"/>
      <c r="U6" s="24" t="n">
        <v>0.3</v>
      </c>
      <c r="V6" s="24"/>
      <c r="W6" s="24"/>
      <c r="X6" s="24"/>
      <c r="Y6" s="24" t="n">
        <v>0.25</v>
      </c>
      <c r="Z6" s="24"/>
      <c r="AA6" s="24"/>
      <c r="AB6" s="24"/>
      <c r="AC6" s="24"/>
      <c r="AD6" s="24"/>
      <c r="AE6" s="24"/>
      <c r="AF6" s="24"/>
      <c r="AG6" s="24"/>
      <c r="AH6" s="24"/>
      <c r="AI6" s="24"/>
      <c r="AJ6" s="24"/>
      <c r="AK6" s="24"/>
      <c r="AL6" s="24"/>
      <c r="AM6" s="24"/>
      <c r="AN6" s="24" t="n">
        <v>2</v>
      </c>
      <c r="AO6" s="24" t="n">
        <v>3</v>
      </c>
      <c r="AP6" s="24" t="n">
        <f aca="false">IF(AND(N(AN6)&gt;0,N(AO6)&gt;0),SQRT(2*AN6/AO6),"")</f>
        <v>1.15470053837925</v>
      </c>
      <c r="AQ6" s="24" t="n">
        <v>19</v>
      </c>
      <c r="AR6" s="24" t="n">
        <v>2</v>
      </c>
      <c r="AS6" s="24" t="n">
        <v>43</v>
      </c>
      <c r="AT6" s="24" t="n">
        <v>800</v>
      </c>
      <c r="AU6" s="24" t="n">
        <v>29.017</v>
      </c>
      <c r="AV6" s="24" t="n">
        <v>2</v>
      </c>
      <c r="AW6" s="24"/>
      <c r="AX6" s="24"/>
      <c r="AY6" s="24" t="n">
        <v>8.1</v>
      </c>
      <c r="AZ6" s="24"/>
      <c r="BA6" s="24"/>
      <c r="BB6" s="24" t="n">
        <v>55</v>
      </c>
      <c r="BC6" s="24" t="n">
        <v>26</v>
      </c>
      <c r="BD6" s="24" t="s">
        <v>2243</v>
      </c>
      <c r="BE6" s="24" t="s">
        <v>1722</v>
      </c>
      <c r="BF6" s="24" t="s">
        <v>2248</v>
      </c>
      <c r="BG6" s="24" t="s">
        <v>1724</v>
      </c>
      <c r="BH6" s="24" t="s">
        <v>1670</v>
      </c>
      <c r="BI6" s="25" t="s">
        <v>2247</v>
      </c>
      <c r="BJ6" s="24" t="s">
        <v>1008</v>
      </c>
      <c r="BK6" s="24" t="s">
        <v>2246</v>
      </c>
    </row>
    <row r="7" customFormat="false" ht="14.25" hidden="false" customHeight="false" outlineLevel="0" collapsed="false">
      <c r="A7" s="24" t="s">
        <v>988</v>
      </c>
      <c r="B7" s="24" t="s">
        <v>988</v>
      </c>
      <c r="C7" s="24" t="s">
        <v>989</v>
      </c>
      <c r="D7" s="24" t="n">
        <v>2011</v>
      </c>
      <c r="E7" s="24" t="s">
        <v>990</v>
      </c>
      <c r="F7" s="24" t="s">
        <v>857</v>
      </c>
      <c r="G7" s="24" t="s">
        <v>993</v>
      </c>
      <c r="H7" s="24" t="n">
        <v>29.017</v>
      </c>
      <c r="I7" s="24" t="n">
        <v>77.75</v>
      </c>
      <c r="J7" s="24" t="s">
        <v>83</v>
      </c>
      <c r="K7" s="24" t="s">
        <v>2027</v>
      </c>
      <c r="L7" s="24" t="s">
        <v>84</v>
      </c>
      <c r="M7" s="24" t="s">
        <v>85</v>
      </c>
      <c r="N7" s="24" t="s">
        <v>86</v>
      </c>
      <c r="O7" s="24" t="s">
        <v>2242</v>
      </c>
      <c r="P7" s="24"/>
      <c r="Q7" s="24" t="n">
        <v>0.18</v>
      </c>
      <c r="R7" s="24" t="n">
        <v>0.34</v>
      </c>
      <c r="S7" s="24"/>
      <c r="T7" s="24"/>
      <c r="U7" s="24" t="n">
        <v>0.43</v>
      </c>
      <c r="V7" s="24"/>
      <c r="W7" s="24"/>
      <c r="X7" s="24"/>
      <c r="Y7" s="24" t="n">
        <v>0.18</v>
      </c>
      <c r="Z7" s="24"/>
      <c r="AA7" s="24"/>
      <c r="AB7" s="24"/>
      <c r="AC7" s="24"/>
      <c r="AD7" s="24"/>
      <c r="AE7" s="24"/>
      <c r="AF7" s="24"/>
      <c r="AG7" s="24"/>
      <c r="AH7" s="24"/>
      <c r="AI7" s="24"/>
      <c r="AJ7" s="24"/>
      <c r="AK7" s="24"/>
      <c r="AL7" s="24"/>
      <c r="AM7" s="24"/>
      <c r="AN7" s="24" t="n">
        <v>2</v>
      </c>
      <c r="AO7" s="24" t="n">
        <v>3</v>
      </c>
      <c r="AP7" s="24" t="n">
        <f aca="false">IF(AND(N(AN7)&gt;0,N(AO7)&gt;0),SQRT(2*AN7/AO7),"")</f>
        <v>1.15470053837925</v>
      </c>
      <c r="AQ7" s="24" t="n">
        <v>19</v>
      </c>
      <c r="AR7" s="24" t="n">
        <v>2</v>
      </c>
      <c r="AS7" s="24" t="n">
        <v>43</v>
      </c>
      <c r="AT7" s="24" t="n">
        <v>800</v>
      </c>
      <c r="AU7" s="24" t="n">
        <v>29.017</v>
      </c>
      <c r="AV7" s="24" t="n">
        <v>4</v>
      </c>
      <c r="AW7" s="24"/>
      <c r="AX7" s="24"/>
      <c r="AY7" s="24" t="n">
        <v>8.1</v>
      </c>
      <c r="AZ7" s="24"/>
      <c r="BA7" s="24"/>
      <c r="BB7" s="24" t="n">
        <v>55</v>
      </c>
      <c r="BC7" s="24" t="n">
        <v>26</v>
      </c>
      <c r="BD7" s="24" t="s">
        <v>2243</v>
      </c>
      <c r="BE7" s="24" t="s">
        <v>1722</v>
      </c>
      <c r="BF7" s="24" t="s">
        <v>2249</v>
      </c>
      <c r="BG7" s="24" t="s">
        <v>1724</v>
      </c>
      <c r="BH7" s="24" t="s">
        <v>1670</v>
      </c>
      <c r="BI7" s="25" t="s">
        <v>2245</v>
      </c>
      <c r="BJ7" s="24" t="s">
        <v>1008</v>
      </c>
      <c r="BK7" s="24" t="s">
        <v>2246</v>
      </c>
    </row>
    <row r="8" customFormat="false" ht="14.25" hidden="false" customHeight="false" outlineLevel="0" collapsed="false">
      <c r="A8" s="24" t="s">
        <v>988</v>
      </c>
      <c r="B8" s="24" t="s">
        <v>988</v>
      </c>
      <c r="C8" s="24" t="s">
        <v>989</v>
      </c>
      <c r="D8" s="24" t="n">
        <v>2011</v>
      </c>
      <c r="E8" s="24" t="s">
        <v>990</v>
      </c>
      <c r="F8" s="24" t="s">
        <v>857</v>
      </c>
      <c r="G8" s="24" t="s">
        <v>993</v>
      </c>
      <c r="H8" s="24" t="n">
        <v>29.017</v>
      </c>
      <c r="I8" s="24" t="n">
        <v>77.75</v>
      </c>
      <c r="J8" s="24" t="s">
        <v>83</v>
      </c>
      <c r="K8" s="24" t="s">
        <v>2027</v>
      </c>
      <c r="L8" s="24" t="s">
        <v>84</v>
      </c>
      <c r="M8" s="24" t="s">
        <v>85</v>
      </c>
      <c r="N8" s="24" t="s">
        <v>86</v>
      </c>
      <c r="O8" s="24" t="s">
        <v>2242</v>
      </c>
      <c r="P8" s="24"/>
      <c r="Q8" s="24" t="n">
        <v>0.18</v>
      </c>
      <c r="R8" s="24" t="n">
        <v>0.28</v>
      </c>
      <c r="S8" s="24"/>
      <c r="T8" s="24"/>
      <c r="U8" s="24" t="n">
        <v>0.32</v>
      </c>
      <c r="V8" s="24"/>
      <c r="W8" s="24"/>
      <c r="X8" s="24"/>
      <c r="Y8" s="24" t="n">
        <v>0.18</v>
      </c>
      <c r="Z8" s="24"/>
      <c r="AA8" s="24"/>
      <c r="AB8" s="24"/>
      <c r="AC8" s="24"/>
      <c r="AD8" s="24"/>
      <c r="AE8" s="24"/>
      <c r="AF8" s="24"/>
      <c r="AG8" s="24"/>
      <c r="AH8" s="24"/>
      <c r="AI8" s="24"/>
      <c r="AJ8" s="24"/>
      <c r="AK8" s="24"/>
      <c r="AL8" s="24"/>
      <c r="AM8" s="24"/>
      <c r="AN8" s="24" t="n">
        <v>2</v>
      </c>
      <c r="AO8" s="24" t="n">
        <v>3</v>
      </c>
      <c r="AP8" s="24" t="n">
        <f aca="false">IF(AND(N(AN8)&gt;0,N(AO8)&gt;0),SQRT(2*AN8/AO8),"")</f>
        <v>1.15470053837925</v>
      </c>
      <c r="AQ8" s="24" t="n">
        <v>19</v>
      </c>
      <c r="AR8" s="24" t="n">
        <v>2</v>
      </c>
      <c r="AS8" s="24" t="n">
        <v>43</v>
      </c>
      <c r="AT8" s="24" t="n">
        <v>800</v>
      </c>
      <c r="AU8" s="24" t="n">
        <v>29.017</v>
      </c>
      <c r="AV8" s="24" t="n">
        <v>4</v>
      </c>
      <c r="AW8" s="24"/>
      <c r="AX8" s="24"/>
      <c r="AY8" s="24" t="n">
        <v>8.1</v>
      </c>
      <c r="AZ8" s="24"/>
      <c r="BA8" s="24"/>
      <c r="BB8" s="24" t="n">
        <v>55</v>
      </c>
      <c r="BC8" s="24" t="n">
        <v>26</v>
      </c>
      <c r="BD8" s="24" t="s">
        <v>2243</v>
      </c>
      <c r="BE8" s="24" t="s">
        <v>1722</v>
      </c>
      <c r="BF8" s="24" t="s">
        <v>2249</v>
      </c>
      <c r="BG8" s="24" t="s">
        <v>1724</v>
      </c>
      <c r="BH8" s="24" t="s">
        <v>1670</v>
      </c>
      <c r="BI8" s="25" t="s">
        <v>2247</v>
      </c>
      <c r="BJ8" s="24" t="s">
        <v>1008</v>
      </c>
      <c r="BK8" s="24" t="s">
        <v>2246</v>
      </c>
    </row>
    <row r="9" customFormat="false" ht="14.25" hidden="false" customHeight="false" outlineLevel="0" collapsed="false">
      <c r="A9" s="24" t="s">
        <v>988</v>
      </c>
      <c r="B9" s="24" t="s">
        <v>988</v>
      </c>
      <c r="C9" s="24" t="s">
        <v>989</v>
      </c>
      <c r="D9" s="24" t="n">
        <v>2011</v>
      </c>
      <c r="E9" s="24" t="s">
        <v>990</v>
      </c>
      <c r="F9" s="24" t="s">
        <v>857</v>
      </c>
      <c r="G9" s="24" t="s">
        <v>993</v>
      </c>
      <c r="H9" s="24" t="n">
        <v>29.017</v>
      </c>
      <c r="I9" s="24" t="n">
        <v>77.75</v>
      </c>
      <c r="J9" s="24" t="s">
        <v>83</v>
      </c>
      <c r="K9" s="24" t="s">
        <v>2029</v>
      </c>
      <c r="L9" s="24" t="s">
        <v>84</v>
      </c>
      <c r="M9" s="24" t="s">
        <v>85</v>
      </c>
      <c r="N9" s="24" t="s">
        <v>86</v>
      </c>
      <c r="O9" s="24" t="s">
        <v>2242</v>
      </c>
      <c r="P9" s="24"/>
      <c r="Q9" s="24" t="n">
        <v>0.14</v>
      </c>
      <c r="R9" s="24" t="n">
        <v>0.35</v>
      </c>
      <c r="S9" s="24"/>
      <c r="T9" s="24"/>
      <c r="U9" s="24" t="n">
        <v>0.46</v>
      </c>
      <c r="V9" s="24"/>
      <c r="W9" s="24"/>
      <c r="X9" s="24"/>
      <c r="Y9" s="24" t="n">
        <v>0.12</v>
      </c>
      <c r="Z9" s="24"/>
      <c r="AA9" s="24"/>
      <c r="AB9" s="24"/>
      <c r="AC9" s="24"/>
      <c r="AD9" s="24"/>
      <c r="AE9" s="24"/>
      <c r="AF9" s="24"/>
      <c r="AG9" s="24"/>
      <c r="AH9" s="24"/>
      <c r="AI9" s="24"/>
      <c r="AJ9" s="24"/>
      <c r="AK9" s="24"/>
      <c r="AL9" s="24"/>
      <c r="AM9" s="24"/>
      <c r="AN9" s="24" t="n">
        <v>2</v>
      </c>
      <c r="AO9" s="24" t="n">
        <v>3</v>
      </c>
      <c r="AP9" s="24" t="n">
        <f aca="false">IF(AND(N(AN9)&gt;0,N(AO9)&gt;0),SQRT(2*AN9/AO9),"")</f>
        <v>1.15470053837925</v>
      </c>
      <c r="AQ9" s="24" t="n">
        <v>19</v>
      </c>
      <c r="AR9" s="24" t="n">
        <v>2</v>
      </c>
      <c r="AS9" s="24" t="n">
        <v>43</v>
      </c>
      <c r="AT9" s="24" t="n">
        <v>800</v>
      </c>
      <c r="AU9" s="24" t="n">
        <v>29.017</v>
      </c>
      <c r="AV9" s="24" t="n">
        <v>5</v>
      </c>
      <c r="AW9" s="24"/>
      <c r="AX9" s="24"/>
      <c r="AY9" s="24" t="n">
        <v>8.1</v>
      </c>
      <c r="AZ9" s="24"/>
      <c r="BA9" s="24"/>
      <c r="BB9" s="24" t="n">
        <v>55</v>
      </c>
      <c r="BC9" s="24" t="n">
        <v>26</v>
      </c>
      <c r="BD9" s="24" t="s">
        <v>2243</v>
      </c>
      <c r="BE9" s="24" t="s">
        <v>1722</v>
      </c>
      <c r="BF9" s="24" t="s">
        <v>2250</v>
      </c>
      <c r="BG9" s="24" t="s">
        <v>1724</v>
      </c>
      <c r="BH9" s="24" t="s">
        <v>1670</v>
      </c>
      <c r="BI9" s="25" t="s">
        <v>2245</v>
      </c>
      <c r="BJ9" s="24" t="s">
        <v>1008</v>
      </c>
      <c r="BK9" s="24" t="s">
        <v>2246</v>
      </c>
    </row>
    <row r="10" customFormat="false" ht="14.25" hidden="false" customHeight="false" outlineLevel="0" collapsed="false">
      <c r="A10" s="24" t="s">
        <v>988</v>
      </c>
      <c r="B10" s="24" t="s">
        <v>988</v>
      </c>
      <c r="C10" s="24" t="s">
        <v>989</v>
      </c>
      <c r="D10" s="24" t="n">
        <v>2011</v>
      </c>
      <c r="E10" s="24" t="s">
        <v>990</v>
      </c>
      <c r="F10" s="24" t="s">
        <v>857</v>
      </c>
      <c r="G10" s="24" t="s">
        <v>993</v>
      </c>
      <c r="H10" s="24" t="n">
        <v>29.017</v>
      </c>
      <c r="I10" s="24" t="n">
        <v>77.75</v>
      </c>
      <c r="J10" s="24" t="s">
        <v>83</v>
      </c>
      <c r="K10" s="24" t="s">
        <v>2029</v>
      </c>
      <c r="L10" s="24" t="s">
        <v>84</v>
      </c>
      <c r="M10" s="24" t="s">
        <v>85</v>
      </c>
      <c r="N10" s="24" t="s">
        <v>86</v>
      </c>
      <c r="O10" s="24" t="s">
        <v>2242</v>
      </c>
      <c r="P10" s="24"/>
      <c r="Q10" s="24" t="n">
        <v>0.14</v>
      </c>
      <c r="R10" s="24" t="n">
        <v>0.31</v>
      </c>
      <c r="S10" s="24"/>
      <c r="T10" s="24"/>
      <c r="U10" s="24" t="n">
        <v>0.32</v>
      </c>
      <c r="V10" s="24"/>
      <c r="W10" s="24"/>
      <c r="X10" s="24"/>
      <c r="Y10" s="24" t="n">
        <v>0.12</v>
      </c>
      <c r="Z10" s="24"/>
      <c r="AA10" s="24"/>
      <c r="AB10" s="24"/>
      <c r="AC10" s="24"/>
      <c r="AD10" s="24"/>
      <c r="AE10" s="24"/>
      <c r="AF10" s="24"/>
      <c r="AG10" s="24"/>
      <c r="AH10" s="24"/>
      <c r="AI10" s="24"/>
      <c r="AJ10" s="24"/>
      <c r="AK10" s="24"/>
      <c r="AL10" s="24"/>
      <c r="AM10" s="24"/>
      <c r="AN10" s="24" t="n">
        <v>2</v>
      </c>
      <c r="AO10" s="24" t="n">
        <v>3</v>
      </c>
      <c r="AP10" s="24" t="n">
        <f aca="false">IF(AND(N(AN10)&gt;0,N(AO10)&gt;0),SQRT(2*AN10/AO10),"")</f>
        <v>1.15470053837925</v>
      </c>
      <c r="AQ10" s="24" t="n">
        <v>19</v>
      </c>
      <c r="AR10" s="24" t="n">
        <v>2</v>
      </c>
      <c r="AS10" s="24" t="n">
        <v>43</v>
      </c>
      <c r="AT10" s="24" t="n">
        <v>800</v>
      </c>
      <c r="AU10" s="24" t="n">
        <v>29.017</v>
      </c>
      <c r="AV10" s="24" t="n">
        <v>5</v>
      </c>
      <c r="AW10" s="24"/>
      <c r="AX10" s="24"/>
      <c r="AY10" s="24" t="n">
        <v>8.1</v>
      </c>
      <c r="AZ10" s="24"/>
      <c r="BA10" s="24"/>
      <c r="BB10" s="24" t="n">
        <v>55</v>
      </c>
      <c r="BC10" s="24" t="n">
        <v>26</v>
      </c>
      <c r="BD10" s="24" t="s">
        <v>2243</v>
      </c>
      <c r="BE10" s="24" t="s">
        <v>1722</v>
      </c>
      <c r="BF10" s="24" t="s">
        <v>2250</v>
      </c>
      <c r="BG10" s="24" t="s">
        <v>1724</v>
      </c>
      <c r="BH10" s="24" t="s">
        <v>1670</v>
      </c>
      <c r="BI10" s="25" t="s">
        <v>2247</v>
      </c>
      <c r="BJ10" s="24" t="s">
        <v>1008</v>
      </c>
      <c r="BK10" s="24" t="s">
        <v>2246</v>
      </c>
    </row>
    <row r="11" customFormat="false" ht="14.25" hidden="false" customHeight="false" outlineLevel="0" collapsed="false">
      <c r="A11" s="24" t="s">
        <v>988</v>
      </c>
      <c r="B11" s="24" t="s">
        <v>988</v>
      </c>
      <c r="C11" s="24" t="s">
        <v>989</v>
      </c>
      <c r="D11" s="24" t="n">
        <v>2011</v>
      </c>
      <c r="E11" s="24" t="s">
        <v>990</v>
      </c>
      <c r="F11" s="24" t="s">
        <v>857</v>
      </c>
      <c r="G11" s="24" t="s">
        <v>993</v>
      </c>
      <c r="H11" s="24" t="n">
        <v>29.017</v>
      </c>
      <c r="I11" s="24" t="n">
        <v>77.75</v>
      </c>
      <c r="J11" s="24" t="s">
        <v>83</v>
      </c>
      <c r="K11" s="24" t="s">
        <v>1675</v>
      </c>
      <c r="L11" s="24" t="s">
        <v>84</v>
      </c>
      <c r="M11" s="24" t="s">
        <v>85</v>
      </c>
      <c r="N11" s="24" t="s">
        <v>86</v>
      </c>
      <c r="O11" s="24" t="s">
        <v>2242</v>
      </c>
      <c r="P11" s="24"/>
      <c r="Q11" s="24" t="n">
        <v>0.14</v>
      </c>
      <c r="R11" s="24" t="n">
        <v>0.35</v>
      </c>
      <c r="S11" s="24"/>
      <c r="T11" s="24"/>
      <c r="U11" s="24" t="n">
        <v>0.44</v>
      </c>
      <c r="V11" s="24"/>
      <c r="W11" s="24"/>
      <c r="X11" s="24"/>
      <c r="Y11" s="24" t="n">
        <v>0.13</v>
      </c>
      <c r="Z11" s="24"/>
      <c r="AA11" s="24"/>
      <c r="AB11" s="24"/>
      <c r="AC11" s="24"/>
      <c r="AD11" s="24"/>
      <c r="AE11" s="24"/>
      <c r="AF11" s="24"/>
      <c r="AG11" s="24"/>
      <c r="AH11" s="24"/>
      <c r="AI11" s="24"/>
      <c r="AJ11" s="24"/>
      <c r="AK11" s="24"/>
      <c r="AL11" s="24"/>
      <c r="AM11" s="24"/>
      <c r="AN11" s="24" t="n">
        <v>2</v>
      </c>
      <c r="AO11" s="24" t="n">
        <v>3</v>
      </c>
      <c r="AP11" s="24" t="n">
        <f aca="false">IF(AND(N(AN11)&gt;0,N(AO11)&gt;0),SQRT(2*AN11/AO11),"")</f>
        <v>1.15470053837925</v>
      </c>
      <c r="AQ11" s="24" t="n">
        <v>19</v>
      </c>
      <c r="AR11" s="24" t="n">
        <v>2</v>
      </c>
      <c r="AS11" s="24" t="n">
        <v>43</v>
      </c>
      <c r="AT11" s="24" t="n">
        <v>800</v>
      </c>
      <c r="AU11" s="24" t="n">
        <v>29.017</v>
      </c>
      <c r="AV11" s="24" t="n">
        <v>6</v>
      </c>
      <c r="AW11" s="24"/>
      <c r="AX11" s="24"/>
      <c r="AY11" s="24" t="n">
        <v>8.1</v>
      </c>
      <c r="AZ11" s="24"/>
      <c r="BA11" s="24"/>
      <c r="BB11" s="24" t="n">
        <v>55</v>
      </c>
      <c r="BC11" s="24" t="n">
        <v>26</v>
      </c>
      <c r="BD11" s="24" t="s">
        <v>2243</v>
      </c>
      <c r="BE11" s="24" t="s">
        <v>1722</v>
      </c>
      <c r="BF11" s="24" t="s">
        <v>2251</v>
      </c>
      <c r="BG11" s="24" t="s">
        <v>1724</v>
      </c>
      <c r="BH11" s="24" t="s">
        <v>1670</v>
      </c>
      <c r="BI11" s="25" t="s">
        <v>2245</v>
      </c>
      <c r="BJ11" s="24" t="s">
        <v>1008</v>
      </c>
      <c r="BK11" s="24" t="s">
        <v>2246</v>
      </c>
    </row>
    <row r="12" customFormat="false" ht="14.25" hidden="false" customHeight="false" outlineLevel="0" collapsed="false">
      <c r="A12" s="24" t="s">
        <v>988</v>
      </c>
      <c r="B12" s="24" t="s">
        <v>988</v>
      </c>
      <c r="C12" s="24" t="s">
        <v>989</v>
      </c>
      <c r="D12" s="24" t="n">
        <v>2011</v>
      </c>
      <c r="E12" s="24" t="s">
        <v>990</v>
      </c>
      <c r="F12" s="24" t="s">
        <v>857</v>
      </c>
      <c r="G12" s="24" t="s">
        <v>993</v>
      </c>
      <c r="H12" s="24" t="n">
        <v>29.017</v>
      </c>
      <c r="I12" s="24" t="n">
        <v>77.75</v>
      </c>
      <c r="J12" s="24" t="s">
        <v>83</v>
      </c>
      <c r="K12" s="24" t="s">
        <v>1675</v>
      </c>
      <c r="L12" s="24" t="s">
        <v>84</v>
      </c>
      <c r="M12" s="24" t="s">
        <v>85</v>
      </c>
      <c r="N12" s="24" t="s">
        <v>86</v>
      </c>
      <c r="O12" s="24" t="s">
        <v>2242</v>
      </c>
      <c r="P12" s="24"/>
      <c r="Q12" s="24" t="n">
        <v>0.14</v>
      </c>
      <c r="R12" s="24" t="n">
        <v>0.32</v>
      </c>
      <c r="S12" s="24"/>
      <c r="T12" s="24"/>
      <c r="U12" s="24" t="n">
        <v>0.29</v>
      </c>
      <c r="V12" s="24"/>
      <c r="W12" s="24"/>
      <c r="X12" s="24"/>
      <c r="Y12" s="24" t="n">
        <v>0.13</v>
      </c>
      <c r="Z12" s="24"/>
      <c r="AA12" s="24"/>
      <c r="AB12" s="24"/>
      <c r="AC12" s="24"/>
      <c r="AD12" s="24"/>
      <c r="AE12" s="24"/>
      <c r="AF12" s="24"/>
      <c r="AG12" s="24"/>
      <c r="AH12" s="24"/>
      <c r="AI12" s="24"/>
      <c r="AJ12" s="24"/>
      <c r="AK12" s="24"/>
      <c r="AL12" s="24"/>
      <c r="AM12" s="24"/>
      <c r="AN12" s="24" t="n">
        <v>2</v>
      </c>
      <c r="AO12" s="24" t="n">
        <v>3</v>
      </c>
      <c r="AP12" s="24" t="n">
        <f aca="false">IF(AND(N(AN12)&gt;0,N(AO12)&gt;0),SQRT(2*AN12/AO12),"")</f>
        <v>1.15470053837925</v>
      </c>
      <c r="AQ12" s="24" t="n">
        <v>19</v>
      </c>
      <c r="AR12" s="24" t="n">
        <v>2</v>
      </c>
      <c r="AS12" s="24" t="n">
        <v>43</v>
      </c>
      <c r="AT12" s="24" t="n">
        <v>800</v>
      </c>
      <c r="AU12" s="24" t="n">
        <v>29.017</v>
      </c>
      <c r="AV12" s="24" t="n">
        <v>6</v>
      </c>
      <c r="AW12" s="24"/>
      <c r="AX12" s="24"/>
      <c r="AY12" s="24" t="n">
        <v>8.1</v>
      </c>
      <c r="AZ12" s="24"/>
      <c r="BA12" s="24"/>
      <c r="BB12" s="24" t="n">
        <v>55</v>
      </c>
      <c r="BC12" s="24" t="n">
        <v>26</v>
      </c>
      <c r="BD12" s="24" t="s">
        <v>2243</v>
      </c>
      <c r="BE12" s="24" t="s">
        <v>1722</v>
      </c>
      <c r="BF12" s="24" t="s">
        <v>2251</v>
      </c>
      <c r="BG12" s="24" t="s">
        <v>1724</v>
      </c>
      <c r="BH12" s="24" t="s">
        <v>1670</v>
      </c>
      <c r="BI12" s="25" t="s">
        <v>2247</v>
      </c>
      <c r="BJ12" s="24" t="s">
        <v>1008</v>
      </c>
      <c r="BK12" s="24" t="s">
        <v>2246</v>
      </c>
    </row>
    <row r="13" customFormat="false" ht="14.25" hidden="false" customHeight="false" outlineLevel="0" collapsed="false">
      <c r="A13" s="24" t="s">
        <v>988</v>
      </c>
      <c r="B13" s="24" t="s">
        <v>988</v>
      </c>
      <c r="C13" s="24" t="s">
        <v>989</v>
      </c>
      <c r="D13" s="24" t="n">
        <v>2011</v>
      </c>
      <c r="E13" s="24" t="s">
        <v>990</v>
      </c>
      <c r="F13" s="24" t="s">
        <v>857</v>
      </c>
      <c r="G13" s="24" t="s">
        <v>993</v>
      </c>
      <c r="H13" s="24" t="n">
        <v>29.017</v>
      </c>
      <c r="I13" s="24" t="n">
        <v>77.75</v>
      </c>
      <c r="J13" s="24" t="s">
        <v>83</v>
      </c>
      <c r="K13" s="24" t="s">
        <v>1931</v>
      </c>
      <c r="L13" s="24" t="s">
        <v>84</v>
      </c>
      <c r="M13" s="24" t="s">
        <v>85</v>
      </c>
      <c r="N13" s="24" t="s">
        <v>86</v>
      </c>
      <c r="O13" s="24" t="s">
        <v>2242</v>
      </c>
      <c r="P13" s="24"/>
      <c r="Q13" s="24" t="n">
        <v>0.13</v>
      </c>
      <c r="R13" s="24" t="n">
        <v>0.39</v>
      </c>
      <c r="S13" s="24"/>
      <c r="T13" s="24"/>
      <c r="U13" s="24" t="n">
        <v>0.44</v>
      </c>
      <c r="V13" s="24"/>
      <c r="W13" s="24"/>
      <c r="X13" s="24"/>
      <c r="Y13" s="24" t="n">
        <v>0.13</v>
      </c>
      <c r="Z13" s="24"/>
      <c r="AA13" s="24"/>
      <c r="AB13" s="24"/>
      <c r="AC13" s="24"/>
      <c r="AD13" s="24"/>
      <c r="AE13" s="24"/>
      <c r="AF13" s="24"/>
      <c r="AG13" s="24"/>
      <c r="AH13" s="24"/>
      <c r="AI13" s="24"/>
      <c r="AJ13" s="24"/>
      <c r="AK13" s="24"/>
      <c r="AL13" s="24"/>
      <c r="AM13" s="24"/>
      <c r="AN13" s="24" t="n">
        <v>2</v>
      </c>
      <c r="AO13" s="24" t="n">
        <v>3</v>
      </c>
      <c r="AP13" s="24" t="n">
        <f aca="false">IF(AND(N(AN13)&gt;0,N(AO13)&gt;0),SQRT(2*AN13/AO13),"")</f>
        <v>1.15470053837925</v>
      </c>
      <c r="AQ13" s="24" t="n">
        <v>19</v>
      </c>
      <c r="AR13" s="24" t="n">
        <v>2</v>
      </c>
      <c r="AS13" s="24" t="n">
        <v>43</v>
      </c>
      <c r="AT13" s="24" t="n">
        <v>800</v>
      </c>
      <c r="AU13" s="24" t="n">
        <v>29.017</v>
      </c>
      <c r="AV13" s="24" t="n">
        <v>7</v>
      </c>
      <c r="AW13" s="24"/>
      <c r="AX13" s="24"/>
      <c r="AY13" s="24" t="n">
        <v>8.1</v>
      </c>
      <c r="AZ13" s="24"/>
      <c r="BA13" s="24"/>
      <c r="BB13" s="24" t="n">
        <v>55</v>
      </c>
      <c r="BC13" s="24" t="n">
        <v>26</v>
      </c>
      <c r="BD13" s="24" t="s">
        <v>2243</v>
      </c>
      <c r="BE13" s="24" t="s">
        <v>1722</v>
      </c>
      <c r="BF13" s="24" t="s">
        <v>2252</v>
      </c>
      <c r="BG13" s="24" t="s">
        <v>1724</v>
      </c>
      <c r="BH13" s="24" t="s">
        <v>1670</v>
      </c>
      <c r="BI13" s="25" t="s">
        <v>2245</v>
      </c>
      <c r="BJ13" s="24" t="s">
        <v>1008</v>
      </c>
      <c r="BK13" s="24" t="s">
        <v>2246</v>
      </c>
    </row>
    <row r="14" customFormat="false" ht="14.25" hidden="false" customHeight="false" outlineLevel="0" collapsed="false">
      <c r="A14" s="24" t="s">
        <v>988</v>
      </c>
      <c r="B14" s="24" t="s">
        <v>988</v>
      </c>
      <c r="C14" s="24" t="s">
        <v>989</v>
      </c>
      <c r="D14" s="24" t="n">
        <v>2011</v>
      </c>
      <c r="E14" s="24" t="s">
        <v>990</v>
      </c>
      <c r="F14" s="24" t="s">
        <v>857</v>
      </c>
      <c r="G14" s="24" t="s">
        <v>993</v>
      </c>
      <c r="H14" s="24" t="n">
        <v>29.017</v>
      </c>
      <c r="I14" s="24" t="n">
        <v>77.75</v>
      </c>
      <c r="J14" s="24" t="s">
        <v>83</v>
      </c>
      <c r="K14" s="24" t="s">
        <v>1931</v>
      </c>
      <c r="L14" s="24" t="s">
        <v>84</v>
      </c>
      <c r="M14" s="24" t="s">
        <v>85</v>
      </c>
      <c r="N14" s="24" t="s">
        <v>86</v>
      </c>
      <c r="O14" s="24" t="s">
        <v>2242</v>
      </c>
      <c r="P14" s="24"/>
      <c r="Q14" s="24" t="n">
        <v>0.13</v>
      </c>
      <c r="R14" s="24" t="n">
        <v>0.34</v>
      </c>
      <c r="S14" s="24"/>
      <c r="T14" s="24"/>
      <c r="U14" s="24" t="n">
        <v>0.32</v>
      </c>
      <c r="V14" s="24"/>
      <c r="W14" s="24"/>
      <c r="X14" s="24"/>
      <c r="Y14" s="24" t="n">
        <v>0.13</v>
      </c>
      <c r="Z14" s="24"/>
      <c r="AA14" s="24"/>
      <c r="AB14" s="24"/>
      <c r="AC14" s="24"/>
      <c r="AD14" s="24"/>
      <c r="AE14" s="24"/>
      <c r="AF14" s="24"/>
      <c r="AG14" s="24"/>
      <c r="AH14" s="24"/>
      <c r="AI14" s="24"/>
      <c r="AJ14" s="24"/>
      <c r="AK14" s="24"/>
      <c r="AL14" s="24"/>
      <c r="AM14" s="24"/>
      <c r="AN14" s="24" t="n">
        <v>2</v>
      </c>
      <c r="AO14" s="24" t="n">
        <v>3</v>
      </c>
      <c r="AP14" s="24" t="n">
        <f aca="false">IF(AND(N(AN14)&gt;0,N(AO14)&gt;0),SQRT(2*AN14/AO14),"")</f>
        <v>1.15470053837925</v>
      </c>
      <c r="AQ14" s="24" t="n">
        <v>19</v>
      </c>
      <c r="AR14" s="24" t="n">
        <v>2</v>
      </c>
      <c r="AS14" s="24" t="n">
        <v>43</v>
      </c>
      <c r="AT14" s="24" t="n">
        <v>800</v>
      </c>
      <c r="AU14" s="24" t="n">
        <v>29.017</v>
      </c>
      <c r="AV14" s="24" t="n">
        <v>7</v>
      </c>
      <c r="AW14" s="24"/>
      <c r="AX14" s="24"/>
      <c r="AY14" s="24" t="n">
        <v>8.1</v>
      </c>
      <c r="AZ14" s="24"/>
      <c r="BA14" s="24"/>
      <c r="BB14" s="24" t="n">
        <v>55</v>
      </c>
      <c r="BC14" s="24" t="n">
        <v>26</v>
      </c>
      <c r="BD14" s="24" t="s">
        <v>2243</v>
      </c>
      <c r="BE14" s="24" t="s">
        <v>1722</v>
      </c>
      <c r="BF14" s="24" t="s">
        <v>2252</v>
      </c>
      <c r="BG14" s="24" t="s">
        <v>1724</v>
      </c>
      <c r="BH14" s="24" t="s">
        <v>1670</v>
      </c>
      <c r="BI14" s="25" t="s">
        <v>2247</v>
      </c>
      <c r="BJ14" s="24" t="s">
        <v>1008</v>
      </c>
      <c r="BK14" s="24" t="s">
        <v>2246</v>
      </c>
    </row>
    <row r="15" customFormat="false" ht="14.25" hidden="false" customHeight="false" outlineLevel="0" collapsed="false">
      <c r="A15" s="24" t="s">
        <v>1034</v>
      </c>
      <c r="B15" s="24" t="s">
        <v>1034</v>
      </c>
      <c r="C15" s="24" t="s">
        <v>1035</v>
      </c>
      <c r="D15" s="24" t="n">
        <v>2022</v>
      </c>
      <c r="E15" s="24" t="s">
        <v>80</v>
      </c>
      <c r="F15" s="24" t="s">
        <v>912</v>
      </c>
      <c r="G15" s="24" t="s">
        <v>913</v>
      </c>
      <c r="H15" s="24" t="n">
        <v>29.706</v>
      </c>
      <c r="I15" s="24" t="n">
        <v>76.956</v>
      </c>
      <c r="J15" s="24" t="s">
        <v>83</v>
      </c>
      <c r="K15" s="24" t="n">
        <v>2019</v>
      </c>
      <c r="L15" s="24" t="s">
        <v>84</v>
      </c>
      <c r="M15" s="24" t="s">
        <v>85</v>
      </c>
      <c r="N15" s="24" t="s">
        <v>86</v>
      </c>
      <c r="O15" s="24" t="s">
        <v>2253</v>
      </c>
      <c r="P15" s="24" t="n">
        <v>0.83</v>
      </c>
      <c r="Q15" s="24" t="n">
        <v>0.44</v>
      </c>
      <c r="R15" s="24"/>
      <c r="S15" s="24"/>
      <c r="T15" s="24"/>
      <c r="U15" s="24"/>
      <c r="V15" s="24"/>
      <c r="W15" s="24"/>
      <c r="X15" s="24" t="n">
        <v>0.52</v>
      </c>
      <c r="Y15" s="24"/>
      <c r="Z15" s="24"/>
      <c r="AA15" s="24"/>
      <c r="AB15" s="24"/>
      <c r="AC15" s="24"/>
      <c r="AD15" s="24"/>
      <c r="AE15" s="24"/>
      <c r="AF15" s="24"/>
      <c r="AG15" s="24"/>
      <c r="AH15" s="24"/>
      <c r="AI15" s="24"/>
      <c r="AJ15" s="24"/>
      <c r="AK15" s="24"/>
      <c r="AL15" s="24"/>
      <c r="AM15" s="24"/>
      <c r="AN15" s="24" t="n">
        <v>1</v>
      </c>
      <c r="AO15" s="24" t="n">
        <v>3</v>
      </c>
      <c r="AP15" s="24" t="n">
        <f aca="false">IF(AND(N(AN15)&gt;0,N(AO15)&gt;0),SQRT(2*AN15/AO15),"")</f>
        <v>0.816496580927726</v>
      </c>
      <c r="AQ15" s="24"/>
      <c r="AR15" s="24"/>
      <c r="AS15" s="24"/>
      <c r="AT15" s="24" t="n">
        <v>670</v>
      </c>
      <c r="AU15" s="24" t="n">
        <v>29.706</v>
      </c>
      <c r="AV15" s="24" t="n">
        <v>10</v>
      </c>
      <c r="AW15" s="24"/>
      <c r="AX15" s="24"/>
      <c r="AY15" s="24"/>
      <c r="AZ15" s="24"/>
      <c r="BA15" s="24"/>
      <c r="BB15" s="24"/>
      <c r="BC15" s="24"/>
      <c r="BD15" s="24" t="s">
        <v>2243</v>
      </c>
      <c r="BE15" s="24" t="s">
        <v>1742</v>
      </c>
      <c r="BF15" s="24" t="s">
        <v>1743</v>
      </c>
      <c r="BG15" s="24" t="s">
        <v>1744</v>
      </c>
      <c r="BH15" s="24" t="s">
        <v>1725</v>
      </c>
      <c r="BI15" s="25" t="s">
        <v>2254</v>
      </c>
      <c r="BJ15" s="24" t="s">
        <v>1046</v>
      </c>
      <c r="BK15" s="24" t="s">
        <v>2255</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2256</v>
      </c>
      <c r="Q1" s="27" t="s">
        <v>2257</v>
      </c>
      <c r="R1" s="27" t="s">
        <v>2258</v>
      </c>
      <c r="S1" s="27" t="s">
        <v>2259</v>
      </c>
      <c r="T1" s="27" t="s">
        <v>2260</v>
      </c>
      <c r="U1" s="27" t="s">
        <v>2261</v>
      </c>
      <c r="V1" s="27" t="s">
        <v>2262</v>
      </c>
      <c r="W1" s="27" t="s">
        <v>2263</v>
      </c>
      <c r="X1" s="30" t="s">
        <v>2264</v>
      </c>
      <c r="Y1" s="30" t="s">
        <v>2265</v>
      </c>
      <c r="Z1" s="30" t="s">
        <v>2266</v>
      </c>
      <c r="AA1" s="30" t="s">
        <v>2267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2268</v>
      </c>
      <c r="AS2" s="18" t="s">
        <v>1667</v>
      </c>
      <c r="AT2" s="18" t="s">
        <v>1668</v>
      </c>
      <c r="AU2" s="18" t="s">
        <v>1669</v>
      </c>
      <c r="AV2" s="18" t="s">
        <v>2269</v>
      </c>
      <c r="AW2" s="32" t="s">
        <v>2270</v>
      </c>
      <c r="AX2" s="18" t="s">
        <v>898</v>
      </c>
      <c r="AY2" s="18" t="s">
        <v>2271</v>
      </c>
      <c r="BA2" s="33" t="s">
        <v>1113</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1893</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2272</v>
      </c>
      <c r="AS3" s="5" t="s">
        <v>1895</v>
      </c>
      <c r="AT3" s="5" t="s">
        <v>1896</v>
      </c>
      <c r="AU3" s="5" t="s">
        <v>1897</v>
      </c>
      <c r="AV3" s="5" t="s">
        <v>2273</v>
      </c>
      <c r="AW3" s="23" t="s">
        <v>2274</v>
      </c>
      <c r="AX3" s="5" t="s">
        <v>869</v>
      </c>
      <c r="AY3" s="5" t="s">
        <v>2275</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2276</v>
      </c>
      <c r="AS4" s="5" t="s">
        <v>1895</v>
      </c>
      <c r="AT4" s="5" t="s">
        <v>1896</v>
      </c>
      <c r="AU4" s="5" t="s">
        <v>1897</v>
      </c>
      <c r="AV4" s="5" t="s">
        <v>2273</v>
      </c>
      <c r="AW4" s="23" t="s">
        <v>2277</v>
      </c>
      <c r="AX4" s="5" t="s">
        <v>869</v>
      </c>
      <c r="AY4" s="5" t="s">
        <v>2278</v>
      </c>
    </row>
    <row r="5" customFormat="false" ht="1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2272</v>
      </c>
      <c r="AS5" s="5" t="s">
        <v>1895</v>
      </c>
      <c r="AT5" s="5" t="s">
        <v>1896</v>
      </c>
      <c r="AU5" s="5" t="s">
        <v>1897</v>
      </c>
      <c r="AV5" s="5" t="s">
        <v>2273</v>
      </c>
      <c r="AW5" s="23" t="s">
        <v>2274</v>
      </c>
      <c r="AX5" s="5" t="s">
        <v>869</v>
      </c>
      <c r="AY5" s="5" t="s">
        <v>2275</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86</v>
      </c>
      <c r="O6" s="5" t="s">
        <v>1905</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2276</v>
      </c>
      <c r="AS6" s="5" t="s">
        <v>1895</v>
      </c>
      <c r="AT6" s="5" t="s">
        <v>1896</v>
      </c>
      <c r="AU6" s="5" t="s">
        <v>1897</v>
      </c>
      <c r="AV6" s="5" t="s">
        <v>2273</v>
      </c>
      <c r="AW6" s="23" t="s">
        <v>2277</v>
      </c>
      <c r="AX6" s="5" t="s">
        <v>869</v>
      </c>
      <c r="AY6" s="5" t="s">
        <v>2278</v>
      </c>
    </row>
    <row r="7" customFormat="false" ht="14.25" hidden="false" customHeight="true" outlineLevel="0" collapsed="false">
      <c r="A7" s="5" t="n">
        <v>166</v>
      </c>
      <c r="B7" s="5" t="n">
        <v>166</v>
      </c>
      <c r="C7" s="5" t="s">
        <v>853</v>
      </c>
      <c r="D7" s="5" t="n">
        <v>2014</v>
      </c>
      <c r="E7" s="5" t="s">
        <v>854</v>
      </c>
      <c r="F7" s="5" t="s">
        <v>857</v>
      </c>
      <c r="G7" s="5" t="s">
        <v>858</v>
      </c>
      <c r="H7" s="5" t="n">
        <v>29.067</v>
      </c>
      <c r="I7" s="5" t="n">
        <v>77.767</v>
      </c>
      <c r="J7" s="5" t="s">
        <v>83</v>
      </c>
      <c r="K7" s="5" t="n">
        <v>2011</v>
      </c>
      <c r="L7" s="5" t="s">
        <v>823</v>
      </c>
      <c r="M7" s="5" t="s">
        <v>85</v>
      </c>
      <c r="N7" s="5" t="s">
        <v>1673</v>
      </c>
      <c r="O7" s="5" t="s">
        <v>1674</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2272</v>
      </c>
      <c r="AS7" s="5" t="s">
        <v>1895</v>
      </c>
      <c r="AT7" s="5" t="s">
        <v>1896</v>
      </c>
      <c r="AU7" s="5" t="s">
        <v>1897</v>
      </c>
      <c r="AV7" s="5" t="s">
        <v>2273</v>
      </c>
      <c r="AW7" s="23" t="s">
        <v>2279</v>
      </c>
      <c r="AX7" s="5" t="s">
        <v>869</v>
      </c>
      <c r="AY7" s="5" t="s">
        <v>2275</v>
      </c>
    </row>
    <row r="8" customFormat="false" ht="14.25" hidden="false" customHeight="true" outlineLevel="0" collapsed="false">
      <c r="A8" s="5" t="n">
        <v>166</v>
      </c>
      <c r="B8" s="5" t="n">
        <v>166</v>
      </c>
      <c r="C8" s="5" t="s">
        <v>853</v>
      </c>
      <c r="D8" s="5" t="n">
        <v>2014</v>
      </c>
      <c r="E8" s="5" t="s">
        <v>854</v>
      </c>
      <c r="F8" s="5" t="s">
        <v>857</v>
      </c>
      <c r="G8" s="5" t="s">
        <v>858</v>
      </c>
      <c r="H8" s="5" t="n">
        <v>29.067</v>
      </c>
      <c r="I8" s="5" t="n">
        <v>77.767</v>
      </c>
      <c r="J8" s="5" t="s">
        <v>83</v>
      </c>
      <c r="K8" s="5" t="n">
        <v>2011</v>
      </c>
      <c r="L8" s="5" t="s">
        <v>823</v>
      </c>
      <c r="M8" s="5" t="s">
        <v>85</v>
      </c>
      <c r="N8" s="5" t="s">
        <v>1673</v>
      </c>
      <c r="O8" s="5" t="s">
        <v>1674</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2276</v>
      </c>
      <c r="AS8" s="5" t="s">
        <v>1895</v>
      </c>
      <c r="AT8" s="5" t="s">
        <v>1896</v>
      </c>
      <c r="AU8" s="5" t="s">
        <v>1897</v>
      </c>
      <c r="AV8" s="5" t="s">
        <v>2273</v>
      </c>
      <c r="AW8" s="23" t="s">
        <v>2280</v>
      </c>
      <c r="AX8" s="5" t="s">
        <v>869</v>
      </c>
      <c r="AY8" s="5" t="s">
        <v>2278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2281</v>
      </c>
      <c r="Q1" s="27" t="s">
        <v>2282</v>
      </c>
      <c r="R1" s="27" t="s">
        <v>2283</v>
      </c>
      <c r="S1" s="27" t="s">
        <v>2284</v>
      </c>
      <c r="T1" s="27" t="s">
        <v>2285</v>
      </c>
      <c r="U1" s="27" t="s">
        <v>2286</v>
      </c>
      <c r="V1" s="27" t="s">
        <v>2287</v>
      </c>
      <c r="W1" s="27" t="s">
        <v>2288</v>
      </c>
      <c r="X1" s="30" t="s">
        <v>2289</v>
      </c>
      <c r="Y1" s="30" t="s">
        <v>2290</v>
      </c>
      <c r="Z1" s="30" t="s">
        <v>2291</v>
      </c>
      <c r="AA1" s="30" t="s">
        <v>2292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2293</v>
      </c>
      <c r="AS2" s="18" t="s">
        <v>1667</v>
      </c>
      <c r="AT2" s="18" t="s">
        <v>1668</v>
      </c>
      <c r="AU2" s="18" t="s">
        <v>1669</v>
      </c>
      <c r="AV2" s="18" t="s">
        <v>2269</v>
      </c>
      <c r="AW2" s="32" t="s">
        <v>2294</v>
      </c>
      <c r="AX2" s="18" t="s">
        <v>898</v>
      </c>
      <c r="AY2" s="18" t="s">
        <v>2271</v>
      </c>
      <c r="BA2" s="33" t="s">
        <v>1116</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1893</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2295</v>
      </c>
      <c r="AS3" s="5" t="s">
        <v>1895</v>
      </c>
      <c r="AT3" s="5" t="s">
        <v>1896</v>
      </c>
      <c r="AU3" s="5" t="s">
        <v>1897</v>
      </c>
      <c r="AV3" s="5" t="s">
        <v>2273</v>
      </c>
      <c r="AW3" s="23" t="s">
        <v>2296</v>
      </c>
      <c r="AX3" s="5" t="s">
        <v>869</v>
      </c>
      <c r="AY3" s="5" t="s">
        <v>2275</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2297</v>
      </c>
      <c r="AS4" s="5" t="s">
        <v>1895</v>
      </c>
      <c r="AT4" s="5" t="s">
        <v>1896</v>
      </c>
      <c r="AU4" s="5" t="s">
        <v>1897</v>
      </c>
      <c r="AV4" s="5" t="s">
        <v>2273</v>
      </c>
      <c r="AW4" s="23" t="s">
        <v>2298</v>
      </c>
      <c r="AX4" s="5" t="s">
        <v>869</v>
      </c>
      <c r="AY4" s="5" t="s">
        <v>2278</v>
      </c>
    </row>
    <row r="5" customFormat="false" ht="1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2295</v>
      </c>
      <c r="AS5" s="5" t="s">
        <v>1895</v>
      </c>
      <c r="AT5" s="5" t="s">
        <v>1896</v>
      </c>
      <c r="AU5" s="5" t="s">
        <v>1897</v>
      </c>
      <c r="AV5" s="5" t="s">
        <v>2273</v>
      </c>
      <c r="AW5" s="23" t="s">
        <v>2296</v>
      </c>
      <c r="AX5" s="5" t="s">
        <v>869</v>
      </c>
      <c r="AY5" s="5" t="s">
        <v>2275</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86</v>
      </c>
      <c r="O6" s="5" t="s">
        <v>1905</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2297</v>
      </c>
      <c r="AS6" s="5" t="s">
        <v>1895</v>
      </c>
      <c r="AT6" s="5" t="s">
        <v>1896</v>
      </c>
      <c r="AU6" s="5" t="s">
        <v>1897</v>
      </c>
      <c r="AV6" s="5" t="s">
        <v>2273</v>
      </c>
      <c r="AW6" s="23" t="s">
        <v>2298</v>
      </c>
      <c r="AX6" s="5" t="s">
        <v>869</v>
      </c>
      <c r="AY6" s="5" t="s">
        <v>2278</v>
      </c>
    </row>
    <row r="7" customFormat="false" ht="14.25" hidden="false" customHeight="true" outlineLevel="0" collapsed="false">
      <c r="A7" s="5" t="n">
        <v>166</v>
      </c>
      <c r="B7" s="5" t="n">
        <v>166</v>
      </c>
      <c r="C7" s="5" t="s">
        <v>853</v>
      </c>
      <c r="D7" s="5" t="n">
        <v>2014</v>
      </c>
      <c r="E7" s="5" t="s">
        <v>854</v>
      </c>
      <c r="F7" s="5" t="s">
        <v>857</v>
      </c>
      <c r="G7" s="5" t="s">
        <v>858</v>
      </c>
      <c r="H7" s="5" t="n">
        <v>29.067</v>
      </c>
      <c r="I7" s="5" t="n">
        <v>77.767</v>
      </c>
      <c r="J7" s="5" t="s">
        <v>83</v>
      </c>
      <c r="K7" s="5" t="n">
        <v>2011</v>
      </c>
      <c r="L7" s="5" t="s">
        <v>823</v>
      </c>
      <c r="M7" s="5" t="s">
        <v>85</v>
      </c>
      <c r="N7" s="5" t="s">
        <v>1673</v>
      </c>
      <c r="O7" s="5" t="s">
        <v>1674</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2295</v>
      </c>
      <c r="AS7" s="5" t="s">
        <v>1895</v>
      </c>
      <c r="AT7" s="5" t="s">
        <v>1896</v>
      </c>
      <c r="AU7" s="5" t="s">
        <v>1897</v>
      </c>
      <c r="AV7" s="5" t="s">
        <v>2273</v>
      </c>
      <c r="AW7" s="23" t="s">
        <v>2299</v>
      </c>
      <c r="AX7" s="5" t="s">
        <v>869</v>
      </c>
      <c r="AY7" s="5" t="s">
        <v>2275</v>
      </c>
    </row>
    <row r="8" customFormat="false" ht="14.25" hidden="false" customHeight="true" outlineLevel="0" collapsed="false">
      <c r="A8" s="5" t="n">
        <v>166</v>
      </c>
      <c r="B8" s="5" t="n">
        <v>166</v>
      </c>
      <c r="C8" s="5" t="s">
        <v>853</v>
      </c>
      <c r="D8" s="5" t="n">
        <v>2014</v>
      </c>
      <c r="E8" s="5" t="s">
        <v>854</v>
      </c>
      <c r="F8" s="5" t="s">
        <v>857</v>
      </c>
      <c r="G8" s="5" t="s">
        <v>858</v>
      </c>
      <c r="H8" s="5" t="n">
        <v>29.067</v>
      </c>
      <c r="I8" s="5" t="n">
        <v>77.767</v>
      </c>
      <c r="J8" s="5" t="s">
        <v>83</v>
      </c>
      <c r="K8" s="5" t="n">
        <v>2011</v>
      </c>
      <c r="L8" s="5" t="s">
        <v>823</v>
      </c>
      <c r="M8" s="5" t="s">
        <v>85</v>
      </c>
      <c r="N8" s="5" t="s">
        <v>1673</v>
      </c>
      <c r="O8" s="5" t="s">
        <v>1674</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2297</v>
      </c>
      <c r="AS8" s="5" t="s">
        <v>1895</v>
      </c>
      <c r="AT8" s="5" t="s">
        <v>1896</v>
      </c>
      <c r="AU8" s="5" t="s">
        <v>1897</v>
      </c>
      <c r="AV8" s="5" t="s">
        <v>2273</v>
      </c>
      <c r="AW8" s="23" t="s">
        <v>2300</v>
      </c>
      <c r="AX8" s="5" t="s">
        <v>869</v>
      </c>
      <c r="AY8" s="5" t="s">
        <v>2278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2301</v>
      </c>
      <c r="Q1" s="27" t="s">
        <v>2302</v>
      </c>
      <c r="R1" s="27" t="s">
        <v>2303</v>
      </c>
      <c r="S1" s="27" t="s">
        <v>2304</v>
      </c>
      <c r="T1" s="27" t="s">
        <v>2305</v>
      </c>
      <c r="U1" s="27" t="s">
        <v>2306</v>
      </c>
      <c r="V1" s="27" t="s">
        <v>2307</v>
      </c>
      <c r="W1" s="27" t="s">
        <v>2308</v>
      </c>
      <c r="X1" s="30" t="s">
        <v>2309</v>
      </c>
      <c r="Y1" s="30" t="s">
        <v>2310</v>
      </c>
      <c r="Z1" s="30" t="s">
        <v>2311</v>
      </c>
      <c r="AA1" s="30" t="s">
        <v>2312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24" t="s">
        <v>988</v>
      </c>
      <c r="B2" s="24" t="s">
        <v>988</v>
      </c>
      <c r="C2" s="24" t="s">
        <v>989</v>
      </c>
      <c r="D2" s="24" t="n">
        <v>2011</v>
      </c>
      <c r="E2" s="24" t="s">
        <v>990</v>
      </c>
      <c r="F2" s="24" t="s">
        <v>857</v>
      </c>
      <c r="G2" s="24" t="s">
        <v>993</v>
      </c>
      <c r="H2" s="24" t="n">
        <v>29.017</v>
      </c>
      <c r="I2" s="24" t="n">
        <v>77.75</v>
      </c>
      <c r="J2" s="24" t="s">
        <v>83</v>
      </c>
      <c r="K2" s="24" t="s">
        <v>1931</v>
      </c>
      <c r="L2" s="24" t="s">
        <v>84</v>
      </c>
      <c r="M2" s="24" t="s">
        <v>85</v>
      </c>
      <c r="N2" s="24" t="s">
        <v>86</v>
      </c>
      <c r="O2" s="24" t="s">
        <v>1720</v>
      </c>
      <c r="P2" s="24"/>
      <c r="Q2" s="24" t="n">
        <v>3.29</v>
      </c>
      <c r="R2" s="24" t="n">
        <v>6.2</v>
      </c>
      <c r="S2" s="24"/>
      <c r="T2" s="24"/>
      <c r="U2" s="24" t="n">
        <v>5.81</v>
      </c>
      <c r="V2" s="24"/>
      <c r="W2" s="24"/>
      <c r="X2" s="24"/>
      <c r="Y2" s="24" t="n">
        <v>3</v>
      </c>
      <c r="Z2" s="24"/>
      <c r="AA2" s="24"/>
      <c r="AB2" s="24" t="n">
        <v>5</v>
      </c>
      <c r="AC2" s="24" t="n">
        <v>3</v>
      </c>
      <c r="AD2" s="24" t="n">
        <f aca="false">IF(AND(N(AB2)&gt;0,N(AC2)&gt;0),SQRT(2*AB2/AC2),"")</f>
        <v>1.82574185835055</v>
      </c>
      <c r="AE2" s="24" t="n">
        <v>19</v>
      </c>
      <c r="AF2" s="24" t="n">
        <v>2</v>
      </c>
      <c r="AG2" s="24" t="n">
        <v>43</v>
      </c>
      <c r="AH2" s="24" t="n">
        <v>800</v>
      </c>
      <c r="AI2" s="24" t="n">
        <v>29.017</v>
      </c>
      <c r="AJ2" s="24" t="n">
        <v>7</v>
      </c>
      <c r="AK2" s="24"/>
      <c r="AL2" s="24"/>
      <c r="AM2" s="24" t="n">
        <v>8.1</v>
      </c>
      <c r="AN2" s="24"/>
      <c r="AO2" s="24"/>
      <c r="AP2" s="24" t="n">
        <v>55</v>
      </c>
      <c r="AQ2" s="24" t="n">
        <v>26</v>
      </c>
      <c r="AR2" s="24" t="s">
        <v>763</v>
      </c>
      <c r="AS2" s="24" t="s">
        <v>1722</v>
      </c>
      <c r="AT2" s="24" t="s">
        <v>2313</v>
      </c>
      <c r="AU2" s="24" t="s">
        <v>1724</v>
      </c>
      <c r="AV2" s="24" t="s">
        <v>2314</v>
      </c>
      <c r="AW2" s="25" t="s">
        <v>2315</v>
      </c>
      <c r="AX2" s="24" t="s">
        <v>1008</v>
      </c>
      <c r="AY2" s="24" t="s">
        <v>2316</v>
      </c>
      <c r="BA2" s="14" t="s">
        <v>2317</v>
      </c>
    </row>
    <row r="3" customFormat="false" ht="14.25" hidden="false" customHeight="false" outlineLevel="0" collapsed="false">
      <c r="A3" s="24" t="s">
        <v>988</v>
      </c>
      <c r="B3" s="24" t="s">
        <v>988</v>
      </c>
      <c r="C3" s="24" t="s">
        <v>989</v>
      </c>
      <c r="D3" s="24" t="n">
        <v>2011</v>
      </c>
      <c r="E3" s="24" t="s">
        <v>990</v>
      </c>
      <c r="F3" s="24" t="s">
        <v>857</v>
      </c>
      <c r="G3" s="24" t="s">
        <v>993</v>
      </c>
      <c r="H3" s="24" t="n">
        <v>29.017</v>
      </c>
      <c r="I3" s="24" t="n">
        <v>77.75</v>
      </c>
      <c r="J3" s="24" t="s">
        <v>83</v>
      </c>
      <c r="K3" s="24" t="s">
        <v>1931</v>
      </c>
      <c r="L3" s="24" t="s">
        <v>84</v>
      </c>
      <c r="M3" s="24" t="s">
        <v>85</v>
      </c>
      <c r="N3" s="24" t="s">
        <v>86</v>
      </c>
      <c r="O3" s="24" t="s">
        <v>1720</v>
      </c>
      <c r="P3" s="24"/>
      <c r="Q3" s="24" t="n">
        <v>3.29</v>
      </c>
      <c r="R3" s="24" t="n">
        <v>4.37</v>
      </c>
      <c r="S3" s="24"/>
      <c r="T3" s="24"/>
      <c r="U3" s="24" t="n">
        <v>5.1</v>
      </c>
      <c r="V3" s="24"/>
      <c r="W3" s="24"/>
      <c r="X3" s="24"/>
      <c r="Y3" s="24" t="n">
        <v>3</v>
      </c>
      <c r="Z3" s="24"/>
      <c r="AA3" s="24"/>
      <c r="AB3" s="24" t="n">
        <v>5</v>
      </c>
      <c r="AC3" s="24" t="n">
        <v>3</v>
      </c>
      <c r="AD3" s="24" t="n">
        <f aca="false">IF(AND(N(AB3)&gt;0,N(AC3)&gt;0),SQRT(2*AB3/AC3),"")</f>
        <v>1.82574185835055</v>
      </c>
      <c r="AE3" s="24" t="n">
        <v>19</v>
      </c>
      <c r="AF3" s="24" t="n">
        <v>2</v>
      </c>
      <c r="AG3" s="24" t="n">
        <v>43</v>
      </c>
      <c r="AH3" s="24" t="n">
        <v>800</v>
      </c>
      <c r="AI3" s="24" t="n">
        <v>29.017</v>
      </c>
      <c r="AJ3" s="24" t="n">
        <v>7</v>
      </c>
      <c r="AK3" s="24"/>
      <c r="AL3" s="24"/>
      <c r="AM3" s="24" t="n">
        <v>8.1</v>
      </c>
      <c r="AN3" s="24"/>
      <c r="AO3" s="24"/>
      <c r="AP3" s="24" t="n">
        <v>55</v>
      </c>
      <c r="AQ3" s="24" t="n">
        <v>26</v>
      </c>
      <c r="AR3" s="24" t="s">
        <v>763</v>
      </c>
      <c r="AS3" s="24" t="s">
        <v>1722</v>
      </c>
      <c r="AT3" s="24" t="s">
        <v>2313</v>
      </c>
      <c r="AU3" s="24" t="s">
        <v>1724</v>
      </c>
      <c r="AV3" s="24" t="s">
        <v>2314</v>
      </c>
      <c r="AW3" s="25" t="s">
        <v>2318</v>
      </c>
      <c r="AX3" s="24" t="s">
        <v>1008</v>
      </c>
      <c r="AY3" s="24" t="s">
        <v>2316</v>
      </c>
    </row>
    <row r="4" customFormat="false" ht="14.25" hidden="false" customHeight="false" outlineLevel="0" collapsed="false">
      <c r="A4" s="24" t="s">
        <v>988</v>
      </c>
      <c r="B4" s="24" t="s">
        <v>988</v>
      </c>
      <c r="C4" s="24" t="s">
        <v>989</v>
      </c>
      <c r="D4" s="24" t="n">
        <v>2011</v>
      </c>
      <c r="E4" s="24" t="s">
        <v>990</v>
      </c>
      <c r="F4" s="24" t="s">
        <v>857</v>
      </c>
      <c r="G4" s="24" t="s">
        <v>993</v>
      </c>
      <c r="H4" s="24" t="n">
        <v>29.017</v>
      </c>
      <c r="I4" s="24" t="n">
        <v>77.75</v>
      </c>
      <c r="J4" s="24" t="s">
        <v>83</v>
      </c>
      <c r="K4" s="24" t="s">
        <v>1931</v>
      </c>
      <c r="L4" s="24" t="s">
        <v>84</v>
      </c>
      <c r="M4" s="24" t="s">
        <v>85</v>
      </c>
      <c r="N4" s="24" t="s">
        <v>86</v>
      </c>
      <c r="O4" s="24" t="s">
        <v>1729</v>
      </c>
      <c r="P4" s="24"/>
      <c r="Q4" s="24" t="n">
        <v>3.48</v>
      </c>
      <c r="R4" s="24" t="n">
        <v>5.8</v>
      </c>
      <c r="S4" s="24"/>
      <c r="T4" s="24"/>
      <c r="U4" s="24" t="n">
        <v>5.47</v>
      </c>
      <c r="V4" s="24"/>
      <c r="W4" s="24"/>
      <c r="X4" s="24"/>
      <c r="Y4" s="24" t="n">
        <v>3.1</v>
      </c>
      <c r="Z4" s="24"/>
      <c r="AA4" s="24"/>
      <c r="AB4" s="24" t="n">
        <v>5</v>
      </c>
      <c r="AC4" s="24" t="n">
        <v>3</v>
      </c>
      <c r="AD4" s="24" t="n">
        <f aca="false">IF(AND(N(AB4)&gt;0,N(AC4)&gt;0),SQRT(2*AB4/AC4),"")</f>
        <v>1.82574185835055</v>
      </c>
      <c r="AE4" s="24" t="n">
        <v>19</v>
      </c>
      <c r="AF4" s="24" t="n">
        <v>2</v>
      </c>
      <c r="AG4" s="24" t="n">
        <v>43</v>
      </c>
      <c r="AH4" s="24" t="n">
        <v>800</v>
      </c>
      <c r="AI4" s="24" t="n">
        <v>29.017</v>
      </c>
      <c r="AJ4" s="24" t="n">
        <v>7</v>
      </c>
      <c r="AK4" s="24"/>
      <c r="AL4" s="24"/>
      <c r="AM4" s="24" t="n">
        <v>8.1</v>
      </c>
      <c r="AN4" s="24"/>
      <c r="AO4" s="24"/>
      <c r="AP4" s="24" t="n">
        <v>55</v>
      </c>
      <c r="AQ4" s="24" t="n">
        <v>26</v>
      </c>
      <c r="AR4" s="24" t="s">
        <v>763</v>
      </c>
      <c r="AS4" s="24" t="s">
        <v>1722</v>
      </c>
      <c r="AT4" s="24" t="s">
        <v>2313</v>
      </c>
      <c r="AU4" s="24" t="s">
        <v>1724</v>
      </c>
      <c r="AV4" s="24" t="s">
        <v>2314</v>
      </c>
      <c r="AW4" s="25" t="s">
        <v>2315</v>
      </c>
      <c r="AX4" s="24" t="s">
        <v>1008</v>
      </c>
      <c r="AY4" s="24" t="s">
        <v>2316</v>
      </c>
    </row>
    <row r="5" customFormat="false" ht="14.25" hidden="false" customHeight="false" outlineLevel="0" collapsed="false">
      <c r="A5" s="24" t="s">
        <v>988</v>
      </c>
      <c r="B5" s="24" t="s">
        <v>988</v>
      </c>
      <c r="C5" s="24" t="s">
        <v>989</v>
      </c>
      <c r="D5" s="24" t="n">
        <v>2011</v>
      </c>
      <c r="E5" s="24" t="s">
        <v>990</v>
      </c>
      <c r="F5" s="24" t="s">
        <v>857</v>
      </c>
      <c r="G5" s="24" t="s">
        <v>993</v>
      </c>
      <c r="H5" s="24" t="n">
        <v>29.017</v>
      </c>
      <c r="I5" s="24" t="n">
        <v>77.75</v>
      </c>
      <c r="J5" s="24" t="s">
        <v>83</v>
      </c>
      <c r="K5" s="24" t="s">
        <v>1931</v>
      </c>
      <c r="L5" s="24" t="s">
        <v>84</v>
      </c>
      <c r="M5" s="24" t="s">
        <v>85</v>
      </c>
      <c r="N5" s="24" t="s">
        <v>86</v>
      </c>
      <c r="O5" s="24" t="s">
        <v>1729</v>
      </c>
      <c r="P5" s="24"/>
      <c r="Q5" s="24" t="n">
        <v>3.48</v>
      </c>
      <c r="R5" s="24" t="n">
        <v>3.88</v>
      </c>
      <c r="S5" s="24"/>
      <c r="T5" s="24"/>
      <c r="U5" s="24" t="n">
        <v>4.71</v>
      </c>
      <c r="V5" s="24"/>
      <c r="W5" s="24"/>
      <c r="X5" s="24"/>
      <c r="Y5" s="24" t="n">
        <v>3.1</v>
      </c>
      <c r="Z5" s="24"/>
      <c r="AA5" s="24"/>
      <c r="AB5" s="24" t="n">
        <v>5</v>
      </c>
      <c r="AC5" s="24" t="n">
        <v>3</v>
      </c>
      <c r="AD5" s="24" t="n">
        <f aca="false">IF(AND(N(AB5)&gt;0,N(AC5)&gt;0),SQRT(2*AB5/AC5),"")</f>
        <v>1.82574185835055</v>
      </c>
      <c r="AE5" s="24" t="n">
        <v>19</v>
      </c>
      <c r="AF5" s="24" t="n">
        <v>2</v>
      </c>
      <c r="AG5" s="24" t="n">
        <v>43</v>
      </c>
      <c r="AH5" s="24" t="n">
        <v>800</v>
      </c>
      <c r="AI5" s="24" t="n">
        <v>29.017</v>
      </c>
      <c r="AJ5" s="24" t="n">
        <v>7</v>
      </c>
      <c r="AK5" s="24"/>
      <c r="AL5" s="24"/>
      <c r="AM5" s="24" t="n">
        <v>8.1</v>
      </c>
      <c r="AN5" s="24"/>
      <c r="AO5" s="24"/>
      <c r="AP5" s="24" t="n">
        <v>55</v>
      </c>
      <c r="AQ5" s="24" t="n">
        <v>26</v>
      </c>
      <c r="AR5" s="24" t="s">
        <v>763</v>
      </c>
      <c r="AS5" s="24" t="s">
        <v>1722</v>
      </c>
      <c r="AT5" s="24" t="s">
        <v>2313</v>
      </c>
      <c r="AU5" s="24" t="s">
        <v>1724</v>
      </c>
      <c r="AV5" s="24" t="s">
        <v>2314</v>
      </c>
      <c r="AW5" s="25" t="s">
        <v>2318</v>
      </c>
      <c r="AX5" s="24" t="s">
        <v>1008</v>
      </c>
      <c r="AY5" s="24" t="s">
        <v>2316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2319</v>
      </c>
      <c r="Q1" s="27" t="s">
        <v>2320</v>
      </c>
      <c r="R1" s="27" t="s">
        <v>2321</v>
      </c>
      <c r="S1" s="27" t="s">
        <v>2322</v>
      </c>
      <c r="T1" s="27" t="s">
        <v>2323</v>
      </c>
      <c r="U1" s="27" t="s">
        <v>2324</v>
      </c>
      <c r="V1" s="27" t="s">
        <v>2325</v>
      </c>
      <c r="W1" s="27" t="s">
        <v>2326</v>
      </c>
      <c r="X1" s="30" t="s">
        <v>2327</v>
      </c>
      <c r="Y1" s="30" t="s">
        <v>2328</v>
      </c>
      <c r="Z1" s="30" t="s">
        <v>2329</v>
      </c>
      <c r="AA1" s="30" t="s">
        <v>2330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24" t="s">
        <v>988</v>
      </c>
      <c r="B2" s="24" t="s">
        <v>988</v>
      </c>
      <c r="C2" s="24" t="s">
        <v>989</v>
      </c>
      <c r="D2" s="24" t="n">
        <v>2011</v>
      </c>
      <c r="E2" s="24" t="s">
        <v>990</v>
      </c>
      <c r="F2" s="24" t="s">
        <v>857</v>
      </c>
      <c r="G2" s="24" t="s">
        <v>993</v>
      </c>
      <c r="H2" s="24" t="n">
        <v>29.017</v>
      </c>
      <c r="I2" s="24" t="n">
        <v>77.75</v>
      </c>
      <c r="J2" s="24" t="s">
        <v>83</v>
      </c>
      <c r="K2" s="24" t="s">
        <v>2331</v>
      </c>
      <c r="L2" s="24" t="s">
        <v>84</v>
      </c>
      <c r="M2" s="24" t="s">
        <v>85</v>
      </c>
      <c r="N2" s="24" t="s">
        <v>86</v>
      </c>
      <c r="O2" s="24" t="s">
        <v>2332</v>
      </c>
      <c r="P2" s="24"/>
      <c r="Q2" s="24" t="n">
        <v>13.12</v>
      </c>
      <c r="R2" s="24" t="n">
        <v>16.64</v>
      </c>
      <c r="S2" s="24"/>
      <c r="T2" s="24"/>
      <c r="U2" s="24" t="n">
        <v>14.67</v>
      </c>
      <c r="V2" s="24"/>
      <c r="W2" s="24"/>
      <c r="X2" s="24"/>
      <c r="Y2" s="24"/>
      <c r="Z2" s="24"/>
      <c r="AA2" s="24"/>
      <c r="AB2" s="24" t="n">
        <v>3</v>
      </c>
      <c r="AC2" s="24" t="n">
        <v>3</v>
      </c>
      <c r="AD2" s="24" t="n">
        <f aca="false">IF(AND(N(AB2)&gt;0,N(AC2)&gt;0),SQRT(2*AB2/AC2),"")</f>
        <v>1.4142135623731</v>
      </c>
      <c r="AE2" s="24" t="n">
        <v>19</v>
      </c>
      <c r="AF2" s="24" t="n">
        <v>2</v>
      </c>
      <c r="AG2" s="24" t="n">
        <v>43</v>
      </c>
      <c r="AH2" s="24" t="n">
        <v>800</v>
      </c>
      <c r="AI2" s="24" t="n">
        <v>29.017</v>
      </c>
      <c r="AJ2" s="24" t="s">
        <v>2333</v>
      </c>
      <c r="AK2" s="24"/>
      <c r="AL2" s="24"/>
      <c r="AM2" s="24" t="n">
        <v>8.1</v>
      </c>
      <c r="AN2" s="24"/>
      <c r="AO2" s="24"/>
      <c r="AP2" s="24" t="n">
        <v>55</v>
      </c>
      <c r="AQ2" s="24" t="n">
        <v>26</v>
      </c>
      <c r="AR2" s="24" t="s">
        <v>2334</v>
      </c>
      <c r="AS2" s="24" t="s">
        <v>1722</v>
      </c>
      <c r="AT2" s="24" t="s">
        <v>2335</v>
      </c>
      <c r="AU2" s="24" t="s">
        <v>1724</v>
      </c>
      <c r="AV2" s="24" t="s">
        <v>2336</v>
      </c>
      <c r="AW2" s="25" t="s">
        <v>2337</v>
      </c>
      <c r="AX2" s="24" t="s">
        <v>1008</v>
      </c>
      <c r="AY2" s="24" t="s">
        <v>2338</v>
      </c>
      <c r="BA2" s="14" t="s">
        <v>2339</v>
      </c>
    </row>
    <row r="3" customFormat="false" ht="14.25" hidden="false" customHeight="false" outlineLevel="0" collapsed="false">
      <c r="A3" s="24" t="s">
        <v>988</v>
      </c>
      <c r="B3" s="24" t="s">
        <v>988</v>
      </c>
      <c r="C3" s="24" t="s">
        <v>989</v>
      </c>
      <c r="D3" s="24" t="n">
        <v>2011</v>
      </c>
      <c r="E3" s="24" t="s">
        <v>990</v>
      </c>
      <c r="F3" s="24" t="s">
        <v>857</v>
      </c>
      <c r="G3" s="24" t="s">
        <v>993</v>
      </c>
      <c r="H3" s="24" t="n">
        <v>29.017</v>
      </c>
      <c r="I3" s="24" t="n">
        <v>77.75</v>
      </c>
      <c r="J3" s="24" t="s">
        <v>83</v>
      </c>
      <c r="K3" s="24" t="s">
        <v>2331</v>
      </c>
      <c r="L3" s="24" t="s">
        <v>84</v>
      </c>
      <c r="M3" s="24" t="s">
        <v>85</v>
      </c>
      <c r="N3" s="24" t="s">
        <v>86</v>
      </c>
      <c r="O3" s="24" t="s">
        <v>2332</v>
      </c>
      <c r="P3" s="24"/>
      <c r="Q3" s="24" t="n">
        <v>14.75</v>
      </c>
      <c r="R3" s="24" t="n">
        <v>15.97</v>
      </c>
      <c r="S3" s="24"/>
      <c r="T3" s="24"/>
      <c r="U3" s="24" t="n">
        <v>14.79</v>
      </c>
      <c r="V3" s="24"/>
      <c r="W3" s="24"/>
      <c r="X3" s="24"/>
      <c r="Y3" s="24"/>
      <c r="Z3" s="24"/>
      <c r="AA3" s="24"/>
      <c r="AB3" s="24" t="n">
        <v>3</v>
      </c>
      <c r="AC3" s="24" t="n">
        <v>3</v>
      </c>
      <c r="AD3" s="24" t="n">
        <f aca="false">IF(AND(N(AB3)&gt;0,N(AC3)&gt;0),SQRT(2*AB3/AC3),"")</f>
        <v>1.4142135623731</v>
      </c>
      <c r="AE3" s="24" t="n">
        <v>19</v>
      </c>
      <c r="AF3" s="24" t="n">
        <v>2</v>
      </c>
      <c r="AG3" s="24" t="n">
        <v>43</v>
      </c>
      <c r="AH3" s="24" t="n">
        <v>800</v>
      </c>
      <c r="AI3" s="24" t="n">
        <v>29.017</v>
      </c>
      <c r="AJ3" s="24" t="s">
        <v>2333</v>
      </c>
      <c r="AK3" s="24"/>
      <c r="AL3" s="24"/>
      <c r="AM3" s="24" t="n">
        <v>8.1</v>
      </c>
      <c r="AN3" s="24"/>
      <c r="AO3" s="24"/>
      <c r="AP3" s="24" t="n">
        <v>55</v>
      </c>
      <c r="AQ3" s="24" t="n">
        <v>26</v>
      </c>
      <c r="AR3" s="24" t="s">
        <v>2334</v>
      </c>
      <c r="AS3" s="24" t="s">
        <v>1722</v>
      </c>
      <c r="AT3" s="24" t="s">
        <v>2340</v>
      </c>
      <c r="AU3" s="24" t="s">
        <v>1724</v>
      </c>
      <c r="AV3" s="24" t="s">
        <v>2336</v>
      </c>
      <c r="AW3" s="25" t="s">
        <v>2337</v>
      </c>
      <c r="AX3" s="24" t="s">
        <v>1008</v>
      </c>
      <c r="AY3" s="24" t="s">
        <v>2338</v>
      </c>
    </row>
    <row r="4" customFormat="false" ht="14.25" hidden="false" customHeight="false" outlineLevel="0" collapsed="false">
      <c r="A4" s="24" t="s">
        <v>988</v>
      </c>
      <c r="B4" s="24" t="s">
        <v>988</v>
      </c>
      <c r="C4" s="24" t="s">
        <v>989</v>
      </c>
      <c r="D4" s="24" t="n">
        <v>2011</v>
      </c>
      <c r="E4" s="24" t="s">
        <v>990</v>
      </c>
      <c r="F4" s="24" t="s">
        <v>857</v>
      </c>
      <c r="G4" s="24" t="s">
        <v>993</v>
      </c>
      <c r="H4" s="24" t="n">
        <v>29.017</v>
      </c>
      <c r="I4" s="24" t="n">
        <v>77.75</v>
      </c>
      <c r="J4" s="24" t="s">
        <v>83</v>
      </c>
      <c r="K4" s="24" t="s">
        <v>2331</v>
      </c>
      <c r="L4" s="24" t="s">
        <v>84</v>
      </c>
      <c r="M4" s="24" t="s">
        <v>85</v>
      </c>
      <c r="N4" s="24" t="s">
        <v>86</v>
      </c>
      <c r="O4" s="24" t="s">
        <v>2332</v>
      </c>
      <c r="P4" s="24"/>
      <c r="Q4" s="24" t="n">
        <v>11.45</v>
      </c>
      <c r="R4" s="24" t="n">
        <v>13.93</v>
      </c>
      <c r="S4" s="24"/>
      <c r="T4" s="24"/>
      <c r="U4" s="24" t="n">
        <v>11.6</v>
      </c>
      <c r="V4" s="24"/>
      <c r="W4" s="24"/>
      <c r="X4" s="24"/>
      <c r="Y4" s="24"/>
      <c r="Z4" s="24"/>
      <c r="AA4" s="24"/>
      <c r="AB4" s="24" t="n">
        <v>3</v>
      </c>
      <c r="AC4" s="24" t="n">
        <v>3</v>
      </c>
      <c r="AD4" s="24" t="n">
        <f aca="false">IF(AND(N(AB4)&gt;0,N(AC4)&gt;0),SQRT(2*AB4/AC4),"")</f>
        <v>1.4142135623731</v>
      </c>
      <c r="AE4" s="24" t="n">
        <v>19</v>
      </c>
      <c r="AF4" s="24" t="n">
        <v>2</v>
      </c>
      <c r="AG4" s="24" t="n">
        <v>43</v>
      </c>
      <c r="AH4" s="24" t="n">
        <v>800</v>
      </c>
      <c r="AI4" s="24" t="n">
        <v>29.017</v>
      </c>
      <c r="AJ4" s="24" t="s">
        <v>2333</v>
      </c>
      <c r="AK4" s="24"/>
      <c r="AL4" s="24"/>
      <c r="AM4" s="24" t="n">
        <v>8.1</v>
      </c>
      <c r="AN4" s="24"/>
      <c r="AO4" s="24"/>
      <c r="AP4" s="24" t="n">
        <v>55</v>
      </c>
      <c r="AQ4" s="24" t="n">
        <v>26</v>
      </c>
      <c r="AR4" s="24" t="s">
        <v>2334</v>
      </c>
      <c r="AS4" s="24" t="s">
        <v>1722</v>
      </c>
      <c r="AT4" s="24" t="s">
        <v>2341</v>
      </c>
      <c r="AU4" s="24" t="s">
        <v>1724</v>
      </c>
      <c r="AV4" s="24" t="s">
        <v>2336</v>
      </c>
      <c r="AW4" s="25" t="s">
        <v>2337</v>
      </c>
      <c r="AX4" s="24" t="s">
        <v>1008</v>
      </c>
      <c r="AY4" s="24" t="s">
        <v>2338</v>
      </c>
    </row>
    <row r="5" customFormat="false" ht="14.25" hidden="false" customHeight="false" outlineLevel="0" collapsed="false">
      <c r="A5" s="24" t="s">
        <v>988</v>
      </c>
      <c r="B5" s="24" t="s">
        <v>988</v>
      </c>
      <c r="C5" s="24" t="s">
        <v>989</v>
      </c>
      <c r="D5" s="24" t="n">
        <v>2011</v>
      </c>
      <c r="E5" s="24" t="s">
        <v>990</v>
      </c>
      <c r="F5" s="24" t="s">
        <v>857</v>
      </c>
      <c r="G5" s="24" t="s">
        <v>993</v>
      </c>
      <c r="H5" s="24" t="n">
        <v>29.017</v>
      </c>
      <c r="I5" s="24" t="n">
        <v>77.75</v>
      </c>
      <c r="J5" s="24" t="s">
        <v>83</v>
      </c>
      <c r="K5" s="24" t="s">
        <v>2331</v>
      </c>
      <c r="L5" s="24" t="s">
        <v>84</v>
      </c>
      <c r="M5" s="24" t="s">
        <v>85</v>
      </c>
      <c r="N5" s="24" t="s">
        <v>86</v>
      </c>
      <c r="O5" s="24" t="s">
        <v>2332</v>
      </c>
      <c r="P5" s="24"/>
      <c r="Q5" s="24" t="n">
        <v>11.75</v>
      </c>
      <c r="R5" s="24" t="n">
        <v>14.14</v>
      </c>
      <c r="S5" s="24"/>
      <c r="T5" s="24"/>
      <c r="U5" s="24" t="n">
        <v>11.81</v>
      </c>
      <c r="V5" s="24"/>
      <c r="W5" s="24"/>
      <c r="X5" s="24"/>
      <c r="Y5" s="24"/>
      <c r="Z5" s="24"/>
      <c r="AA5" s="24"/>
      <c r="AB5" s="24" t="n">
        <v>3</v>
      </c>
      <c r="AC5" s="24" t="n">
        <v>3</v>
      </c>
      <c r="AD5" s="24" t="n">
        <f aca="false">IF(AND(N(AB5)&gt;0,N(AC5)&gt;0),SQRT(2*AB5/AC5),"")</f>
        <v>1.4142135623731</v>
      </c>
      <c r="AE5" s="24" t="n">
        <v>19</v>
      </c>
      <c r="AF5" s="24" t="n">
        <v>2</v>
      </c>
      <c r="AG5" s="24" t="n">
        <v>43</v>
      </c>
      <c r="AH5" s="24" t="n">
        <v>800</v>
      </c>
      <c r="AI5" s="24" t="n">
        <v>29.017</v>
      </c>
      <c r="AJ5" s="24" t="s">
        <v>2333</v>
      </c>
      <c r="AK5" s="24"/>
      <c r="AL5" s="24"/>
      <c r="AM5" s="24" t="n">
        <v>8.1</v>
      </c>
      <c r="AN5" s="24"/>
      <c r="AO5" s="24"/>
      <c r="AP5" s="24" t="n">
        <v>55</v>
      </c>
      <c r="AQ5" s="24" t="n">
        <v>26</v>
      </c>
      <c r="AR5" s="24" t="s">
        <v>2334</v>
      </c>
      <c r="AS5" s="24" t="s">
        <v>1722</v>
      </c>
      <c r="AT5" s="24" t="s">
        <v>2342</v>
      </c>
      <c r="AU5" s="24" t="s">
        <v>1724</v>
      </c>
      <c r="AV5" s="24" t="s">
        <v>2336</v>
      </c>
      <c r="AW5" s="25" t="s">
        <v>2337</v>
      </c>
      <c r="AX5" s="24" t="s">
        <v>1008</v>
      </c>
      <c r="AY5" s="24" t="s">
        <v>2338</v>
      </c>
    </row>
    <row r="6" customFormat="false" ht="14.25" hidden="false" customHeight="false" outlineLevel="0" collapsed="false">
      <c r="A6" s="24" t="s">
        <v>988</v>
      </c>
      <c r="B6" s="24" t="s">
        <v>988</v>
      </c>
      <c r="C6" s="24" t="s">
        <v>989</v>
      </c>
      <c r="D6" s="24" t="n">
        <v>2011</v>
      </c>
      <c r="E6" s="24" t="s">
        <v>990</v>
      </c>
      <c r="F6" s="24" t="s">
        <v>857</v>
      </c>
      <c r="G6" s="24" t="s">
        <v>993</v>
      </c>
      <c r="H6" s="24" t="n">
        <v>29.017</v>
      </c>
      <c r="I6" s="24" t="n">
        <v>77.75</v>
      </c>
      <c r="J6" s="24" t="s">
        <v>83</v>
      </c>
      <c r="K6" s="24" t="s">
        <v>2331</v>
      </c>
      <c r="L6" s="24" t="s">
        <v>84</v>
      </c>
      <c r="M6" s="24" t="s">
        <v>85</v>
      </c>
      <c r="N6" s="24" t="s">
        <v>86</v>
      </c>
      <c r="O6" s="24" t="s">
        <v>2332</v>
      </c>
      <c r="P6" s="24"/>
      <c r="Q6" s="24" t="n">
        <v>10.38</v>
      </c>
      <c r="R6" s="24" t="n">
        <v>12.47</v>
      </c>
      <c r="S6" s="24"/>
      <c r="T6" s="24"/>
      <c r="U6" s="24" t="n">
        <v>10.38</v>
      </c>
      <c r="V6" s="24"/>
      <c r="W6" s="24"/>
      <c r="X6" s="24"/>
      <c r="Y6" s="24"/>
      <c r="Z6" s="24"/>
      <c r="AA6" s="24"/>
      <c r="AB6" s="24" t="n">
        <v>3</v>
      </c>
      <c r="AC6" s="24" t="n">
        <v>3</v>
      </c>
      <c r="AD6" s="24" t="n">
        <f aca="false">IF(AND(N(AB6)&gt;0,N(AC6)&gt;0),SQRT(2*AB6/AC6),"")</f>
        <v>1.4142135623731</v>
      </c>
      <c r="AE6" s="24" t="n">
        <v>19</v>
      </c>
      <c r="AF6" s="24" t="n">
        <v>2</v>
      </c>
      <c r="AG6" s="24" t="n">
        <v>43</v>
      </c>
      <c r="AH6" s="24" t="n">
        <v>800</v>
      </c>
      <c r="AI6" s="24" t="n">
        <v>29.017</v>
      </c>
      <c r="AJ6" s="24" t="s">
        <v>2333</v>
      </c>
      <c r="AK6" s="24"/>
      <c r="AL6" s="24"/>
      <c r="AM6" s="24" t="n">
        <v>8.1</v>
      </c>
      <c r="AN6" s="24"/>
      <c r="AO6" s="24"/>
      <c r="AP6" s="24" t="n">
        <v>55</v>
      </c>
      <c r="AQ6" s="24" t="n">
        <v>26</v>
      </c>
      <c r="AR6" s="24" t="s">
        <v>2334</v>
      </c>
      <c r="AS6" s="24" t="s">
        <v>1722</v>
      </c>
      <c r="AT6" s="24" t="s">
        <v>2343</v>
      </c>
      <c r="AU6" s="24" t="s">
        <v>1724</v>
      </c>
      <c r="AV6" s="24" t="s">
        <v>2336</v>
      </c>
      <c r="AW6" s="25" t="s">
        <v>2337</v>
      </c>
      <c r="AX6" s="24" t="s">
        <v>1008</v>
      </c>
      <c r="AY6" s="24" t="s">
        <v>2338</v>
      </c>
    </row>
    <row r="7" customFormat="false" ht="14.25" hidden="false" customHeight="false" outlineLevel="0" collapsed="false">
      <c r="A7" s="24" t="s">
        <v>988</v>
      </c>
      <c r="B7" s="24" t="s">
        <v>988</v>
      </c>
      <c r="C7" s="24" t="s">
        <v>989</v>
      </c>
      <c r="D7" s="24" t="n">
        <v>2011</v>
      </c>
      <c r="E7" s="24" t="s">
        <v>990</v>
      </c>
      <c r="F7" s="24" t="s">
        <v>857</v>
      </c>
      <c r="G7" s="24" t="s">
        <v>993</v>
      </c>
      <c r="H7" s="24" t="n">
        <v>29.017</v>
      </c>
      <c r="I7" s="24" t="n">
        <v>77.75</v>
      </c>
      <c r="J7" s="24" t="s">
        <v>83</v>
      </c>
      <c r="K7" s="24" t="s">
        <v>2331</v>
      </c>
      <c r="L7" s="24" t="s">
        <v>84</v>
      </c>
      <c r="M7" s="24" t="s">
        <v>85</v>
      </c>
      <c r="N7" s="24" t="s">
        <v>86</v>
      </c>
      <c r="O7" s="24" t="s">
        <v>2332</v>
      </c>
      <c r="P7" s="24"/>
      <c r="Q7" s="24" t="n">
        <v>8.92</v>
      </c>
      <c r="R7" s="24" t="n">
        <v>11.79</v>
      </c>
      <c r="S7" s="24"/>
      <c r="T7" s="24"/>
      <c r="U7" s="24" t="n">
        <v>8.83</v>
      </c>
      <c r="V7" s="24"/>
      <c r="W7" s="24"/>
      <c r="X7" s="24"/>
      <c r="Y7" s="24"/>
      <c r="Z7" s="24"/>
      <c r="AA7" s="24"/>
      <c r="AB7" s="24" t="n">
        <v>3</v>
      </c>
      <c r="AC7" s="24" t="n">
        <v>3</v>
      </c>
      <c r="AD7" s="24" t="n">
        <f aca="false">IF(AND(N(AB7)&gt;0,N(AC7)&gt;0),SQRT(2*AB7/AC7),"")</f>
        <v>1.4142135623731</v>
      </c>
      <c r="AE7" s="24" t="n">
        <v>19</v>
      </c>
      <c r="AF7" s="24" t="n">
        <v>2</v>
      </c>
      <c r="AG7" s="24" t="n">
        <v>43</v>
      </c>
      <c r="AH7" s="24" t="n">
        <v>800</v>
      </c>
      <c r="AI7" s="24" t="n">
        <v>29.017</v>
      </c>
      <c r="AJ7" s="24" t="s">
        <v>2333</v>
      </c>
      <c r="AK7" s="24"/>
      <c r="AL7" s="24"/>
      <c r="AM7" s="24" t="n">
        <v>8.1</v>
      </c>
      <c r="AN7" s="24"/>
      <c r="AO7" s="24"/>
      <c r="AP7" s="24" t="n">
        <v>55</v>
      </c>
      <c r="AQ7" s="24" t="n">
        <v>26</v>
      </c>
      <c r="AR7" s="24" t="s">
        <v>2334</v>
      </c>
      <c r="AS7" s="24" t="s">
        <v>1722</v>
      </c>
      <c r="AT7" s="24" t="s">
        <v>2344</v>
      </c>
      <c r="AU7" s="24" t="s">
        <v>1724</v>
      </c>
      <c r="AV7" s="24" t="s">
        <v>2336</v>
      </c>
      <c r="AW7" s="25" t="s">
        <v>2337</v>
      </c>
      <c r="AX7" s="24" t="s">
        <v>1008</v>
      </c>
      <c r="AY7" s="24" t="s">
        <v>2338</v>
      </c>
    </row>
    <row r="8" customFormat="false" ht="14.25" hidden="false" customHeight="false" outlineLevel="0" collapsed="false">
      <c r="A8" s="24" t="s">
        <v>988</v>
      </c>
      <c r="B8" s="24" t="s">
        <v>988</v>
      </c>
      <c r="C8" s="24" t="s">
        <v>989</v>
      </c>
      <c r="D8" s="24" t="n">
        <v>2011</v>
      </c>
      <c r="E8" s="24" t="s">
        <v>990</v>
      </c>
      <c r="F8" s="24" t="s">
        <v>857</v>
      </c>
      <c r="G8" s="24" t="s">
        <v>993</v>
      </c>
      <c r="H8" s="24" t="n">
        <v>29.017</v>
      </c>
      <c r="I8" s="24" t="n">
        <v>77.75</v>
      </c>
      <c r="J8" s="24" t="s">
        <v>83</v>
      </c>
      <c r="K8" s="24" t="s">
        <v>2331</v>
      </c>
      <c r="L8" s="24" t="s">
        <v>84</v>
      </c>
      <c r="M8" s="24" t="s">
        <v>85</v>
      </c>
      <c r="N8" s="24" t="s">
        <v>86</v>
      </c>
      <c r="O8" s="24" t="s">
        <v>2332</v>
      </c>
      <c r="P8" s="24"/>
      <c r="Q8" s="24" t="n">
        <v>9.11</v>
      </c>
      <c r="R8" s="24" t="n">
        <v>11.54</v>
      </c>
      <c r="S8" s="24"/>
      <c r="T8" s="24"/>
      <c r="U8" s="24" t="n">
        <v>9</v>
      </c>
      <c r="V8" s="24"/>
      <c r="W8" s="24"/>
      <c r="X8" s="24"/>
      <c r="Y8" s="24"/>
      <c r="Z8" s="24"/>
      <c r="AA8" s="24"/>
      <c r="AB8" s="24" t="n">
        <v>3</v>
      </c>
      <c r="AC8" s="24" t="n">
        <v>3</v>
      </c>
      <c r="AD8" s="24" t="n">
        <f aca="false">IF(AND(N(AB8)&gt;0,N(AC8)&gt;0),SQRT(2*AB8/AC8),"")</f>
        <v>1.4142135623731</v>
      </c>
      <c r="AE8" s="24" t="n">
        <v>19</v>
      </c>
      <c r="AF8" s="24" t="n">
        <v>2</v>
      </c>
      <c r="AG8" s="24" t="n">
        <v>43</v>
      </c>
      <c r="AH8" s="24" t="n">
        <v>800</v>
      </c>
      <c r="AI8" s="24" t="n">
        <v>29.017</v>
      </c>
      <c r="AJ8" s="24" t="s">
        <v>2333</v>
      </c>
      <c r="AK8" s="24"/>
      <c r="AL8" s="24"/>
      <c r="AM8" s="24" t="n">
        <v>8.1</v>
      </c>
      <c r="AN8" s="24"/>
      <c r="AO8" s="24"/>
      <c r="AP8" s="24" t="n">
        <v>55</v>
      </c>
      <c r="AQ8" s="24" t="n">
        <v>26</v>
      </c>
      <c r="AR8" s="24" t="s">
        <v>2334</v>
      </c>
      <c r="AS8" s="24" t="s">
        <v>1722</v>
      </c>
      <c r="AT8" s="24" t="s">
        <v>2345</v>
      </c>
      <c r="AU8" s="24" t="s">
        <v>1724</v>
      </c>
      <c r="AV8" s="24" t="s">
        <v>2336</v>
      </c>
      <c r="AW8" s="25" t="s">
        <v>2337</v>
      </c>
      <c r="AX8" s="24" t="s">
        <v>1008</v>
      </c>
      <c r="AY8" s="24" t="s">
        <v>2338</v>
      </c>
    </row>
    <row r="9" customFormat="false" ht="14.25" hidden="false" customHeight="false" outlineLevel="0" collapsed="false">
      <c r="A9" s="24" t="s">
        <v>988</v>
      </c>
      <c r="B9" s="24" t="s">
        <v>988</v>
      </c>
      <c r="C9" s="24" t="s">
        <v>989</v>
      </c>
      <c r="D9" s="24" t="n">
        <v>2011</v>
      </c>
      <c r="E9" s="24" t="s">
        <v>990</v>
      </c>
      <c r="F9" s="24" t="s">
        <v>857</v>
      </c>
      <c r="G9" s="24" t="s">
        <v>993</v>
      </c>
      <c r="H9" s="24" t="n">
        <v>29.017</v>
      </c>
      <c r="I9" s="24" t="n">
        <v>77.75</v>
      </c>
      <c r="J9" s="24" t="s">
        <v>83</v>
      </c>
      <c r="K9" s="24" t="s">
        <v>2331</v>
      </c>
      <c r="L9" s="24" t="s">
        <v>84</v>
      </c>
      <c r="M9" s="24" t="s">
        <v>85</v>
      </c>
      <c r="N9" s="24" t="s">
        <v>86</v>
      </c>
      <c r="O9" s="24" t="s">
        <v>2332</v>
      </c>
      <c r="P9" s="24"/>
      <c r="Q9" s="24" t="n">
        <v>7.7</v>
      </c>
      <c r="R9" s="24" t="n">
        <v>9.37</v>
      </c>
      <c r="S9" s="24"/>
      <c r="T9" s="24"/>
      <c r="U9" s="24" t="n">
        <v>7.56</v>
      </c>
      <c r="V9" s="24"/>
      <c r="W9" s="24"/>
      <c r="X9" s="24"/>
      <c r="Y9" s="24"/>
      <c r="Z9" s="24"/>
      <c r="AA9" s="24"/>
      <c r="AB9" s="24" t="n">
        <v>3</v>
      </c>
      <c r="AC9" s="24" t="n">
        <v>3</v>
      </c>
      <c r="AD9" s="24" t="n">
        <f aca="false">IF(AND(N(AB9)&gt;0,N(AC9)&gt;0),SQRT(2*AB9/AC9),"")</f>
        <v>1.4142135623731</v>
      </c>
      <c r="AE9" s="24" t="n">
        <v>19</v>
      </c>
      <c r="AF9" s="24" t="n">
        <v>2</v>
      </c>
      <c r="AG9" s="24" t="n">
        <v>43</v>
      </c>
      <c r="AH9" s="24" t="n">
        <v>800</v>
      </c>
      <c r="AI9" s="24" t="n">
        <v>29.017</v>
      </c>
      <c r="AJ9" s="24" t="s">
        <v>2333</v>
      </c>
      <c r="AK9" s="24"/>
      <c r="AL9" s="24"/>
      <c r="AM9" s="24" t="n">
        <v>8.1</v>
      </c>
      <c r="AN9" s="24"/>
      <c r="AO9" s="24"/>
      <c r="AP9" s="24" t="n">
        <v>55</v>
      </c>
      <c r="AQ9" s="24" t="n">
        <v>26</v>
      </c>
      <c r="AR9" s="24" t="s">
        <v>2334</v>
      </c>
      <c r="AS9" s="24" t="s">
        <v>1722</v>
      </c>
      <c r="AT9" s="24" t="s">
        <v>2346</v>
      </c>
      <c r="AU9" s="24" t="s">
        <v>1724</v>
      </c>
      <c r="AV9" s="24" t="s">
        <v>2336</v>
      </c>
      <c r="AW9" s="25" t="s">
        <v>2337</v>
      </c>
      <c r="AX9" s="24" t="s">
        <v>1008</v>
      </c>
      <c r="AY9" s="24" t="s">
        <v>2338</v>
      </c>
    </row>
    <row r="10" customFormat="false" ht="14.25" hidden="false" customHeight="false" outlineLevel="0" collapsed="false">
      <c r="A10" s="24" t="s">
        <v>988</v>
      </c>
      <c r="B10" s="24" t="s">
        <v>988</v>
      </c>
      <c r="C10" s="24" t="s">
        <v>989</v>
      </c>
      <c r="D10" s="24" t="n">
        <v>2011</v>
      </c>
      <c r="E10" s="24" t="s">
        <v>990</v>
      </c>
      <c r="F10" s="24" t="s">
        <v>857</v>
      </c>
      <c r="G10" s="24" t="s">
        <v>993</v>
      </c>
      <c r="H10" s="24" t="n">
        <v>29.017</v>
      </c>
      <c r="I10" s="24" t="n">
        <v>77.75</v>
      </c>
      <c r="J10" s="24" t="s">
        <v>83</v>
      </c>
      <c r="K10" s="24" t="s">
        <v>2331</v>
      </c>
      <c r="L10" s="24" t="s">
        <v>84</v>
      </c>
      <c r="M10" s="24" t="s">
        <v>85</v>
      </c>
      <c r="N10" s="24" t="s">
        <v>86</v>
      </c>
      <c r="O10" s="24" t="s">
        <v>2332</v>
      </c>
      <c r="P10" s="24"/>
      <c r="Q10" s="24" t="n">
        <v>9.11</v>
      </c>
      <c r="R10" s="24" t="n">
        <v>11.16</v>
      </c>
      <c r="S10" s="24"/>
      <c r="T10" s="24"/>
      <c r="U10" s="24" t="n">
        <v>9.13</v>
      </c>
      <c r="V10" s="24"/>
      <c r="W10" s="24"/>
      <c r="X10" s="24"/>
      <c r="Y10" s="24"/>
      <c r="Z10" s="24"/>
      <c r="AA10" s="24"/>
      <c r="AB10" s="24" t="n">
        <v>3</v>
      </c>
      <c r="AC10" s="24" t="n">
        <v>3</v>
      </c>
      <c r="AD10" s="24" t="n">
        <f aca="false">IF(AND(N(AB10)&gt;0,N(AC10)&gt;0),SQRT(2*AB10/AC10),"")</f>
        <v>1.4142135623731</v>
      </c>
      <c r="AE10" s="24" t="n">
        <v>19</v>
      </c>
      <c r="AF10" s="24" t="n">
        <v>2</v>
      </c>
      <c r="AG10" s="24" t="n">
        <v>43</v>
      </c>
      <c r="AH10" s="24" t="n">
        <v>800</v>
      </c>
      <c r="AI10" s="24" t="n">
        <v>29.017</v>
      </c>
      <c r="AJ10" s="24" t="s">
        <v>2333</v>
      </c>
      <c r="AK10" s="24"/>
      <c r="AL10" s="24"/>
      <c r="AM10" s="24" t="n">
        <v>8.1</v>
      </c>
      <c r="AN10" s="24"/>
      <c r="AO10" s="24"/>
      <c r="AP10" s="24" t="n">
        <v>55</v>
      </c>
      <c r="AQ10" s="24" t="n">
        <v>26</v>
      </c>
      <c r="AR10" s="24" t="s">
        <v>2334</v>
      </c>
      <c r="AS10" s="24" t="s">
        <v>1722</v>
      </c>
      <c r="AT10" s="24" t="s">
        <v>2347</v>
      </c>
      <c r="AU10" s="24" t="s">
        <v>1724</v>
      </c>
      <c r="AV10" s="24" t="s">
        <v>2336</v>
      </c>
      <c r="AW10" s="25" t="s">
        <v>2337</v>
      </c>
      <c r="AX10" s="24" t="s">
        <v>1008</v>
      </c>
      <c r="AY10" s="24" t="s">
        <v>2338</v>
      </c>
    </row>
    <row r="11" customFormat="false" ht="14.25" hidden="false" customHeight="false" outlineLevel="0" collapsed="false">
      <c r="A11" s="24" t="s">
        <v>988</v>
      </c>
      <c r="B11" s="24" t="s">
        <v>988</v>
      </c>
      <c r="C11" s="24" t="s">
        <v>989</v>
      </c>
      <c r="D11" s="24" t="n">
        <v>2011</v>
      </c>
      <c r="E11" s="24" t="s">
        <v>990</v>
      </c>
      <c r="F11" s="24" t="s">
        <v>857</v>
      </c>
      <c r="G11" s="24" t="s">
        <v>993</v>
      </c>
      <c r="H11" s="24" t="n">
        <v>29.017</v>
      </c>
      <c r="I11" s="24" t="n">
        <v>77.75</v>
      </c>
      <c r="J11" s="24" t="s">
        <v>83</v>
      </c>
      <c r="K11" s="24" t="s">
        <v>2331</v>
      </c>
      <c r="L11" s="24" t="s">
        <v>84</v>
      </c>
      <c r="M11" s="24" t="s">
        <v>85</v>
      </c>
      <c r="N11" s="24" t="s">
        <v>86</v>
      </c>
      <c r="O11" s="24" t="s">
        <v>2332</v>
      </c>
      <c r="P11" s="24"/>
      <c r="Q11" s="24" t="n">
        <v>8.97</v>
      </c>
      <c r="R11" s="24" t="n">
        <v>10.94</v>
      </c>
      <c r="S11" s="24"/>
      <c r="T11" s="24"/>
      <c r="U11" s="24" t="n">
        <v>8.97</v>
      </c>
      <c r="V11" s="24"/>
      <c r="W11" s="24"/>
      <c r="X11" s="24"/>
      <c r="Y11" s="24"/>
      <c r="Z11" s="24"/>
      <c r="AA11" s="24"/>
      <c r="AB11" s="24" t="n">
        <v>3</v>
      </c>
      <c r="AC11" s="24" t="n">
        <v>3</v>
      </c>
      <c r="AD11" s="24" t="n">
        <f aca="false">IF(AND(N(AB11)&gt;0,N(AC11)&gt;0),SQRT(2*AB11/AC11),"")</f>
        <v>1.4142135623731</v>
      </c>
      <c r="AE11" s="24" t="n">
        <v>19</v>
      </c>
      <c r="AF11" s="24" t="n">
        <v>2</v>
      </c>
      <c r="AG11" s="24" t="n">
        <v>43</v>
      </c>
      <c r="AH11" s="24" t="n">
        <v>800</v>
      </c>
      <c r="AI11" s="24" t="n">
        <v>29.017</v>
      </c>
      <c r="AJ11" s="24" t="s">
        <v>2333</v>
      </c>
      <c r="AK11" s="24"/>
      <c r="AL11" s="24"/>
      <c r="AM11" s="24" t="n">
        <v>8.1</v>
      </c>
      <c r="AN11" s="24"/>
      <c r="AO11" s="24"/>
      <c r="AP11" s="24" t="n">
        <v>55</v>
      </c>
      <c r="AQ11" s="24" t="n">
        <v>26</v>
      </c>
      <c r="AR11" s="24" t="s">
        <v>2334</v>
      </c>
      <c r="AS11" s="24" t="s">
        <v>1722</v>
      </c>
      <c r="AT11" s="24" t="s">
        <v>2348</v>
      </c>
      <c r="AU11" s="24" t="s">
        <v>1724</v>
      </c>
      <c r="AV11" s="24" t="s">
        <v>2336</v>
      </c>
      <c r="AW11" s="25" t="s">
        <v>2337</v>
      </c>
      <c r="AX11" s="24" t="s">
        <v>1008</v>
      </c>
      <c r="AY11" s="24" t="s">
        <v>2338</v>
      </c>
    </row>
    <row r="12" customFormat="false" ht="14.25" hidden="false" customHeight="false" outlineLevel="0" collapsed="false">
      <c r="A12" s="24" t="s">
        <v>988</v>
      </c>
      <c r="B12" s="24" t="s">
        <v>988</v>
      </c>
      <c r="C12" s="24" t="s">
        <v>989</v>
      </c>
      <c r="D12" s="24" t="n">
        <v>2011</v>
      </c>
      <c r="E12" s="24" t="s">
        <v>990</v>
      </c>
      <c r="F12" s="24" t="s">
        <v>857</v>
      </c>
      <c r="G12" s="24" t="s">
        <v>993</v>
      </c>
      <c r="H12" s="24" t="n">
        <v>29.017</v>
      </c>
      <c r="I12" s="24" t="n">
        <v>77.75</v>
      </c>
      <c r="J12" s="24" t="s">
        <v>83</v>
      </c>
      <c r="K12" s="24" t="s">
        <v>2331</v>
      </c>
      <c r="L12" s="24" t="s">
        <v>84</v>
      </c>
      <c r="M12" s="24" t="s">
        <v>85</v>
      </c>
      <c r="N12" s="24" t="s">
        <v>86</v>
      </c>
      <c r="O12" s="24" t="s">
        <v>2332</v>
      </c>
      <c r="P12" s="24"/>
      <c r="Q12" s="24" t="n">
        <v>7.85</v>
      </c>
      <c r="R12" s="24" t="n">
        <v>10.8</v>
      </c>
      <c r="S12" s="24"/>
      <c r="T12" s="24"/>
      <c r="U12" s="24" t="n">
        <v>7.95</v>
      </c>
      <c r="V12" s="24"/>
      <c r="W12" s="24"/>
      <c r="X12" s="24"/>
      <c r="Y12" s="24"/>
      <c r="Z12" s="24"/>
      <c r="AA12" s="24"/>
      <c r="AB12" s="24" t="n">
        <v>3</v>
      </c>
      <c r="AC12" s="24" t="n">
        <v>3</v>
      </c>
      <c r="AD12" s="24" t="n">
        <f aca="false">IF(AND(N(AB12)&gt;0,N(AC12)&gt;0),SQRT(2*AB12/AC12),"")</f>
        <v>1.4142135623731</v>
      </c>
      <c r="AE12" s="24" t="n">
        <v>19</v>
      </c>
      <c r="AF12" s="24" t="n">
        <v>2</v>
      </c>
      <c r="AG12" s="24" t="n">
        <v>43</v>
      </c>
      <c r="AH12" s="24" t="n">
        <v>800</v>
      </c>
      <c r="AI12" s="24" t="n">
        <v>29.017</v>
      </c>
      <c r="AJ12" s="24" t="s">
        <v>2333</v>
      </c>
      <c r="AK12" s="24"/>
      <c r="AL12" s="24"/>
      <c r="AM12" s="24" t="n">
        <v>8.1</v>
      </c>
      <c r="AN12" s="24"/>
      <c r="AO12" s="24"/>
      <c r="AP12" s="24" t="n">
        <v>55</v>
      </c>
      <c r="AQ12" s="24" t="n">
        <v>26</v>
      </c>
      <c r="AR12" s="24" t="s">
        <v>2334</v>
      </c>
      <c r="AS12" s="24" t="s">
        <v>1722</v>
      </c>
      <c r="AT12" s="24" t="s">
        <v>2349</v>
      </c>
      <c r="AU12" s="24" t="s">
        <v>1724</v>
      </c>
      <c r="AV12" s="24" t="s">
        <v>2336</v>
      </c>
      <c r="AW12" s="25" t="s">
        <v>2337</v>
      </c>
      <c r="AX12" s="24" t="s">
        <v>1008</v>
      </c>
      <c r="AY12" s="24" t="s">
        <v>2338</v>
      </c>
    </row>
    <row r="13" customFormat="false" ht="14.25" hidden="false" customHeight="false" outlineLevel="0" collapsed="false">
      <c r="A13" s="24" t="s">
        <v>988</v>
      </c>
      <c r="B13" s="24" t="s">
        <v>988</v>
      </c>
      <c r="C13" s="24" t="s">
        <v>989</v>
      </c>
      <c r="D13" s="24" t="n">
        <v>2011</v>
      </c>
      <c r="E13" s="24" t="s">
        <v>990</v>
      </c>
      <c r="F13" s="24" t="s">
        <v>857</v>
      </c>
      <c r="G13" s="24" t="s">
        <v>993</v>
      </c>
      <c r="H13" s="24" t="n">
        <v>29.017</v>
      </c>
      <c r="I13" s="24" t="n">
        <v>77.75</v>
      </c>
      <c r="J13" s="24" t="s">
        <v>83</v>
      </c>
      <c r="K13" s="24" t="s">
        <v>2331</v>
      </c>
      <c r="L13" s="24" t="s">
        <v>84</v>
      </c>
      <c r="M13" s="24" t="s">
        <v>85</v>
      </c>
      <c r="N13" s="24" t="s">
        <v>86</v>
      </c>
      <c r="O13" s="24" t="s">
        <v>2332</v>
      </c>
      <c r="P13" s="24"/>
      <c r="Q13" s="24" t="n">
        <v>8.16</v>
      </c>
      <c r="R13" s="24" t="n">
        <v>10.73</v>
      </c>
      <c r="S13" s="24"/>
      <c r="T13" s="24"/>
      <c r="U13" s="24" t="n">
        <v>8.46</v>
      </c>
      <c r="V13" s="24"/>
      <c r="W13" s="24"/>
      <c r="X13" s="24"/>
      <c r="Y13" s="24"/>
      <c r="Z13" s="24"/>
      <c r="AA13" s="24"/>
      <c r="AB13" s="24" t="n">
        <v>3</v>
      </c>
      <c r="AC13" s="24" t="n">
        <v>3</v>
      </c>
      <c r="AD13" s="24" t="n">
        <f aca="false">IF(AND(N(AB13)&gt;0,N(AC13)&gt;0),SQRT(2*AB13/AC13),"")</f>
        <v>1.4142135623731</v>
      </c>
      <c r="AE13" s="24" t="n">
        <v>19</v>
      </c>
      <c r="AF13" s="24" t="n">
        <v>2</v>
      </c>
      <c r="AG13" s="24" t="n">
        <v>43</v>
      </c>
      <c r="AH13" s="24" t="n">
        <v>800</v>
      </c>
      <c r="AI13" s="24" t="n">
        <v>29.017</v>
      </c>
      <c r="AJ13" s="24" t="s">
        <v>2333</v>
      </c>
      <c r="AK13" s="24"/>
      <c r="AL13" s="24"/>
      <c r="AM13" s="24" t="n">
        <v>8.1</v>
      </c>
      <c r="AN13" s="24"/>
      <c r="AO13" s="24"/>
      <c r="AP13" s="24" t="n">
        <v>55</v>
      </c>
      <c r="AQ13" s="24" t="n">
        <v>26</v>
      </c>
      <c r="AR13" s="24" t="s">
        <v>2334</v>
      </c>
      <c r="AS13" s="24" t="s">
        <v>1722</v>
      </c>
      <c r="AT13" s="24" t="s">
        <v>2350</v>
      </c>
      <c r="AU13" s="24" t="s">
        <v>1724</v>
      </c>
      <c r="AV13" s="24" t="s">
        <v>2336</v>
      </c>
      <c r="AW13" s="25" t="s">
        <v>2337</v>
      </c>
      <c r="AX13" s="24" t="s">
        <v>1008</v>
      </c>
      <c r="AY13" s="24" t="s">
        <v>2338</v>
      </c>
    </row>
    <row r="14" customFormat="false" ht="14.25" hidden="false" customHeight="false" outlineLevel="0" collapsed="false">
      <c r="A14" s="24" t="s">
        <v>988</v>
      </c>
      <c r="B14" s="24" t="s">
        <v>988</v>
      </c>
      <c r="C14" s="24" t="s">
        <v>989</v>
      </c>
      <c r="D14" s="24" t="n">
        <v>2011</v>
      </c>
      <c r="E14" s="24" t="s">
        <v>990</v>
      </c>
      <c r="F14" s="24" t="s">
        <v>857</v>
      </c>
      <c r="G14" s="24" t="s">
        <v>993</v>
      </c>
      <c r="H14" s="24" t="n">
        <v>29.017</v>
      </c>
      <c r="I14" s="24" t="n">
        <v>77.75</v>
      </c>
      <c r="J14" s="24" t="s">
        <v>83</v>
      </c>
      <c r="K14" s="24" t="s">
        <v>2331</v>
      </c>
      <c r="L14" s="24" t="s">
        <v>84</v>
      </c>
      <c r="M14" s="24" t="s">
        <v>85</v>
      </c>
      <c r="N14" s="24" t="s">
        <v>86</v>
      </c>
      <c r="O14" s="24" t="s">
        <v>2332</v>
      </c>
      <c r="P14" s="24"/>
      <c r="Q14" s="24" t="n">
        <v>8.27</v>
      </c>
      <c r="R14" s="24" t="n">
        <v>10.68</v>
      </c>
      <c r="S14" s="24"/>
      <c r="T14" s="24"/>
      <c r="U14" s="24" t="n">
        <v>8.36</v>
      </c>
      <c r="V14" s="24"/>
      <c r="W14" s="24"/>
      <c r="X14" s="24"/>
      <c r="Y14" s="24"/>
      <c r="Z14" s="24"/>
      <c r="AA14" s="24"/>
      <c r="AB14" s="24" t="n">
        <v>3</v>
      </c>
      <c r="AC14" s="24" t="n">
        <v>3</v>
      </c>
      <c r="AD14" s="24" t="n">
        <f aca="false">IF(AND(N(AB14)&gt;0,N(AC14)&gt;0),SQRT(2*AB14/AC14),"")</f>
        <v>1.4142135623731</v>
      </c>
      <c r="AE14" s="24" t="n">
        <v>19</v>
      </c>
      <c r="AF14" s="24" t="n">
        <v>2</v>
      </c>
      <c r="AG14" s="24" t="n">
        <v>43</v>
      </c>
      <c r="AH14" s="24" t="n">
        <v>800</v>
      </c>
      <c r="AI14" s="24" t="n">
        <v>29.017</v>
      </c>
      <c r="AJ14" s="24" t="s">
        <v>2333</v>
      </c>
      <c r="AK14" s="24"/>
      <c r="AL14" s="24"/>
      <c r="AM14" s="24" t="n">
        <v>8.1</v>
      </c>
      <c r="AN14" s="24"/>
      <c r="AO14" s="24"/>
      <c r="AP14" s="24" t="n">
        <v>55</v>
      </c>
      <c r="AQ14" s="24" t="n">
        <v>26</v>
      </c>
      <c r="AR14" s="24" t="s">
        <v>2334</v>
      </c>
      <c r="AS14" s="24" t="s">
        <v>1722</v>
      </c>
      <c r="AT14" s="24" t="s">
        <v>2351</v>
      </c>
      <c r="AU14" s="24" t="s">
        <v>1724</v>
      </c>
      <c r="AV14" s="24" t="s">
        <v>2336</v>
      </c>
      <c r="AW14" s="25" t="s">
        <v>2337</v>
      </c>
      <c r="AX14" s="24" t="s">
        <v>1008</v>
      </c>
      <c r="AY14" s="24" t="s">
        <v>2338</v>
      </c>
    </row>
    <row r="15" customFormat="false" ht="14.25" hidden="false" customHeight="false" outlineLevel="0" collapsed="false">
      <c r="A15" s="24" t="s">
        <v>988</v>
      </c>
      <c r="B15" s="24" t="s">
        <v>988</v>
      </c>
      <c r="C15" s="24" t="s">
        <v>989</v>
      </c>
      <c r="D15" s="24" t="n">
        <v>2011</v>
      </c>
      <c r="E15" s="24" t="s">
        <v>990</v>
      </c>
      <c r="F15" s="24" t="s">
        <v>857</v>
      </c>
      <c r="G15" s="24" t="s">
        <v>993</v>
      </c>
      <c r="H15" s="24" t="n">
        <v>29.017</v>
      </c>
      <c r="I15" s="24" t="n">
        <v>77.75</v>
      </c>
      <c r="J15" s="24" t="s">
        <v>83</v>
      </c>
      <c r="K15" s="24" t="s">
        <v>2331</v>
      </c>
      <c r="L15" s="24" t="s">
        <v>84</v>
      </c>
      <c r="M15" s="24" t="s">
        <v>85</v>
      </c>
      <c r="N15" s="24" t="s">
        <v>86</v>
      </c>
      <c r="O15" s="24" t="s">
        <v>2332</v>
      </c>
      <c r="P15" s="24"/>
      <c r="Q15" s="24" t="n">
        <v>8.9</v>
      </c>
      <c r="R15" s="24" t="n">
        <v>11.01</v>
      </c>
      <c r="S15" s="24"/>
      <c r="T15" s="24"/>
      <c r="U15" s="24" t="n">
        <v>8.78</v>
      </c>
      <c r="V15" s="24"/>
      <c r="W15" s="24"/>
      <c r="X15" s="24"/>
      <c r="Y15" s="24"/>
      <c r="Z15" s="24"/>
      <c r="AA15" s="24"/>
      <c r="AB15" s="24" t="n">
        <v>3</v>
      </c>
      <c r="AC15" s="24" t="n">
        <v>3</v>
      </c>
      <c r="AD15" s="24" t="n">
        <f aca="false">IF(AND(N(AB15)&gt;0,N(AC15)&gt;0),SQRT(2*AB15/AC15),"")</f>
        <v>1.4142135623731</v>
      </c>
      <c r="AE15" s="24" t="n">
        <v>19</v>
      </c>
      <c r="AF15" s="24" t="n">
        <v>2</v>
      </c>
      <c r="AG15" s="24" t="n">
        <v>43</v>
      </c>
      <c r="AH15" s="24" t="n">
        <v>800</v>
      </c>
      <c r="AI15" s="24" t="n">
        <v>29.017</v>
      </c>
      <c r="AJ15" s="24" t="s">
        <v>2333</v>
      </c>
      <c r="AK15" s="24"/>
      <c r="AL15" s="24"/>
      <c r="AM15" s="24" t="n">
        <v>8.1</v>
      </c>
      <c r="AN15" s="24"/>
      <c r="AO15" s="24"/>
      <c r="AP15" s="24" t="n">
        <v>55</v>
      </c>
      <c r="AQ15" s="24" t="n">
        <v>26</v>
      </c>
      <c r="AR15" s="24" t="s">
        <v>2334</v>
      </c>
      <c r="AS15" s="24" t="s">
        <v>1722</v>
      </c>
      <c r="AT15" s="24" t="s">
        <v>2352</v>
      </c>
      <c r="AU15" s="24" t="s">
        <v>1724</v>
      </c>
      <c r="AV15" s="24" t="s">
        <v>2336</v>
      </c>
      <c r="AW15" s="25" t="s">
        <v>2337</v>
      </c>
      <c r="AX15" s="24" t="s">
        <v>1008</v>
      </c>
      <c r="AY15" s="24" t="s">
        <v>2338</v>
      </c>
    </row>
    <row r="16" customFormat="false" ht="14.25" hidden="false" customHeight="false" outlineLevel="0" collapsed="false">
      <c r="A16" s="24" t="s">
        <v>988</v>
      </c>
      <c r="B16" s="24" t="s">
        <v>988</v>
      </c>
      <c r="C16" s="24" t="s">
        <v>989</v>
      </c>
      <c r="D16" s="24" t="n">
        <v>2011</v>
      </c>
      <c r="E16" s="24" t="s">
        <v>990</v>
      </c>
      <c r="F16" s="24" t="s">
        <v>857</v>
      </c>
      <c r="G16" s="24" t="s">
        <v>993</v>
      </c>
      <c r="H16" s="24" t="n">
        <v>29.017</v>
      </c>
      <c r="I16" s="24" t="n">
        <v>77.75</v>
      </c>
      <c r="J16" s="24" t="s">
        <v>83</v>
      </c>
      <c r="K16" s="24" t="s">
        <v>2331</v>
      </c>
      <c r="L16" s="24" t="s">
        <v>84</v>
      </c>
      <c r="M16" s="24" t="s">
        <v>85</v>
      </c>
      <c r="N16" s="24" t="s">
        <v>86</v>
      </c>
      <c r="O16" s="24" t="s">
        <v>2332</v>
      </c>
      <c r="P16" s="24"/>
      <c r="Q16" s="24" t="n">
        <v>8.1</v>
      </c>
      <c r="R16" s="24" t="n">
        <v>9.66</v>
      </c>
      <c r="S16" s="24"/>
      <c r="T16" s="24"/>
      <c r="U16" s="24" t="n">
        <v>8.17</v>
      </c>
      <c r="V16" s="24"/>
      <c r="W16" s="24"/>
      <c r="X16" s="24"/>
      <c r="Y16" s="24"/>
      <c r="Z16" s="24"/>
      <c r="AA16" s="24"/>
      <c r="AB16" s="24" t="n">
        <v>3</v>
      </c>
      <c r="AC16" s="24" t="n">
        <v>3</v>
      </c>
      <c r="AD16" s="24" t="n">
        <f aca="false">IF(AND(N(AB16)&gt;0,N(AC16)&gt;0),SQRT(2*AB16/AC16),"")</f>
        <v>1.4142135623731</v>
      </c>
      <c r="AE16" s="24" t="n">
        <v>19</v>
      </c>
      <c r="AF16" s="24" t="n">
        <v>2</v>
      </c>
      <c r="AG16" s="24" t="n">
        <v>43</v>
      </c>
      <c r="AH16" s="24" t="n">
        <v>800</v>
      </c>
      <c r="AI16" s="24" t="n">
        <v>29.017</v>
      </c>
      <c r="AJ16" s="24" t="s">
        <v>2333</v>
      </c>
      <c r="AK16" s="24"/>
      <c r="AL16" s="24"/>
      <c r="AM16" s="24" t="n">
        <v>8.1</v>
      </c>
      <c r="AN16" s="24"/>
      <c r="AO16" s="24"/>
      <c r="AP16" s="24" t="n">
        <v>55</v>
      </c>
      <c r="AQ16" s="24" t="n">
        <v>26</v>
      </c>
      <c r="AR16" s="24" t="s">
        <v>2334</v>
      </c>
      <c r="AS16" s="24" t="s">
        <v>1722</v>
      </c>
      <c r="AT16" s="24" t="s">
        <v>2353</v>
      </c>
      <c r="AU16" s="24" t="s">
        <v>1724</v>
      </c>
      <c r="AV16" s="24" t="s">
        <v>2336</v>
      </c>
      <c r="AW16" s="25" t="s">
        <v>2337</v>
      </c>
      <c r="AX16" s="24" t="s">
        <v>1008</v>
      </c>
      <c r="AY16" s="24" t="s">
        <v>2338</v>
      </c>
    </row>
    <row r="17" customFormat="false" ht="14.25" hidden="false" customHeight="false" outlineLevel="0" collapsed="false">
      <c r="A17" s="24" t="s">
        <v>988</v>
      </c>
      <c r="B17" s="24" t="s">
        <v>988</v>
      </c>
      <c r="C17" s="24" t="s">
        <v>989</v>
      </c>
      <c r="D17" s="24" t="n">
        <v>2011</v>
      </c>
      <c r="E17" s="24" t="s">
        <v>990</v>
      </c>
      <c r="F17" s="24" t="s">
        <v>857</v>
      </c>
      <c r="G17" s="24" t="s">
        <v>993</v>
      </c>
      <c r="H17" s="24" t="n">
        <v>29.017</v>
      </c>
      <c r="I17" s="24" t="n">
        <v>77.75</v>
      </c>
      <c r="J17" s="24" t="s">
        <v>83</v>
      </c>
      <c r="K17" s="24" t="s">
        <v>2331</v>
      </c>
      <c r="L17" s="24" t="s">
        <v>84</v>
      </c>
      <c r="M17" s="24" t="s">
        <v>85</v>
      </c>
      <c r="N17" s="24" t="s">
        <v>86</v>
      </c>
      <c r="O17" s="24" t="s">
        <v>2332</v>
      </c>
      <c r="P17" s="24"/>
      <c r="Q17" s="24" t="n">
        <v>8.29</v>
      </c>
      <c r="R17" s="24" t="n">
        <v>9.8</v>
      </c>
      <c r="S17" s="24"/>
      <c r="T17" s="24"/>
      <c r="U17" s="24" t="n">
        <v>8.31</v>
      </c>
      <c r="V17" s="24"/>
      <c r="W17" s="24"/>
      <c r="X17" s="24"/>
      <c r="Y17" s="24"/>
      <c r="Z17" s="24"/>
      <c r="AA17" s="24"/>
      <c r="AB17" s="24" t="n">
        <v>3</v>
      </c>
      <c r="AC17" s="24" t="n">
        <v>3</v>
      </c>
      <c r="AD17" s="24" t="n">
        <f aca="false">IF(AND(N(AB17)&gt;0,N(AC17)&gt;0),SQRT(2*AB17/AC17),"")</f>
        <v>1.4142135623731</v>
      </c>
      <c r="AE17" s="24" t="n">
        <v>19</v>
      </c>
      <c r="AF17" s="24" t="n">
        <v>2</v>
      </c>
      <c r="AG17" s="24" t="n">
        <v>43</v>
      </c>
      <c r="AH17" s="24" t="n">
        <v>800</v>
      </c>
      <c r="AI17" s="24" t="n">
        <v>29.017</v>
      </c>
      <c r="AJ17" s="24" t="s">
        <v>2333</v>
      </c>
      <c r="AK17" s="24"/>
      <c r="AL17" s="24"/>
      <c r="AM17" s="24" t="n">
        <v>8.1</v>
      </c>
      <c r="AN17" s="24"/>
      <c r="AO17" s="24"/>
      <c r="AP17" s="24" t="n">
        <v>55</v>
      </c>
      <c r="AQ17" s="24" t="n">
        <v>26</v>
      </c>
      <c r="AR17" s="24" t="s">
        <v>2334</v>
      </c>
      <c r="AS17" s="24" t="s">
        <v>1722</v>
      </c>
      <c r="AT17" s="24" t="s">
        <v>2354</v>
      </c>
      <c r="AU17" s="24" t="s">
        <v>1724</v>
      </c>
      <c r="AV17" s="24" t="s">
        <v>2336</v>
      </c>
      <c r="AW17" s="25" t="s">
        <v>2337</v>
      </c>
      <c r="AX17" s="24" t="s">
        <v>1008</v>
      </c>
      <c r="AY17" s="24" t="s">
        <v>2338</v>
      </c>
    </row>
    <row r="18" customFormat="false" ht="14.25" hidden="false" customHeight="false" outlineLevel="0" collapsed="false">
      <c r="A18" s="24" t="s">
        <v>988</v>
      </c>
      <c r="B18" s="24" t="s">
        <v>988</v>
      </c>
      <c r="C18" s="24" t="s">
        <v>989</v>
      </c>
      <c r="D18" s="24" t="n">
        <v>2011</v>
      </c>
      <c r="E18" s="24" t="s">
        <v>990</v>
      </c>
      <c r="F18" s="24" t="s">
        <v>857</v>
      </c>
      <c r="G18" s="24" t="s">
        <v>993</v>
      </c>
      <c r="H18" s="24" t="n">
        <v>29.017</v>
      </c>
      <c r="I18" s="24" t="n">
        <v>77.75</v>
      </c>
      <c r="J18" s="24" t="s">
        <v>83</v>
      </c>
      <c r="K18" s="24" t="s">
        <v>2331</v>
      </c>
      <c r="L18" s="24" t="s">
        <v>84</v>
      </c>
      <c r="M18" s="24" t="s">
        <v>85</v>
      </c>
      <c r="N18" s="24" t="s">
        <v>86</v>
      </c>
      <c r="O18" s="24" t="s">
        <v>2332</v>
      </c>
      <c r="P18" s="24"/>
      <c r="Q18" s="24" t="n">
        <v>11.49</v>
      </c>
      <c r="R18" s="24" t="n">
        <v>12.66</v>
      </c>
      <c r="S18" s="24"/>
      <c r="T18" s="24"/>
      <c r="U18" s="24" t="n">
        <v>11.45</v>
      </c>
      <c r="V18" s="24"/>
      <c r="W18" s="24"/>
      <c r="X18" s="24"/>
      <c r="Y18" s="24"/>
      <c r="Z18" s="24"/>
      <c r="AA18" s="24"/>
      <c r="AB18" s="24" t="n">
        <v>3</v>
      </c>
      <c r="AC18" s="24" t="n">
        <v>3</v>
      </c>
      <c r="AD18" s="24" t="n">
        <f aca="false">IF(AND(N(AB18)&gt;0,N(AC18)&gt;0),SQRT(2*AB18/AC18),"")</f>
        <v>1.4142135623731</v>
      </c>
      <c r="AE18" s="24" t="n">
        <v>19</v>
      </c>
      <c r="AF18" s="24" t="n">
        <v>2</v>
      </c>
      <c r="AG18" s="24" t="n">
        <v>43</v>
      </c>
      <c r="AH18" s="24" t="n">
        <v>800</v>
      </c>
      <c r="AI18" s="24" t="n">
        <v>29.017</v>
      </c>
      <c r="AJ18" s="24" t="s">
        <v>2333</v>
      </c>
      <c r="AK18" s="24"/>
      <c r="AL18" s="24"/>
      <c r="AM18" s="24" t="n">
        <v>8.1</v>
      </c>
      <c r="AN18" s="24"/>
      <c r="AO18" s="24"/>
      <c r="AP18" s="24" t="n">
        <v>55</v>
      </c>
      <c r="AQ18" s="24" t="n">
        <v>26</v>
      </c>
      <c r="AR18" s="24" t="s">
        <v>2334</v>
      </c>
      <c r="AS18" s="24" t="s">
        <v>1722</v>
      </c>
      <c r="AT18" s="24" t="s">
        <v>2355</v>
      </c>
      <c r="AU18" s="24" t="s">
        <v>1724</v>
      </c>
      <c r="AV18" s="24" t="s">
        <v>2336</v>
      </c>
      <c r="AW18" s="25" t="s">
        <v>2337</v>
      </c>
      <c r="AX18" s="24" t="s">
        <v>1008</v>
      </c>
      <c r="AY18" s="24" t="s">
        <v>2338</v>
      </c>
    </row>
    <row r="19" customFormat="false" ht="14.25" hidden="false" customHeight="false" outlineLevel="0" collapsed="false">
      <c r="A19" s="24" t="s">
        <v>988</v>
      </c>
      <c r="B19" s="24" t="s">
        <v>988</v>
      </c>
      <c r="C19" s="24" t="s">
        <v>989</v>
      </c>
      <c r="D19" s="24" t="n">
        <v>2011</v>
      </c>
      <c r="E19" s="24" t="s">
        <v>990</v>
      </c>
      <c r="F19" s="24" t="s">
        <v>857</v>
      </c>
      <c r="G19" s="24" t="s">
        <v>993</v>
      </c>
      <c r="H19" s="24" t="n">
        <v>29.017</v>
      </c>
      <c r="I19" s="24" t="n">
        <v>77.75</v>
      </c>
      <c r="J19" s="24" t="s">
        <v>83</v>
      </c>
      <c r="K19" s="24" t="s">
        <v>2331</v>
      </c>
      <c r="L19" s="24" t="s">
        <v>84</v>
      </c>
      <c r="M19" s="24" t="s">
        <v>85</v>
      </c>
      <c r="N19" s="24" t="s">
        <v>86</v>
      </c>
      <c r="O19" s="24" t="s">
        <v>2332</v>
      </c>
      <c r="P19" s="24"/>
      <c r="Q19" s="24" t="n">
        <v>12.89</v>
      </c>
      <c r="R19" s="24" t="n">
        <v>13.51</v>
      </c>
      <c r="S19" s="24"/>
      <c r="T19" s="24"/>
      <c r="U19" s="24" t="n">
        <v>12.89</v>
      </c>
      <c r="V19" s="24"/>
      <c r="W19" s="24"/>
      <c r="X19" s="24"/>
      <c r="Y19" s="24"/>
      <c r="Z19" s="24"/>
      <c r="AA19" s="24"/>
      <c r="AB19" s="24" t="n">
        <v>3</v>
      </c>
      <c r="AC19" s="24" t="n">
        <v>3</v>
      </c>
      <c r="AD19" s="24" t="n">
        <f aca="false">IF(AND(N(AB19)&gt;0,N(AC19)&gt;0),SQRT(2*AB19/AC19),"")</f>
        <v>1.4142135623731</v>
      </c>
      <c r="AE19" s="24" t="n">
        <v>19</v>
      </c>
      <c r="AF19" s="24" t="n">
        <v>2</v>
      </c>
      <c r="AG19" s="24" t="n">
        <v>43</v>
      </c>
      <c r="AH19" s="24" t="n">
        <v>800</v>
      </c>
      <c r="AI19" s="24" t="n">
        <v>29.017</v>
      </c>
      <c r="AJ19" s="24" t="s">
        <v>2333</v>
      </c>
      <c r="AK19" s="24"/>
      <c r="AL19" s="24"/>
      <c r="AM19" s="24" t="n">
        <v>8.1</v>
      </c>
      <c r="AN19" s="24"/>
      <c r="AO19" s="24"/>
      <c r="AP19" s="24" t="n">
        <v>55</v>
      </c>
      <c r="AQ19" s="24" t="n">
        <v>26</v>
      </c>
      <c r="AR19" s="24" t="s">
        <v>2334</v>
      </c>
      <c r="AS19" s="24" t="s">
        <v>1722</v>
      </c>
      <c r="AT19" s="24" t="s">
        <v>2356</v>
      </c>
      <c r="AU19" s="24" t="s">
        <v>1724</v>
      </c>
      <c r="AV19" s="24" t="s">
        <v>2336</v>
      </c>
      <c r="AW19" s="25" t="s">
        <v>2337</v>
      </c>
      <c r="AX19" s="24" t="s">
        <v>1008</v>
      </c>
      <c r="AY19" s="24" t="s">
        <v>2338</v>
      </c>
    </row>
    <row r="20" customFormat="false" ht="14.25" hidden="false" customHeight="false" outlineLevel="0" collapsed="false">
      <c r="A20" s="24" t="s">
        <v>988</v>
      </c>
      <c r="B20" s="24" t="s">
        <v>988</v>
      </c>
      <c r="C20" s="24" t="s">
        <v>989</v>
      </c>
      <c r="D20" s="24" t="n">
        <v>2011</v>
      </c>
      <c r="E20" s="24" t="s">
        <v>990</v>
      </c>
      <c r="F20" s="24" t="s">
        <v>857</v>
      </c>
      <c r="G20" s="24" t="s">
        <v>993</v>
      </c>
      <c r="H20" s="24" t="n">
        <v>29.017</v>
      </c>
      <c r="I20" s="24" t="n">
        <v>77.75</v>
      </c>
      <c r="J20" s="24" t="s">
        <v>83</v>
      </c>
      <c r="K20" s="24" t="s">
        <v>2331</v>
      </c>
      <c r="L20" s="24" t="s">
        <v>84</v>
      </c>
      <c r="M20" s="24" t="s">
        <v>85</v>
      </c>
      <c r="N20" s="24" t="s">
        <v>86</v>
      </c>
      <c r="O20" s="24" t="s">
        <v>2332</v>
      </c>
      <c r="P20" s="24"/>
      <c r="Q20" s="24" t="n">
        <v>14.65</v>
      </c>
      <c r="R20" s="24" t="n">
        <v>14.85</v>
      </c>
      <c r="S20" s="24"/>
      <c r="T20" s="24"/>
      <c r="U20" s="24" t="n">
        <v>14.8</v>
      </c>
      <c r="V20" s="24"/>
      <c r="W20" s="24"/>
      <c r="X20" s="24"/>
      <c r="Y20" s="24"/>
      <c r="Z20" s="24"/>
      <c r="AA20" s="24"/>
      <c r="AB20" s="24" t="n">
        <v>3</v>
      </c>
      <c r="AC20" s="24" t="n">
        <v>3</v>
      </c>
      <c r="AD20" s="24" t="n">
        <f aca="false">IF(AND(N(AB20)&gt;0,N(AC20)&gt;0),SQRT(2*AB20/AC20),"")</f>
        <v>1.4142135623731</v>
      </c>
      <c r="AE20" s="24" t="n">
        <v>19</v>
      </c>
      <c r="AF20" s="24" t="n">
        <v>2</v>
      </c>
      <c r="AG20" s="24" t="n">
        <v>43</v>
      </c>
      <c r="AH20" s="24" t="n">
        <v>800</v>
      </c>
      <c r="AI20" s="24" t="n">
        <v>29.017</v>
      </c>
      <c r="AJ20" s="24" t="s">
        <v>2333</v>
      </c>
      <c r="AK20" s="24"/>
      <c r="AL20" s="24"/>
      <c r="AM20" s="24" t="n">
        <v>8.1</v>
      </c>
      <c r="AN20" s="24"/>
      <c r="AO20" s="24"/>
      <c r="AP20" s="24" t="n">
        <v>55</v>
      </c>
      <c r="AQ20" s="24" t="n">
        <v>26</v>
      </c>
      <c r="AR20" s="24" t="s">
        <v>2334</v>
      </c>
      <c r="AS20" s="24" t="s">
        <v>1722</v>
      </c>
      <c r="AT20" s="24" t="s">
        <v>2357</v>
      </c>
      <c r="AU20" s="24" t="s">
        <v>1724</v>
      </c>
      <c r="AV20" s="24" t="s">
        <v>2336</v>
      </c>
      <c r="AW20" s="25" t="s">
        <v>2337</v>
      </c>
      <c r="AX20" s="24" t="s">
        <v>1008</v>
      </c>
      <c r="AY20" s="24" t="s">
        <v>2338</v>
      </c>
    </row>
    <row r="21" customFormat="false" ht="14.25" hidden="false" customHeight="false" outlineLevel="0" collapsed="false">
      <c r="A21" s="24" t="s">
        <v>988</v>
      </c>
      <c r="B21" s="24" t="s">
        <v>988</v>
      </c>
      <c r="C21" s="24" t="s">
        <v>989</v>
      </c>
      <c r="D21" s="24" t="n">
        <v>2011</v>
      </c>
      <c r="E21" s="24" t="s">
        <v>990</v>
      </c>
      <c r="F21" s="24" t="s">
        <v>857</v>
      </c>
      <c r="G21" s="24" t="s">
        <v>993</v>
      </c>
      <c r="H21" s="24" t="n">
        <v>29.017</v>
      </c>
      <c r="I21" s="24" t="n">
        <v>77.75</v>
      </c>
      <c r="J21" s="24" t="s">
        <v>83</v>
      </c>
      <c r="K21" s="24" t="s">
        <v>2331</v>
      </c>
      <c r="L21" s="24" t="s">
        <v>84</v>
      </c>
      <c r="M21" s="24" t="s">
        <v>85</v>
      </c>
      <c r="N21" s="24" t="s">
        <v>86</v>
      </c>
      <c r="O21" s="24" t="s">
        <v>2332</v>
      </c>
      <c r="P21" s="24"/>
      <c r="Q21" s="24" t="n">
        <v>13.59</v>
      </c>
      <c r="R21" s="24" t="n">
        <v>14.07</v>
      </c>
      <c r="S21" s="24"/>
      <c r="T21" s="24"/>
      <c r="U21" s="24" t="n">
        <v>13.8</v>
      </c>
      <c r="V21" s="24"/>
      <c r="W21" s="24"/>
      <c r="X21" s="24"/>
      <c r="Y21" s="24"/>
      <c r="Z21" s="24"/>
      <c r="AA21" s="24"/>
      <c r="AB21" s="24" t="n">
        <v>3</v>
      </c>
      <c r="AC21" s="24" t="n">
        <v>3</v>
      </c>
      <c r="AD21" s="24" t="n">
        <f aca="false">IF(AND(N(AB21)&gt;0,N(AC21)&gt;0),SQRT(2*AB21/AC21),"")</f>
        <v>1.4142135623731</v>
      </c>
      <c r="AE21" s="24" t="n">
        <v>19</v>
      </c>
      <c r="AF21" s="24" t="n">
        <v>2</v>
      </c>
      <c r="AG21" s="24" t="n">
        <v>43</v>
      </c>
      <c r="AH21" s="24" t="n">
        <v>800</v>
      </c>
      <c r="AI21" s="24" t="n">
        <v>29.017</v>
      </c>
      <c r="AJ21" s="24" t="s">
        <v>2333</v>
      </c>
      <c r="AK21" s="24"/>
      <c r="AL21" s="24"/>
      <c r="AM21" s="24" t="n">
        <v>8.1</v>
      </c>
      <c r="AN21" s="24"/>
      <c r="AO21" s="24"/>
      <c r="AP21" s="24" t="n">
        <v>55</v>
      </c>
      <c r="AQ21" s="24" t="n">
        <v>26</v>
      </c>
      <c r="AR21" s="24" t="s">
        <v>2334</v>
      </c>
      <c r="AS21" s="24" t="s">
        <v>1722</v>
      </c>
      <c r="AT21" s="24" t="s">
        <v>2358</v>
      </c>
      <c r="AU21" s="24" t="s">
        <v>1724</v>
      </c>
      <c r="AV21" s="24" t="s">
        <v>2336</v>
      </c>
      <c r="AW21" s="25" t="s">
        <v>2337</v>
      </c>
      <c r="AX21" s="24" t="s">
        <v>1008</v>
      </c>
      <c r="AY21" s="24" t="s">
        <v>2338</v>
      </c>
    </row>
    <row r="22" customFormat="false" ht="14.25" hidden="false" customHeight="false" outlineLevel="0" collapsed="false">
      <c r="A22" s="24" t="s">
        <v>988</v>
      </c>
      <c r="B22" s="24" t="s">
        <v>988</v>
      </c>
      <c r="C22" s="24" t="s">
        <v>989</v>
      </c>
      <c r="D22" s="24" t="n">
        <v>2011</v>
      </c>
      <c r="E22" s="24" t="s">
        <v>990</v>
      </c>
      <c r="F22" s="24" t="s">
        <v>857</v>
      </c>
      <c r="G22" s="24" t="s">
        <v>993</v>
      </c>
      <c r="H22" s="24" t="n">
        <v>29.017</v>
      </c>
      <c r="I22" s="24" t="n">
        <v>77.75</v>
      </c>
      <c r="J22" s="24" t="s">
        <v>83</v>
      </c>
      <c r="K22" s="24" t="s">
        <v>2331</v>
      </c>
      <c r="L22" s="24" t="s">
        <v>84</v>
      </c>
      <c r="M22" s="24" t="s">
        <v>85</v>
      </c>
      <c r="N22" s="24" t="s">
        <v>86</v>
      </c>
      <c r="O22" s="24" t="s">
        <v>2332</v>
      </c>
      <c r="P22" s="24"/>
      <c r="Q22" s="24" t="n">
        <v>25.46</v>
      </c>
      <c r="R22" s="24" t="n">
        <v>22.42</v>
      </c>
      <c r="S22" s="24"/>
      <c r="T22" s="24"/>
      <c r="U22" s="24" t="n">
        <v>23.88</v>
      </c>
      <c r="V22" s="24"/>
      <c r="W22" s="24"/>
      <c r="X22" s="24"/>
      <c r="Y22" s="24"/>
      <c r="Z22" s="24"/>
      <c r="AA22" s="24"/>
      <c r="AB22" s="24" t="n">
        <v>3</v>
      </c>
      <c r="AC22" s="24" t="n">
        <v>3</v>
      </c>
      <c r="AD22" s="24" t="n">
        <f aca="false">IF(AND(N(AB22)&gt;0,N(AC22)&gt;0),SQRT(2*AB22/AC22),"")</f>
        <v>1.4142135623731</v>
      </c>
      <c r="AE22" s="24" t="n">
        <v>19</v>
      </c>
      <c r="AF22" s="24" t="n">
        <v>2</v>
      </c>
      <c r="AG22" s="24" t="n">
        <v>43</v>
      </c>
      <c r="AH22" s="24" t="n">
        <v>800</v>
      </c>
      <c r="AI22" s="24" t="n">
        <v>29.017</v>
      </c>
      <c r="AJ22" s="24" t="s">
        <v>2333</v>
      </c>
      <c r="AK22" s="24"/>
      <c r="AL22" s="24"/>
      <c r="AM22" s="24" t="n">
        <v>8.1</v>
      </c>
      <c r="AN22" s="24"/>
      <c r="AO22" s="24"/>
      <c r="AP22" s="24" t="n">
        <v>55</v>
      </c>
      <c r="AQ22" s="24" t="n">
        <v>26</v>
      </c>
      <c r="AR22" s="24" t="s">
        <v>2334</v>
      </c>
      <c r="AS22" s="24" t="s">
        <v>1722</v>
      </c>
      <c r="AT22" s="24" t="s">
        <v>2359</v>
      </c>
      <c r="AU22" s="24" t="s">
        <v>1724</v>
      </c>
      <c r="AV22" s="24" t="s">
        <v>2336</v>
      </c>
      <c r="AW22" s="25" t="s">
        <v>2337</v>
      </c>
      <c r="AX22" s="24" t="s">
        <v>1008</v>
      </c>
      <c r="AY22" s="24" t="s">
        <v>2338</v>
      </c>
    </row>
    <row r="23" customFormat="false" ht="14.25" hidden="false" customHeight="false" outlineLevel="0" collapsed="false">
      <c r="A23" s="24" t="s">
        <v>988</v>
      </c>
      <c r="B23" s="24" t="s">
        <v>988</v>
      </c>
      <c r="C23" s="24" t="s">
        <v>989</v>
      </c>
      <c r="D23" s="24" t="n">
        <v>2011</v>
      </c>
      <c r="E23" s="24" t="s">
        <v>990</v>
      </c>
      <c r="F23" s="24" t="s">
        <v>857</v>
      </c>
      <c r="G23" s="24" t="s">
        <v>993</v>
      </c>
      <c r="H23" s="24" t="n">
        <v>29.017</v>
      </c>
      <c r="I23" s="24" t="n">
        <v>77.75</v>
      </c>
      <c r="J23" s="24" t="s">
        <v>83</v>
      </c>
      <c r="K23" s="24" t="s">
        <v>2331</v>
      </c>
      <c r="L23" s="24" t="s">
        <v>84</v>
      </c>
      <c r="M23" s="24" t="s">
        <v>85</v>
      </c>
      <c r="N23" s="24" t="s">
        <v>86</v>
      </c>
      <c r="O23" s="24" t="s">
        <v>2332</v>
      </c>
      <c r="P23" s="24"/>
      <c r="Q23" s="24" t="n">
        <v>23.81</v>
      </c>
      <c r="R23" s="24" t="n">
        <v>20.77</v>
      </c>
      <c r="S23" s="24"/>
      <c r="T23" s="24"/>
      <c r="U23" s="24" t="n">
        <v>22.31</v>
      </c>
      <c r="V23" s="24"/>
      <c r="W23" s="24"/>
      <c r="X23" s="24"/>
      <c r="Y23" s="24"/>
      <c r="Z23" s="24"/>
      <c r="AA23" s="24"/>
      <c r="AB23" s="24" t="n">
        <v>3</v>
      </c>
      <c r="AC23" s="24" t="n">
        <v>3</v>
      </c>
      <c r="AD23" s="24" t="n">
        <f aca="false">IF(AND(N(AB23)&gt;0,N(AC23)&gt;0),SQRT(2*AB23/AC23),"")</f>
        <v>1.4142135623731</v>
      </c>
      <c r="AE23" s="24" t="n">
        <v>19</v>
      </c>
      <c r="AF23" s="24" t="n">
        <v>2</v>
      </c>
      <c r="AG23" s="24" t="n">
        <v>43</v>
      </c>
      <c r="AH23" s="24" t="n">
        <v>800</v>
      </c>
      <c r="AI23" s="24" t="n">
        <v>29.017</v>
      </c>
      <c r="AJ23" s="24" t="s">
        <v>2333</v>
      </c>
      <c r="AK23" s="24"/>
      <c r="AL23" s="24"/>
      <c r="AM23" s="24" t="n">
        <v>8.1</v>
      </c>
      <c r="AN23" s="24"/>
      <c r="AO23" s="24"/>
      <c r="AP23" s="24" t="n">
        <v>55</v>
      </c>
      <c r="AQ23" s="24" t="n">
        <v>26</v>
      </c>
      <c r="AR23" s="24" t="s">
        <v>2334</v>
      </c>
      <c r="AS23" s="24" t="s">
        <v>1722</v>
      </c>
      <c r="AT23" s="24" t="s">
        <v>2360</v>
      </c>
      <c r="AU23" s="24" t="s">
        <v>1724</v>
      </c>
      <c r="AV23" s="24" t="s">
        <v>2336</v>
      </c>
      <c r="AW23" s="25" t="s">
        <v>2337</v>
      </c>
      <c r="AX23" s="24" t="s">
        <v>1008</v>
      </c>
      <c r="AY23" s="24" t="s">
        <v>2338</v>
      </c>
    </row>
    <row r="24" customFormat="false" ht="14.25" hidden="false" customHeight="false" outlineLevel="0" collapsed="false">
      <c r="A24" s="24" t="s">
        <v>988</v>
      </c>
      <c r="B24" s="24" t="s">
        <v>988</v>
      </c>
      <c r="C24" s="24" t="s">
        <v>989</v>
      </c>
      <c r="D24" s="24" t="n">
        <v>2011</v>
      </c>
      <c r="E24" s="24" t="s">
        <v>990</v>
      </c>
      <c r="F24" s="24" t="s">
        <v>857</v>
      </c>
      <c r="G24" s="24" t="s">
        <v>993</v>
      </c>
      <c r="H24" s="24" t="n">
        <v>29.017</v>
      </c>
      <c r="I24" s="24" t="n">
        <v>77.75</v>
      </c>
      <c r="J24" s="24" t="s">
        <v>83</v>
      </c>
      <c r="K24" s="24" t="s">
        <v>2331</v>
      </c>
      <c r="L24" s="24" t="s">
        <v>84</v>
      </c>
      <c r="M24" s="24" t="s">
        <v>85</v>
      </c>
      <c r="N24" s="24" t="s">
        <v>86</v>
      </c>
      <c r="O24" s="24" t="s">
        <v>2332</v>
      </c>
      <c r="P24" s="24"/>
      <c r="Q24" s="24" t="n">
        <v>21.38</v>
      </c>
      <c r="R24" s="24" t="n">
        <v>19.14</v>
      </c>
      <c r="S24" s="24"/>
      <c r="T24" s="24"/>
      <c r="U24" s="24" t="n">
        <v>20.78</v>
      </c>
      <c r="V24" s="24"/>
      <c r="W24" s="24"/>
      <c r="X24" s="24"/>
      <c r="Y24" s="24"/>
      <c r="Z24" s="24"/>
      <c r="AA24" s="24"/>
      <c r="AB24" s="24" t="n">
        <v>3</v>
      </c>
      <c r="AC24" s="24" t="n">
        <v>3</v>
      </c>
      <c r="AD24" s="24" t="n">
        <f aca="false">IF(AND(N(AB24)&gt;0,N(AC24)&gt;0),SQRT(2*AB24/AC24),"")</f>
        <v>1.4142135623731</v>
      </c>
      <c r="AE24" s="24" t="n">
        <v>19</v>
      </c>
      <c r="AF24" s="24" t="n">
        <v>2</v>
      </c>
      <c r="AG24" s="24" t="n">
        <v>43</v>
      </c>
      <c r="AH24" s="24" t="n">
        <v>800</v>
      </c>
      <c r="AI24" s="24" t="n">
        <v>29.017</v>
      </c>
      <c r="AJ24" s="24" t="s">
        <v>2333</v>
      </c>
      <c r="AK24" s="24"/>
      <c r="AL24" s="24"/>
      <c r="AM24" s="24" t="n">
        <v>8.1</v>
      </c>
      <c r="AN24" s="24"/>
      <c r="AO24" s="24"/>
      <c r="AP24" s="24" t="n">
        <v>55</v>
      </c>
      <c r="AQ24" s="24" t="n">
        <v>26</v>
      </c>
      <c r="AR24" s="24" t="s">
        <v>2334</v>
      </c>
      <c r="AS24" s="24" t="s">
        <v>1722</v>
      </c>
      <c r="AT24" s="24" t="s">
        <v>2361</v>
      </c>
      <c r="AU24" s="24" t="s">
        <v>1724</v>
      </c>
      <c r="AV24" s="24" t="s">
        <v>2336</v>
      </c>
      <c r="AW24" s="25" t="s">
        <v>2337</v>
      </c>
      <c r="AX24" s="24" t="s">
        <v>1008</v>
      </c>
      <c r="AY24" s="24" t="s">
        <v>2338</v>
      </c>
    </row>
    <row r="25" customFormat="false" ht="14.25" hidden="false" customHeight="false" outlineLevel="0" collapsed="false">
      <c r="A25" s="24" t="s">
        <v>988</v>
      </c>
      <c r="B25" s="24" t="s">
        <v>988</v>
      </c>
      <c r="C25" s="24" t="s">
        <v>989</v>
      </c>
      <c r="D25" s="24" t="n">
        <v>2011</v>
      </c>
      <c r="E25" s="24" t="s">
        <v>990</v>
      </c>
      <c r="F25" s="24" t="s">
        <v>857</v>
      </c>
      <c r="G25" s="24" t="s">
        <v>993</v>
      </c>
      <c r="H25" s="24" t="n">
        <v>29.017</v>
      </c>
      <c r="I25" s="24" t="n">
        <v>77.75</v>
      </c>
      <c r="J25" s="24" t="s">
        <v>83</v>
      </c>
      <c r="K25" s="24" t="s">
        <v>2331</v>
      </c>
      <c r="L25" s="24" t="s">
        <v>84</v>
      </c>
      <c r="M25" s="24" t="s">
        <v>85</v>
      </c>
      <c r="N25" s="24" t="s">
        <v>86</v>
      </c>
      <c r="O25" s="24" t="s">
        <v>2332</v>
      </c>
      <c r="P25" s="24"/>
      <c r="Q25" s="24" t="n">
        <v>19.44</v>
      </c>
      <c r="R25" s="24" t="n">
        <v>17.87</v>
      </c>
      <c r="S25" s="24"/>
      <c r="T25" s="24"/>
      <c r="U25" s="24" t="n">
        <v>19.5</v>
      </c>
      <c r="V25" s="24"/>
      <c r="W25" s="24"/>
      <c r="X25" s="24"/>
      <c r="Y25" s="24"/>
      <c r="Z25" s="24"/>
      <c r="AA25" s="24"/>
      <c r="AB25" s="24" t="n">
        <v>3</v>
      </c>
      <c r="AC25" s="24" t="n">
        <v>3</v>
      </c>
      <c r="AD25" s="24" t="n">
        <f aca="false">IF(AND(N(AB25)&gt;0,N(AC25)&gt;0),SQRT(2*AB25/AC25),"")</f>
        <v>1.4142135623731</v>
      </c>
      <c r="AE25" s="24" t="n">
        <v>19</v>
      </c>
      <c r="AF25" s="24" t="n">
        <v>2</v>
      </c>
      <c r="AG25" s="24" t="n">
        <v>43</v>
      </c>
      <c r="AH25" s="24" t="n">
        <v>800</v>
      </c>
      <c r="AI25" s="24" t="n">
        <v>29.017</v>
      </c>
      <c r="AJ25" s="24" t="s">
        <v>2333</v>
      </c>
      <c r="AK25" s="24"/>
      <c r="AL25" s="24"/>
      <c r="AM25" s="24" t="n">
        <v>8.1</v>
      </c>
      <c r="AN25" s="24"/>
      <c r="AO25" s="24"/>
      <c r="AP25" s="24" t="n">
        <v>55</v>
      </c>
      <c r="AQ25" s="24" t="n">
        <v>26</v>
      </c>
      <c r="AR25" s="24" t="s">
        <v>2334</v>
      </c>
      <c r="AS25" s="24" t="s">
        <v>1722</v>
      </c>
      <c r="AT25" s="24" t="s">
        <v>2362</v>
      </c>
      <c r="AU25" s="24" t="s">
        <v>1724</v>
      </c>
      <c r="AV25" s="24" t="s">
        <v>2336</v>
      </c>
      <c r="AW25" s="25" t="s">
        <v>2337</v>
      </c>
      <c r="AX25" s="24" t="s">
        <v>1008</v>
      </c>
      <c r="AY25" s="24" t="s">
        <v>2338</v>
      </c>
    </row>
    <row r="26" customFormat="false" ht="14.25" hidden="false" customHeight="false" outlineLevel="0" collapsed="false">
      <c r="A26" s="24" t="s">
        <v>988</v>
      </c>
      <c r="B26" s="24" t="s">
        <v>988</v>
      </c>
      <c r="C26" s="24" t="s">
        <v>989</v>
      </c>
      <c r="D26" s="24" t="n">
        <v>2011</v>
      </c>
      <c r="E26" s="24" t="s">
        <v>990</v>
      </c>
      <c r="F26" s="24" t="s">
        <v>857</v>
      </c>
      <c r="G26" s="24" t="s">
        <v>993</v>
      </c>
      <c r="H26" s="24" t="n">
        <v>29.017</v>
      </c>
      <c r="I26" s="24" t="n">
        <v>77.75</v>
      </c>
      <c r="J26" s="24" t="s">
        <v>83</v>
      </c>
      <c r="K26" s="24" t="s">
        <v>2331</v>
      </c>
      <c r="L26" s="24" t="s">
        <v>84</v>
      </c>
      <c r="M26" s="24" t="s">
        <v>85</v>
      </c>
      <c r="N26" s="24" t="s">
        <v>86</v>
      </c>
      <c r="O26" s="24" t="s">
        <v>2332</v>
      </c>
      <c r="P26" s="24"/>
      <c r="Q26" s="24" t="n">
        <v>18.94</v>
      </c>
      <c r="R26" s="24" t="n">
        <v>17.75</v>
      </c>
      <c r="S26" s="24"/>
      <c r="T26" s="24"/>
      <c r="U26" s="24" t="n">
        <v>19.35</v>
      </c>
      <c r="V26" s="24"/>
      <c r="W26" s="24"/>
      <c r="X26" s="24"/>
      <c r="Y26" s="24"/>
      <c r="Z26" s="24"/>
      <c r="AA26" s="24"/>
      <c r="AB26" s="24" t="n">
        <v>3</v>
      </c>
      <c r="AC26" s="24" t="n">
        <v>3</v>
      </c>
      <c r="AD26" s="24" t="n">
        <f aca="false">IF(AND(N(AB26)&gt;0,N(AC26)&gt;0),SQRT(2*AB26/AC26),"")</f>
        <v>1.4142135623731</v>
      </c>
      <c r="AE26" s="24" t="n">
        <v>19</v>
      </c>
      <c r="AF26" s="24" t="n">
        <v>2</v>
      </c>
      <c r="AG26" s="24" t="n">
        <v>43</v>
      </c>
      <c r="AH26" s="24" t="n">
        <v>800</v>
      </c>
      <c r="AI26" s="24" t="n">
        <v>29.017</v>
      </c>
      <c r="AJ26" s="24" t="s">
        <v>2333</v>
      </c>
      <c r="AK26" s="24"/>
      <c r="AL26" s="24"/>
      <c r="AM26" s="24" t="n">
        <v>8.1</v>
      </c>
      <c r="AN26" s="24"/>
      <c r="AO26" s="24"/>
      <c r="AP26" s="24" t="n">
        <v>55</v>
      </c>
      <c r="AQ26" s="24" t="n">
        <v>26</v>
      </c>
      <c r="AR26" s="24" t="s">
        <v>2334</v>
      </c>
      <c r="AS26" s="24" t="s">
        <v>1722</v>
      </c>
      <c r="AT26" s="24" t="s">
        <v>2363</v>
      </c>
      <c r="AU26" s="24" t="s">
        <v>1724</v>
      </c>
      <c r="AV26" s="24" t="s">
        <v>2336</v>
      </c>
      <c r="AW26" s="25" t="s">
        <v>2337</v>
      </c>
      <c r="AX26" s="24" t="s">
        <v>1008</v>
      </c>
      <c r="AY26" s="24" t="s">
        <v>2338</v>
      </c>
    </row>
    <row r="27" customFormat="false" ht="14.25" hidden="false" customHeight="false" outlineLevel="0" collapsed="false">
      <c r="A27" s="24" t="s">
        <v>988</v>
      </c>
      <c r="B27" s="24" t="s">
        <v>988</v>
      </c>
      <c r="C27" s="24" t="s">
        <v>989</v>
      </c>
      <c r="D27" s="24" t="n">
        <v>2011</v>
      </c>
      <c r="E27" s="24" t="s">
        <v>990</v>
      </c>
      <c r="F27" s="24" t="s">
        <v>857</v>
      </c>
      <c r="G27" s="24" t="s">
        <v>993</v>
      </c>
      <c r="H27" s="24" t="n">
        <v>29.017</v>
      </c>
      <c r="I27" s="24" t="n">
        <v>77.75</v>
      </c>
      <c r="J27" s="24" t="s">
        <v>83</v>
      </c>
      <c r="K27" s="24" t="s">
        <v>2331</v>
      </c>
      <c r="L27" s="24" t="s">
        <v>84</v>
      </c>
      <c r="M27" s="24" t="s">
        <v>85</v>
      </c>
      <c r="N27" s="24" t="s">
        <v>86</v>
      </c>
      <c r="O27" s="24" t="s">
        <v>2332</v>
      </c>
      <c r="P27" s="24"/>
      <c r="Q27" s="24" t="n">
        <v>18.01</v>
      </c>
      <c r="R27" s="24" t="n">
        <v>16.77</v>
      </c>
      <c r="S27" s="24"/>
      <c r="T27" s="24"/>
      <c r="U27" s="24" t="n">
        <v>18.57</v>
      </c>
      <c r="V27" s="24"/>
      <c r="W27" s="24"/>
      <c r="X27" s="24"/>
      <c r="Y27" s="24"/>
      <c r="Z27" s="24"/>
      <c r="AA27" s="24"/>
      <c r="AB27" s="24" t="n">
        <v>3</v>
      </c>
      <c r="AC27" s="24" t="n">
        <v>3</v>
      </c>
      <c r="AD27" s="24" t="n">
        <f aca="false">IF(AND(N(AB27)&gt;0,N(AC27)&gt;0),SQRT(2*AB27/AC27),"")</f>
        <v>1.4142135623731</v>
      </c>
      <c r="AE27" s="24" t="n">
        <v>19</v>
      </c>
      <c r="AF27" s="24" t="n">
        <v>2</v>
      </c>
      <c r="AG27" s="24" t="n">
        <v>43</v>
      </c>
      <c r="AH27" s="24" t="n">
        <v>800</v>
      </c>
      <c r="AI27" s="24" t="n">
        <v>29.017</v>
      </c>
      <c r="AJ27" s="24" t="s">
        <v>2333</v>
      </c>
      <c r="AK27" s="24"/>
      <c r="AL27" s="24"/>
      <c r="AM27" s="24" t="n">
        <v>8.1</v>
      </c>
      <c r="AN27" s="24"/>
      <c r="AO27" s="24"/>
      <c r="AP27" s="24" t="n">
        <v>55</v>
      </c>
      <c r="AQ27" s="24" t="n">
        <v>26</v>
      </c>
      <c r="AR27" s="24" t="s">
        <v>2334</v>
      </c>
      <c r="AS27" s="24" t="s">
        <v>1722</v>
      </c>
      <c r="AT27" s="24" t="s">
        <v>2364</v>
      </c>
      <c r="AU27" s="24" t="s">
        <v>1724</v>
      </c>
      <c r="AV27" s="24" t="s">
        <v>2336</v>
      </c>
      <c r="AW27" s="25" t="s">
        <v>2337</v>
      </c>
      <c r="AX27" s="24" t="s">
        <v>1008</v>
      </c>
      <c r="AY27" s="24" t="s">
        <v>2338</v>
      </c>
    </row>
    <row r="28" customFormat="false" ht="14.25" hidden="false" customHeight="false" outlineLevel="0" collapsed="false">
      <c r="A28" s="24" t="s">
        <v>988</v>
      </c>
      <c r="B28" s="24" t="s">
        <v>988</v>
      </c>
      <c r="C28" s="24" t="s">
        <v>989</v>
      </c>
      <c r="D28" s="24" t="n">
        <v>2011</v>
      </c>
      <c r="E28" s="24" t="s">
        <v>990</v>
      </c>
      <c r="F28" s="24" t="s">
        <v>857</v>
      </c>
      <c r="G28" s="24" t="s">
        <v>993</v>
      </c>
      <c r="H28" s="24" t="n">
        <v>29.017</v>
      </c>
      <c r="I28" s="24" t="n">
        <v>77.75</v>
      </c>
      <c r="J28" s="24" t="s">
        <v>83</v>
      </c>
      <c r="K28" s="24" t="s">
        <v>2331</v>
      </c>
      <c r="L28" s="24" t="s">
        <v>84</v>
      </c>
      <c r="M28" s="24" t="s">
        <v>85</v>
      </c>
      <c r="N28" s="24" t="s">
        <v>86</v>
      </c>
      <c r="O28" s="24" t="s">
        <v>2332</v>
      </c>
      <c r="P28" s="24"/>
      <c r="Q28" s="24" t="n">
        <v>17.97</v>
      </c>
      <c r="R28" s="24" t="n">
        <v>16.28</v>
      </c>
      <c r="S28" s="24"/>
      <c r="T28" s="24"/>
      <c r="U28" s="24" t="n">
        <v>18.27</v>
      </c>
      <c r="V28" s="24"/>
      <c r="W28" s="24"/>
      <c r="X28" s="24"/>
      <c r="Y28" s="24"/>
      <c r="Z28" s="24"/>
      <c r="AA28" s="24"/>
      <c r="AB28" s="24" t="n">
        <v>3</v>
      </c>
      <c r="AC28" s="24" t="n">
        <v>3</v>
      </c>
      <c r="AD28" s="24" t="n">
        <f aca="false">IF(AND(N(AB28)&gt;0,N(AC28)&gt;0),SQRT(2*AB28/AC28),"")</f>
        <v>1.4142135623731</v>
      </c>
      <c r="AE28" s="24" t="n">
        <v>19</v>
      </c>
      <c r="AF28" s="24" t="n">
        <v>2</v>
      </c>
      <c r="AG28" s="24" t="n">
        <v>43</v>
      </c>
      <c r="AH28" s="24" t="n">
        <v>800</v>
      </c>
      <c r="AI28" s="24" t="n">
        <v>29.017</v>
      </c>
      <c r="AJ28" s="24" t="s">
        <v>2333</v>
      </c>
      <c r="AK28" s="24"/>
      <c r="AL28" s="24"/>
      <c r="AM28" s="24" t="n">
        <v>8.1</v>
      </c>
      <c r="AN28" s="24"/>
      <c r="AO28" s="24"/>
      <c r="AP28" s="24" t="n">
        <v>55</v>
      </c>
      <c r="AQ28" s="24" t="n">
        <v>26</v>
      </c>
      <c r="AR28" s="24" t="s">
        <v>2334</v>
      </c>
      <c r="AS28" s="24" t="s">
        <v>1722</v>
      </c>
      <c r="AT28" s="24" t="s">
        <v>2365</v>
      </c>
      <c r="AU28" s="24" t="s">
        <v>1724</v>
      </c>
      <c r="AV28" s="24" t="s">
        <v>2336</v>
      </c>
      <c r="AW28" s="25" t="s">
        <v>2337</v>
      </c>
      <c r="AX28" s="24" t="s">
        <v>1008</v>
      </c>
      <c r="AY28" s="24" t="s">
        <v>2338</v>
      </c>
    </row>
    <row r="29" customFormat="false" ht="14.25" hidden="false" customHeight="false" outlineLevel="0" collapsed="false">
      <c r="A29" s="24" t="s">
        <v>988</v>
      </c>
      <c r="B29" s="24" t="s">
        <v>988</v>
      </c>
      <c r="C29" s="24" t="s">
        <v>989</v>
      </c>
      <c r="D29" s="24" t="n">
        <v>2011</v>
      </c>
      <c r="E29" s="24" t="s">
        <v>990</v>
      </c>
      <c r="F29" s="24" t="s">
        <v>857</v>
      </c>
      <c r="G29" s="24" t="s">
        <v>993</v>
      </c>
      <c r="H29" s="24" t="n">
        <v>29.017</v>
      </c>
      <c r="I29" s="24" t="n">
        <v>77.75</v>
      </c>
      <c r="J29" s="24" t="s">
        <v>83</v>
      </c>
      <c r="K29" s="24" t="s">
        <v>2331</v>
      </c>
      <c r="L29" s="24" t="s">
        <v>84</v>
      </c>
      <c r="M29" s="24" t="s">
        <v>85</v>
      </c>
      <c r="N29" s="24" t="s">
        <v>86</v>
      </c>
      <c r="O29" s="24" t="s">
        <v>2332</v>
      </c>
      <c r="P29" s="24"/>
      <c r="Q29" s="24" t="n">
        <v>16.43</v>
      </c>
      <c r="R29" s="24" t="n">
        <v>14.45</v>
      </c>
      <c r="S29" s="24"/>
      <c r="T29" s="24"/>
      <c r="U29" s="24" t="n">
        <v>16.82</v>
      </c>
      <c r="V29" s="24"/>
      <c r="W29" s="24"/>
      <c r="X29" s="24"/>
      <c r="Y29" s="24"/>
      <c r="Z29" s="24"/>
      <c r="AA29" s="24"/>
      <c r="AB29" s="24" t="n">
        <v>3</v>
      </c>
      <c r="AC29" s="24" t="n">
        <v>3</v>
      </c>
      <c r="AD29" s="24" t="n">
        <f aca="false">IF(AND(N(AB29)&gt;0,N(AC29)&gt;0),SQRT(2*AB29/AC29),"")</f>
        <v>1.4142135623731</v>
      </c>
      <c r="AE29" s="24" t="n">
        <v>19</v>
      </c>
      <c r="AF29" s="24" t="n">
        <v>2</v>
      </c>
      <c r="AG29" s="24" t="n">
        <v>43</v>
      </c>
      <c r="AH29" s="24" t="n">
        <v>800</v>
      </c>
      <c r="AI29" s="24" t="n">
        <v>29.017</v>
      </c>
      <c r="AJ29" s="24" t="s">
        <v>2333</v>
      </c>
      <c r="AK29" s="24"/>
      <c r="AL29" s="24"/>
      <c r="AM29" s="24" t="n">
        <v>8.1</v>
      </c>
      <c r="AN29" s="24"/>
      <c r="AO29" s="24"/>
      <c r="AP29" s="24" t="n">
        <v>55</v>
      </c>
      <c r="AQ29" s="24" t="n">
        <v>26</v>
      </c>
      <c r="AR29" s="24" t="s">
        <v>2334</v>
      </c>
      <c r="AS29" s="24" t="s">
        <v>1722</v>
      </c>
      <c r="AT29" s="24" t="s">
        <v>2366</v>
      </c>
      <c r="AU29" s="24" t="s">
        <v>1724</v>
      </c>
      <c r="AV29" s="24" t="s">
        <v>2336</v>
      </c>
      <c r="AW29" s="25" t="s">
        <v>2337</v>
      </c>
      <c r="AX29" s="24" t="s">
        <v>1008</v>
      </c>
      <c r="AY29" s="24" t="s">
        <v>2338</v>
      </c>
    </row>
    <row r="30" customFormat="false" ht="14.25" hidden="false" customHeight="false" outlineLevel="0" collapsed="false">
      <c r="A30" s="24" t="s">
        <v>988</v>
      </c>
      <c r="B30" s="24" t="s">
        <v>988</v>
      </c>
      <c r="C30" s="24" t="s">
        <v>989</v>
      </c>
      <c r="D30" s="24" t="n">
        <v>2011</v>
      </c>
      <c r="E30" s="24" t="s">
        <v>990</v>
      </c>
      <c r="F30" s="24" t="s">
        <v>857</v>
      </c>
      <c r="G30" s="24" t="s">
        <v>993</v>
      </c>
      <c r="H30" s="24" t="n">
        <v>29.017</v>
      </c>
      <c r="I30" s="24" t="n">
        <v>77.75</v>
      </c>
      <c r="J30" s="24" t="s">
        <v>83</v>
      </c>
      <c r="K30" s="24" t="s">
        <v>2331</v>
      </c>
      <c r="L30" s="24" t="s">
        <v>84</v>
      </c>
      <c r="M30" s="24" t="s">
        <v>85</v>
      </c>
      <c r="N30" s="24" t="s">
        <v>86</v>
      </c>
      <c r="O30" s="24" t="s">
        <v>2332</v>
      </c>
      <c r="P30" s="24"/>
      <c r="Q30" s="24" t="n">
        <v>17.15</v>
      </c>
      <c r="R30" s="24" t="n">
        <v>16</v>
      </c>
      <c r="S30" s="24"/>
      <c r="T30" s="24"/>
      <c r="U30" s="24" t="n">
        <v>18.27</v>
      </c>
      <c r="V30" s="24"/>
      <c r="W30" s="24"/>
      <c r="X30" s="24"/>
      <c r="Y30" s="24"/>
      <c r="Z30" s="24"/>
      <c r="AA30" s="24"/>
      <c r="AB30" s="24" t="n">
        <v>3</v>
      </c>
      <c r="AC30" s="24" t="n">
        <v>3</v>
      </c>
      <c r="AD30" s="24" t="n">
        <f aca="false">IF(AND(N(AB30)&gt;0,N(AC30)&gt;0),SQRT(2*AB30/AC30),"")</f>
        <v>1.4142135623731</v>
      </c>
      <c r="AE30" s="24" t="n">
        <v>19</v>
      </c>
      <c r="AF30" s="24" t="n">
        <v>2</v>
      </c>
      <c r="AG30" s="24" t="n">
        <v>43</v>
      </c>
      <c r="AH30" s="24" t="n">
        <v>800</v>
      </c>
      <c r="AI30" s="24" t="n">
        <v>29.017</v>
      </c>
      <c r="AJ30" s="24" t="s">
        <v>2333</v>
      </c>
      <c r="AK30" s="24"/>
      <c r="AL30" s="24"/>
      <c r="AM30" s="24" t="n">
        <v>8.1</v>
      </c>
      <c r="AN30" s="24"/>
      <c r="AO30" s="24"/>
      <c r="AP30" s="24" t="n">
        <v>55</v>
      </c>
      <c r="AQ30" s="24" t="n">
        <v>26</v>
      </c>
      <c r="AR30" s="24" t="s">
        <v>2334</v>
      </c>
      <c r="AS30" s="24" t="s">
        <v>1722</v>
      </c>
      <c r="AT30" s="24" t="s">
        <v>2367</v>
      </c>
      <c r="AU30" s="24" t="s">
        <v>1724</v>
      </c>
      <c r="AV30" s="24" t="s">
        <v>2336</v>
      </c>
      <c r="AW30" s="25" t="s">
        <v>2337</v>
      </c>
      <c r="AX30" s="24" t="s">
        <v>1008</v>
      </c>
      <c r="AY30" s="24" t="s">
        <v>2338</v>
      </c>
    </row>
    <row r="31" customFormat="false" ht="14.25" hidden="false" customHeight="false" outlineLevel="0" collapsed="false">
      <c r="A31" s="24" t="s">
        <v>988</v>
      </c>
      <c r="B31" s="24" t="s">
        <v>988</v>
      </c>
      <c r="C31" s="24" t="s">
        <v>989</v>
      </c>
      <c r="D31" s="24" t="n">
        <v>2011</v>
      </c>
      <c r="E31" s="24" t="s">
        <v>990</v>
      </c>
      <c r="F31" s="24" t="s">
        <v>857</v>
      </c>
      <c r="G31" s="24" t="s">
        <v>993</v>
      </c>
      <c r="H31" s="24" t="n">
        <v>29.017</v>
      </c>
      <c r="I31" s="24" t="n">
        <v>77.75</v>
      </c>
      <c r="J31" s="24" t="s">
        <v>83</v>
      </c>
      <c r="K31" s="24" t="s">
        <v>2331</v>
      </c>
      <c r="L31" s="24" t="s">
        <v>84</v>
      </c>
      <c r="M31" s="24" t="s">
        <v>85</v>
      </c>
      <c r="N31" s="24" t="s">
        <v>86</v>
      </c>
      <c r="O31" s="24" t="s">
        <v>2332</v>
      </c>
      <c r="P31" s="24"/>
      <c r="Q31" s="24" t="n">
        <v>16.85</v>
      </c>
      <c r="R31" s="24" t="n">
        <v>15.8</v>
      </c>
      <c r="S31" s="24"/>
      <c r="T31" s="24"/>
      <c r="U31" s="24" t="n">
        <v>18.19</v>
      </c>
      <c r="V31" s="24"/>
      <c r="W31" s="24"/>
      <c r="X31" s="24"/>
      <c r="Y31" s="24"/>
      <c r="Z31" s="24"/>
      <c r="AA31" s="24"/>
      <c r="AB31" s="24" t="n">
        <v>3</v>
      </c>
      <c r="AC31" s="24" t="n">
        <v>3</v>
      </c>
      <c r="AD31" s="24" t="n">
        <f aca="false">IF(AND(N(AB31)&gt;0,N(AC31)&gt;0),SQRT(2*AB31/AC31),"")</f>
        <v>1.4142135623731</v>
      </c>
      <c r="AE31" s="24" t="n">
        <v>19</v>
      </c>
      <c r="AF31" s="24" t="n">
        <v>2</v>
      </c>
      <c r="AG31" s="24" t="n">
        <v>43</v>
      </c>
      <c r="AH31" s="24" t="n">
        <v>800</v>
      </c>
      <c r="AI31" s="24" t="n">
        <v>29.017</v>
      </c>
      <c r="AJ31" s="24" t="s">
        <v>2333</v>
      </c>
      <c r="AK31" s="24"/>
      <c r="AL31" s="24"/>
      <c r="AM31" s="24" t="n">
        <v>8.1</v>
      </c>
      <c r="AN31" s="24"/>
      <c r="AO31" s="24"/>
      <c r="AP31" s="24" t="n">
        <v>55</v>
      </c>
      <c r="AQ31" s="24" t="n">
        <v>26</v>
      </c>
      <c r="AR31" s="24" t="s">
        <v>2334</v>
      </c>
      <c r="AS31" s="24" t="s">
        <v>1722</v>
      </c>
      <c r="AT31" s="24" t="s">
        <v>2368</v>
      </c>
      <c r="AU31" s="24" t="s">
        <v>1724</v>
      </c>
      <c r="AV31" s="24" t="s">
        <v>2336</v>
      </c>
      <c r="AW31" s="25" t="s">
        <v>2337</v>
      </c>
      <c r="AX31" s="24" t="s">
        <v>1008</v>
      </c>
      <c r="AY31" s="24" t="s">
        <v>2338</v>
      </c>
    </row>
    <row r="32" customFormat="false" ht="14.25" hidden="false" customHeight="false" outlineLevel="0" collapsed="false">
      <c r="A32" s="24" t="s">
        <v>988</v>
      </c>
      <c r="B32" s="24" t="s">
        <v>988</v>
      </c>
      <c r="C32" s="24" t="s">
        <v>989</v>
      </c>
      <c r="D32" s="24" t="n">
        <v>2011</v>
      </c>
      <c r="E32" s="24" t="s">
        <v>990</v>
      </c>
      <c r="F32" s="24" t="s">
        <v>857</v>
      </c>
      <c r="G32" s="24" t="s">
        <v>993</v>
      </c>
      <c r="H32" s="24" t="n">
        <v>29.017</v>
      </c>
      <c r="I32" s="24" t="n">
        <v>77.75</v>
      </c>
      <c r="J32" s="24" t="s">
        <v>83</v>
      </c>
      <c r="K32" s="24" t="s">
        <v>2331</v>
      </c>
      <c r="L32" s="24" t="s">
        <v>84</v>
      </c>
      <c r="M32" s="24" t="s">
        <v>85</v>
      </c>
      <c r="N32" s="24" t="s">
        <v>86</v>
      </c>
      <c r="O32" s="24" t="s">
        <v>2332</v>
      </c>
      <c r="P32" s="24"/>
      <c r="Q32" s="24" t="n">
        <v>16.58</v>
      </c>
      <c r="R32" s="24" t="n">
        <v>14.87</v>
      </c>
      <c r="S32" s="24"/>
      <c r="T32" s="24"/>
      <c r="U32" s="24" t="n">
        <v>17.18</v>
      </c>
      <c r="V32" s="24"/>
      <c r="W32" s="24"/>
      <c r="X32" s="24"/>
      <c r="Y32" s="24"/>
      <c r="Z32" s="24"/>
      <c r="AA32" s="24"/>
      <c r="AB32" s="24" t="n">
        <v>3</v>
      </c>
      <c r="AC32" s="24" t="n">
        <v>3</v>
      </c>
      <c r="AD32" s="24" t="n">
        <f aca="false">IF(AND(N(AB32)&gt;0,N(AC32)&gt;0),SQRT(2*AB32/AC32),"")</f>
        <v>1.4142135623731</v>
      </c>
      <c r="AE32" s="24" t="n">
        <v>19</v>
      </c>
      <c r="AF32" s="24" t="n">
        <v>2</v>
      </c>
      <c r="AG32" s="24" t="n">
        <v>43</v>
      </c>
      <c r="AH32" s="24" t="n">
        <v>800</v>
      </c>
      <c r="AI32" s="24" t="n">
        <v>29.017</v>
      </c>
      <c r="AJ32" s="24" t="s">
        <v>2333</v>
      </c>
      <c r="AK32" s="24"/>
      <c r="AL32" s="24"/>
      <c r="AM32" s="24" t="n">
        <v>8.1</v>
      </c>
      <c r="AN32" s="24"/>
      <c r="AO32" s="24"/>
      <c r="AP32" s="24" t="n">
        <v>55</v>
      </c>
      <c r="AQ32" s="24" t="n">
        <v>26</v>
      </c>
      <c r="AR32" s="24" t="s">
        <v>2334</v>
      </c>
      <c r="AS32" s="24" t="s">
        <v>1722</v>
      </c>
      <c r="AT32" s="24" t="s">
        <v>2369</v>
      </c>
      <c r="AU32" s="24" t="s">
        <v>1724</v>
      </c>
      <c r="AV32" s="24" t="s">
        <v>2336</v>
      </c>
      <c r="AW32" s="25" t="s">
        <v>2337</v>
      </c>
      <c r="AX32" s="24" t="s">
        <v>1008</v>
      </c>
      <c r="AY32" s="24" t="s">
        <v>2338</v>
      </c>
    </row>
    <row r="33" customFormat="false" ht="14.25" hidden="false" customHeight="false" outlineLevel="0" collapsed="false">
      <c r="A33" s="24" t="s">
        <v>988</v>
      </c>
      <c r="B33" s="24" t="s">
        <v>988</v>
      </c>
      <c r="C33" s="24" t="s">
        <v>989</v>
      </c>
      <c r="D33" s="24" t="n">
        <v>2011</v>
      </c>
      <c r="E33" s="24" t="s">
        <v>990</v>
      </c>
      <c r="F33" s="24" t="s">
        <v>857</v>
      </c>
      <c r="G33" s="24" t="s">
        <v>993</v>
      </c>
      <c r="H33" s="24" t="n">
        <v>29.017</v>
      </c>
      <c r="I33" s="24" t="n">
        <v>77.75</v>
      </c>
      <c r="J33" s="24" t="s">
        <v>83</v>
      </c>
      <c r="K33" s="24" t="s">
        <v>2331</v>
      </c>
      <c r="L33" s="24" t="s">
        <v>84</v>
      </c>
      <c r="M33" s="24" t="s">
        <v>85</v>
      </c>
      <c r="N33" s="24" t="s">
        <v>86</v>
      </c>
      <c r="O33" s="24" t="s">
        <v>2332</v>
      </c>
      <c r="P33" s="24"/>
      <c r="Q33" s="24" t="n">
        <v>15.4</v>
      </c>
      <c r="R33" s="24" t="n">
        <v>14.08</v>
      </c>
      <c r="S33" s="24"/>
      <c r="T33" s="24"/>
      <c r="U33" s="24" t="n">
        <v>16.17</v>
      </c>
      <c r="V33" s="24"/>
      <c r="W33" s="24"/>
      <c r="X33" s="24"/>
      <c r="Y33" s="24"/>
      <c r="Z33" s="24"/>
      <c r="AA33" s="24"/>
      <c r="AB33" s="24" t="n">
        <v>3</v>
      </c>
      <c r="AC33" s="24" t="n">
        <v>3</v>
      </c>
      <c r="AD33" s="24" t="n">
        <f aca="false">IF(AND(N(AB33)&gt;0,N(AC33)&gt;0),SQRT(2*AB33/AC33),"")</f>
        <v>1.4142135623731</v>
      </c>
      <c r="AE33" s="24" t="n">
        <v>19</v>
      </c>
      <c r="AF33" s="24" t="n">
        <v>2</v>
      </c>
      <c r="AG33" s="24" t="n">
        <v>43</v>
      </c>
      <c r="AH33" s="24" t="n">
        <v>800</v>
      </c>
      <c r="AI33" s="24" t="n">
        <v>29.017</v>
      </c>
      <c r="AJ33" s="24" t="s">
        <v>2333</v>
      </c>
      <c r="AK33" s="24"/>
      <c r="AL33" s="24"/>
      <c r="AM33" s="24" t="n">
        <v>8.1</v>
      </c>
      <c r="AN33" s="24"/>
      <c r="AO33" s="24"/>
      <c r="AP33" s="24" t="n">
        <v>55</v>
      </c>
      <c r="AQ33" s="24" t="n">
        <v>26</v>
      </c>
      <c r="AR33" s="24" t="s">
        <v>2334</v>
      </c>
      <c r="AS33" s="24" t="s">
        <v>1722</v>
      </c>
      <c r="AT33" s="24" t="s">
        <v>2370</v>
      </c>
      <c r="AU33" s="24" t="s">
        <v>1724</v>
      </c>
      <c r="AV33" s="24" t="s">
        <v>2336</v>
      </c>
      <c r="AW33" s="25" t="s">
        <v>2337</v>
      </c>
      <c r="AX33" s="24" t="s">
        <v>1008</v>
      </c>
      <c r="AY33" s="24" t="s">
        <v>2338</v>
      </c>
    </row>
    <row r="34" customFormat="false" ht="14.25" hidden="false" customHeight="false" outlineLevel="0" collapsed="false">
      <c r="A34" s="24" t="s">
        <v>988</v>
      </c>
      <c r="B34" s="24" t="s">
        <v>988</v>
      </c>
      <c r="C34" s="24" t="s">
        <v>989</v>
      </c>
      <c r="D34" s="24" t="n">
        <v>2011</v>
      </c>
      <c r="E34" s="24" t="s">
        <v>990</v>
      </c>
      <c r="F34" s="24" t="s">
        <v>857</v>
      </c>
      <c r="G34" s="24" t="s">
        <v>993</v>
      </c>
      <c r="H34" s="24" t="n">
        <v>29.017</v>
      </c>
      <c r="I34" s="24" t="n">
        <v>77.75</v>
      </c>
      <c r="J34" s="24" t="s">
        <v>83</v>
      </c>
      <c r="K34" s="24" t="s">
        <v>2331</v>
      </c>
      <c r="L34" s="24" t="s">
        <v>84</v>
      </c>
      <c r="M34" s="24" t="s">
        <v>85</v>
      </c>
      <c r="N34" s="24" t="s">
        <v>86</v>
      </c>
      <c r="O34" s="24" t="s">
        <v>2332</v>
      </c>
      <c r="P34" s="24"/>
      <c r="Q34" s="24" t="n">
        <v>16.7</v>
      </c>
      <c r="R34" s="24" t="n">
        <v>15.5</v>
      </c>
      <c r="S34" s="24"/>
      <c r="T34" s="24"/>
      <c r="U34" s="24" t="n">
        <v>17.7</v>
      </c>
      <c r="V34" s="24"/>
      <c r="W34" s="24"/>
      <c r="X34" s="24"/>
      <c r="Y34" s="24"/>
      <c r="Z34" s="24"/>
      <c r="AA34" s="24"/>
      <c r="AB34" s="24" t="n">
        <v>3</v>
      </c>
      <c r="AC34" s="24" t="n">
        <v>3</v>
      </c>
      <c r="AD34" s="24" t="n">
        <f aca="false">IF(AND(N(AB34)&gt;0,N(AC34)&gt;0),SQRT(2*AB34/AC34),"")</f>
        <v>1.4142135623731</v>
      </c>
      <c r="AE34" s="24" t="n">
        <v>19</v>
      </c>
      <c r="AF34" s="24" t="n">
        <v>2</v>
      </c>
      <c r="AG34" s="24" t="n">
        <v>43</v>
      </c>
      <c r="AH34" s="24" t="n">
        <v>800</v>
      </c>
      <c r="AI34" s="24" t="n">
        <v>29.017</v>
      </c>
      <c r="AJ34" s="24" t="s">
        <v>2333</v>
      </c>
      <c r="AK34" s="24"/>
      <c r="AL34" s="24"/>
      <c r="AM34" s="24" t="n">
        <v>8.1</v>
      </c>
      <c r="AN34" s="24"/>
      <c r="AO34" s="24"/>
      <c r="AP34" s="24" t="n">
        <v>55</v>
      </c>
      <c r="AQ34" s="24" t="n">
        <v>26</v>
      </c>
      <c r="AR34" s="24" t="s">
        <v>2334</v>
      </c>
      <c r="AS34" s="24" t="s">
        <v>1722</v>
      </c>
      <c r="AT34" s="24" t="s">
        <v>2371</v>
      </c>
      <c r="AU34" s="24" t="s">
        <v>1724</v>
      </c>
      <c r="AV34" s="24" t="s">
        <v>2336</v>
      </c>
      <c r="AW34" s="25" t="s">
        <v>2337</v>
      </c>
      <c r="AX34" s="24" t="s">
        <v>1008</v>
      </c>
      <c r="AY34" s="24" t="s">
        <v>2338</v>
      </c>
    </row>
    <row r="35" customFormat="false" ht="14.25" hidden="false" customHeight="false" outlineLevel="0" collapsed="false">
      <c r="A35" s="24" t="s">
        <v>988</v>
      </c>
      <c r="B35" s="24" t="s">
        <v>988</v>
      </c>
      <c r="C35" s="24" t="s">
        <v>989</v>
      </c>
      <c r="D35" s="24" t="n">
        <v>2011</v>
      </c>
      <c r="E35" s="24" t="s">
        <v>990</v>
      </c>
      <c r="F35" s="24" t="s">
        <v>857</v>
      </c>
      <c r="G35" s="24" t="s">
        <v>993</v>
      </c>
      <c r="H35" s="24" t="n">
        <v>29.017</v>
      </c>
      <c r="I35" s="24" t="n">
        <v>77.75</v>
      </c>
      <c r="J35" s="24" t="s">
        <v>83</v>
      </c>
      <c r="K35" s="24" t="s">
        <v>2331</v>
      </c>
      <c r="L35" s="24" t="s">
        <v>84</v>
      </c>
      <c r="M35" s="24" t="s">
        <v>85</v>
      </c>
      <c r="N35" s="24" t="s">
        <v>86</v>
      </c>
      <c r="O35" s="24" t="s">
        <v>2332</v>
      </c>
      <c r="P35" s="24"/>
      <c r="Q35" s="24" t="n">
        <v>17</v>
      </c>
      <c r="R35" s="24" t="n">
        <v>15.6</v>
      </c>
      <c r="S35" s="24"/>
      <c r="T35" s="24"/>
      <c r="U35" s="24" t="n">
        <v>17.85</v>
      </c>
      <c r="V35" s="24"/>
      <c r="W35" s="24"/>
      <c r="X35" s="24"/>
      <c r="Y35" s="24"/>
      <c r="Z35" s="24"/>
      <c r="AA35" s="24"/>
      <c r="AB35" s="24" t="n">
        <v>3</v>
      </c>
      <c r="AC35" s="24" t="n">
        <v>3</v>
      </c>
      <c r="AD35" s="24" t="n">
        <f aca="false">IF(AND(N(AB35)&gt;0,N(AC35)&gt;0),SQRT(2*AB35/AC35),"")</f>
        <v>1.4142135623731</v>
      </c>
      <c r="AE35" s="24" t="n">
        <v>19</v>
      </c>
      <c r="AF35" s="24" t="n">
        <v>2</v>
      </c>
      <c r="AG35" s="24" t="n">
        <v>43</v>
      </c>
      <c r="AH35" s="24" t="n">
        <v>800</v>
      </c>
      <c r="AI35" s="24" t="n">
        <v>29.017</v>
      </c>
      <c r="AJ35" s="24" t="s">
        <v>2333</v>
      </c>
      <c r="AK35" s="24"/>
      <c r="AL35" s="24"/>
      <c r="AM35" s="24" t="n">
        <v>8.1</v>
      </c>
      <c r="AN35" s="24"/>
      <c r="AO35" s="24"/>
      <c r="AP35" s="24" t="n">
        <v>55</v>
      </c>
      <c r="AQ35" s="24" t="n">
        <v>26</v>
      </c>
      <c r="AR35" s="24" t="s">
        <v>2334</v>
      </c>
      <c r="AS35" s="24" t="s">
        <v>1722</v>
      </c>
      <c r="AT35" s="24" t="s">
        <v>2372</v>
      </c>
      <c r="AU35" s="24" t="s">
        <v>1724</v>
      </c>
      <c r="AV35" s="24" t="s">
        <v>2336</v>
      </c>
      <c r="AW35" s="25" t="s">
        <v>2337</v>
      </c>
      <c r="AX35" s="24" t="s">
        <v>1008</v>
      </c>
      <c r="AY35" s="24" t="s">
        <v>2338</v>
      </c>
    </row>
    <row r="36" customFormat="false" ht="14.25" hidden="false" customHeight="false" outlineLevel="0" collapsed="false">
      <c r="A36" s="24" t="s">
        <v>988</v>
      </c>
      <c r="B36" s="24" t="s">
        <v>988</v>
      </c>
      <c r="C36" s="24" t="s">
        <v>989</v>
      </c>
      <c r="D36" s="24" t="n">
        <v>2011</v>
      </c>
      <c r="E36" s="24" t="s">
        <v>990</v>
      </c>
      <c r="F36" s="24" t="s">
        <v>857</v>
      </c>
      <c r="G36" s="24" t="s">
        <v>993</v>
      </c>
      <c r="H36" s="24" t="n">
        <v>29.017</v>
      </c>
      <c r="I36" s="24" t="n">
        <v>77.75</v>
      </c>
      <c r="J36" s="24" t="s">
        <v>83</v>
      </c>
      <c r="K36" s="24" t="s">
        <v>2331</v>
      </c>
      <c r="L36" s="24" t="s">
        <v>84</v>
      </c>
      <c r="M36" s="24" t="s">
        <v>85</v>
      </c>
      <c r="N36" s="24" t="s">
        <v>86</v>
      </c>
      <c r="O36" s="24" t="s">
        <v>2332</v>
      </c>
      <c r="P36" s="24"/>
      <c r="Q36" s="24" t="n">
        <v>18.72</v>
      </c>
      <c r="R36" s="24" t="n">
        <v>17.1</v>
      </c>
      <c r="S36" s="24"/>
      <c r="T36" s="24"/>
      <c r="U36" s="24" t="n">
        <v>19.65</v>
      </c>
      <c r="V36" s="24"/>
      <c r="W36" s="24"/>
      <c r="X36" s="24"/>
      <c r="Y36" s="24"/>
      <c r="Z36" s="24"/>
      <c r="AA36" s="24"/>
      <c r="AB36" s="24" t="n">
        <v>3</v>
      </c>
      <c r="AC36" s="24" t="n">
        <v>3</v>
      </c>
      <c r="AD36" s="24" t="n">
        <f aca="false">IF(AND(N(AB36)&gt;0,N(AC36)&gt;0),SQRT(2*AB36/AC36),"")</f>
        <v>1.4142135623731</v>
      </c>
      <c r="AE36" s="24" t="n">
        <v>19</v>
      </c>
      <c r="AF36" s="24" t="n">
        <v>2</v>
      </c>
      <c r="AG36" s="24" t="n">
        <v>43</v>
      </c>
      <c r="AH36" s="24" t="n">
        <v>800</v>
      </c>
      <c r="AI36" s="24" t="n">
        <v>29.017</v>
      </c>
      <c r="AJ36" s="24" t="s">
        <v>2333</v>
      </c>
      <c r="AK36" s="24"/>
      <c r="AL36" s="24"/>
      <c r="AM36" s="24" t="n">
        <v>8.1</v>
      </c>
      <c r="AN36" s="24"/>
      <c r="AO36" s="24"/>
      <c r="AP36" s="24" t="n">
        <v>55</v>
      </c>
      <c r="AQ36" s="24" t="n">
        <v>26</v>
      </c>
      <c r="AR36" s="24" t="s">
        <v>2334</v>
      </c>
      <c r="AS36" s="24" t="s">
        <v>1722</v>
      </c>
      <c r="AT36" s="24" t="s">
        <v>2373</v>
      </c>
      <c r="AU36" s="24" t="s">
        <v>1724</v>
      </c>
      <c r="AV36" s="24" t="s">
        <v>2336</v>
      </c>
      <c r="AW36" s="25" t="s">
        <v>2337</v>
      </c>
      <c r="AX36" s="24" t="s">
        <v>1008</v>
      </c>
      <c r="AY36" s="24" t="s">
        <v>2338</v>
      </c>
    </row>
    <row r="37" customFormat="false" ht="14.25" hidden="false" customHeight="false" outlineLevel="0" collapsed="false">
      <c r="A37" s="24" t="s">
        <v>988</v>
      </c>
      <c r="B37" s="24" t="s">
        <v>988</v>
      </c>
      <c r="C37" s="24" t="s">
        <v>989</v>
      </c>
      <c r="D37" s="24" t="n">
        <v>2011</v>
      </c>
      <c r="E37" s="24" t="s">
        <v>990</v>
      </c>
      <c r="F37" s="24" t="s">
        <v>857</v>
      </c>
      <c r="G37" s="24" t="s">
        <v>993</v>
      </c>
      <c r="H37" s="24" t="n">
        <v>29.017</v>
      </c>
      <c r="I37" s="24" t="n">
        <v>77.75</v>
      </c>
      <c r="J37" s="24" t="s">
        <v>83</v>
      </c>
      <c r="K37" s="24" t="s">
        <v>2331</v>
      </c>
      <c r="L37" s="24" t="s">
        <v>84</v>
      </c>
      <c r="M37" s="24" t="s">
        <v>85</v>
      </c>
      <c r="N37" s="24" t="s">
        <v>86</v>
      </c>
      <c r="O37" s="24" t="s">
        <v>2332</v>
      </c>
      <c r="P37" s="24"/>
      <c r="Q37" s="24" t="n">
        <v>19.99</v>
      </c>
      <c r="R37" s="24" t="n">
        <v>17.9</v>
      </c>
      <c r="S37" s="24"/>
      <c r="T37" s="24"/>
      <c r="U37" s="24" t="n">
        <v>20.26</v>
      </c>
      <c r="V37" s="24"/>
      <c r="W37" s="24"/>
      <c r="X37" s="24"/>
      <c r="Y37" s="24"/>
      <c r="Z37" s="24"/>
      <c r="AA37" s="24"/>
      <c r="AB37" s="24" t="n">
        <v>3</v>
      </c>
      <c r="AC37" s="24" t="n">
        <v>3</v>
      </c>
      <c r="AD37" s="24" t="n">
        <f aca="false">IF(AND(N(AB37)&gt;0,N(AC37)&gt;0),SQRT(2*AB37/AC37),"")</f>
        <v>1.4142135623731</v>
      </c>
      <c r="AE37" s="24" t="n">
        <v>19</v>
      </c>
      <c r="AF37" s="24" t="n">
        <v>2</v>
      </c>
      <c r="AG37" s="24" t="n">
        <v>43</v>
      </c>
      <c r="AH37" s="24" t="n">
        <v>800</v>
      </c>
      <c r="AI37" s="24" t="n">
        <v>29.017</v>
      </c>
      <c r="AJ37" s="24" t="s">
        <v>2333</v>
      </c>
      <c r="AK37" s="24"/>
      <c r="AL37" s="24"/>
      <c r="AM37" s="24" t="n">
        <v>8.1</v>
      </c>
      <c r="AN37" s="24"/>
      <c r="AO37" s="24"/>
      <c r="AP37" s="24" t="n">
        <v>55</v>
      </c>
      <c r="AQ37" s="24" t="n">
        <v>26</v>
      </c>
      <c r="AR37" s="24" t="s">
        <v>2334</v>
      </c>
      <c r="AS37" s="24" t="s">
        <v>1722</v>
      </c>
      <c r="AT37" s="24" t="s">
        <v>2374</v>
      </c>
      <c r="AU37" s="24" t="s">
        <v>1724</v>
      </c>
      <c r="AV37" s="24" t="s">
        <v>2336</v>
      </c>
      <c r="AW37" s="25" t="s">
        <v>2337</v>
      </c>
      <c r="AX37" s="24" t="s">
        <v>1008</v>
      </c>
      <c r="AY37" s="24" t="s">
        <v>2338</v>
      </c>
    </row>
    <row r="38" customFormat="false" ht="14.25" hidden="false" customHeight="false" outlineLevel="0" collapsed="false">
      <c r="A38" s="24" t="s">
        <v>988</v>
      </c>
      <c r="B38" s="24" t="s">
        <v>988</v>
      </c>
      <c r="C38" s="24" t="s">
        <v>989</v>
      </c>
      <c r="D38" s="24" t="n">
        <v>2011</v>
      </c>
      <c r="E38" s="24" t="s">
        <v>990</v>
      </c>
      <c r="F38" s="24" t="s">
        <v>857</v>
      </c>
      <c r="G38" s="24" t="s">
        <v>993</v>
      </c>
      <c r="H38" s="24" t="n">
        <v>29.017</v>
      </c>
      <c r="I38" s="24" t="n">
        <v>77.75</v>
      </c>
      <c r="J38" s="24" t="s">
        <v>83</v>
      </c>
      <c r="K38" s="24" t="s">
        <v>2331</v>
      </c>
      <c r="L38" s="24" t="s">
        <v>84</v>
      </c>
      <c r="M38" s="24" t="s">
        <v>85</v>
      </c>
      <c r="N38" s="24" t="s">
        <v>86</v>
      </c>
      <c r="O38" s="24" t="s">
        <v>2332</v>
      </c>
      <c r="P38" s="24"/>
      <c r="Q38" s="24" t="n">
        <v>22.88</v>
      </c>
      <c r="R38" s="24" t="n">
        <v>21.53</v>
      </c>
      <c r="S38" s="24"/>
      <c r="T38" s="24"/>
      <c r="U38" s="24" t="n">
        <v>22.88</v>
      </c>
      <c r="V38" s="24"/>
      <c r="W38" s="24"/>
      <c r="X38" s="24"/>
      <c r="Y38" s="24"/>
      <c r="Z38" s="24"/>
      <c r="AA38" s="24"/>
      <c r="AB38" s="24" t="n">
        <v>3</v>
      </c>
      <c r="AC38" s="24" t="n">
        <v>3</v>
      </c>
      <c r="AD38" s="24" t="n">
        <f aca="false">IF(AND(N(AB38)&gt;0,N(AC38)&gt;0),SQRT(2*AB38/AC38),"")</f>
        <v>1.4142135623731</v>
      </c>
      <c r="AE38" s="24" t="n">
        <v>19</v>
      </c>
      <c r="AF38" s="24" t="n">
        <v>2</v>
      </c>
      <c r="AG38" s="24" t="n">
        <v>43</v>
      </c>
      <c r="AH38" s="24" t="n">
        <v>800</v>
      </c>
      <c r="AI38" s="24" t="n">
        <v>29.017</v>
      </c>
      <c r="AJ38" s="24" t="s">
        <v>2333</v>
      </c>
      <c r="AK38" s="24"/>
      <c r="AL38" s="24"/>
      <c r="AM38" s="24" t="n">
        <v>8.1</v>
      </c>
      <c r="AN38" s="24"/>
      <c r="AO38" s="24"/>
      <c r="AP38" s="24" t="n">
        <v>55</v>
      </c>
      <c r="AQ38" s="24" t="n">
        <v>26</v>
      </c>
      <c r="AR38" s="24" t="s">
        <v>2334</v>
      </c>
      <c r="AS38" s="24" t="s">
        <v>1722</v>
      </c>
      <c r="AT38" s="24" t="s">
        <v>2375</v>
      </c>
      <c r="AU38" s="24" t="s">
        <v>1724</v>
      </c>
      <c r="AV38" s="24" t="s">
        <v>2336</v>
      </c>
      <c r="AW38" s="25" t="s">
        <v>2337</v>
      </c>
      <c r="AX38" s="24" t="s">
        <v>1008</v>
      </c>
      <c r="AY38" s="24" t="s">
        <v>2338</v>
      </c>
    </row>
    <row r="39" customFormat="false" ht="14.25" hidden="false" customHeight="false" outlineLevel="0" collapsed="false">
      <c r="A39" s="24" t="s">
        <v>988</v>
      </c>
      <c r="B39" s="24" t="s">
        <v>988</v>
      </c>
      <c r="C39" s="24" t="s">
        <v>989</v>
      </c>
      <c r="D39" s="24" t="n">
        <v>2011</v>
      </c>
      <c r="E39" s="24" t="s">
        <v>990</v>
      </c>
      <c r="F39" s="24" t="s">
        <v>857</v>
      </c>
      <c r="G39" s="24" t="s">
        <v>993</v>
      </c>
      <c r="H39" s="24" t="n">
        <v>29.017</v>
      </c>
      <c r="I39" s="24" t="n">
        <v>77.75</v>
      </c>
      <c r="J39" s="24" t="s">
        <v>83</v>
      </c>
      <c r="K39" s="24" t="s">
        <v>2331</v>
      </c>
      <c r="L39" s="24" t="s">
        <v>84</v>
      </c>
      <c r="M39" s="24" t="s">
        <v>85</v>
      </c>
      <c r="N39" s="24" t="s">
        <v>86</v>
      </c>
      <c r="O39" s="24" t="s">
        <v>2332</v>
      </c>
      <c r="P39" s="24"/>
      <c r="Q39" s="24" t="n">
        <v>22.54</v>
      </c>
      <c r="R39" s="24" t="n">
        <v>20.51</v>
      </c>
      <c r="S39" s="24"/>
      <c r="T39" s="24"/>
      <c r="U39" s="24" t="n">
        <v>22.54</v>
      </c>
      <c r="V39" s="24"/>
      <c r="W39" s="24"/>
      <c r="X39" s="24"/>
      <c r="Y39" s="24"/>
      <c r="Z39" s="24"/>
      <c r="AA39" s="24"/>
      <c r="AB39" s="24" t="n">
        <v>3</v>
      </c>
      <c r="AC39" s="24" t="n">
        <v>3</v>
      </c>
      <c r="AD39" s="24" t="n">
        <f aca="false">IF(AND(N(AB39)&gt;0,N(AC39)&gt;0),SQRT(2*AB39/AC39),"")</f>
        <v>1.4142135623731</v>
      </c>
      <c r="AE39" s="24" t="n">
        <v>19</v>
      </c>
      <c r="AF39" s="24" t="n">
        <v>2</v>
      </c>
      <c r="AG39" s="24" t="n">
        <v>43</v>
      </c>
      <c r="AH39" s="24" t="n">
        <v>800</v>
      </c>
      <c r="AI39" s="24" t="n">
        <v>29.017</v>
      </c>
      <c r="AJ39" s="24" t="s">
        <v>2333</v>
      </c>
      <c r="AK39" s="24"/>
      <c r="AL39" s="24"/>
      <c r="AM39" s="24" t="n">
        <v>8.1</v>
      </c>
      <c r="AN39" s="24"/>
      <c r="AO39" s="24"/>
      <c r="AP39" s="24" t="n">
        <v>55</v>
      </c>
      <c r="AQ39" s="24" t="n">
        <v>26</v>
      </c>
      <c r="AR39" s="24" t="s">
        <v>2334</v>
      </c>
      <c r="AS39" s="24" t="s">
        <v>1722</v>
      </c>
      <c r="AT39" s="24" t="s">
        <v>2376</v>
      </c>
      <c r="AU39" s="24" t="s">
        <v>1724</v>
      </c>
      <c r="AV39" s="24" t="s">
        <v>2336</v>
      </c>
      <c r="AW39" s="25" t="s">
        <v>2337</v>
      </c>
      <c r="AX39" s="24" t="s">
        <v>1008</v>
      </c>
      <c r="AY39" s="24" t="s">
        <v>2338</v>
      </c>
    </row>
    <row r="40" customFormat="false" ht="14.25" hidden="false" customHeight="false" outlineLevel="0" collapsed="false">
      <c r="A40" s="24" t="s">
        <v>988</v>
      </c>
      <c r="B40" s="24" t="s">
        <v>988</v>
      </c>
      <c r="C40" s="24" t="s">
        <v>989</v>
      </c>
      <c r="D40" s="24" t="n">
        <v>2011</v>
      </c>
      <c r="E40" s="24" t="s">
        <v>990</v>
      </c>
      <c r="F40" s="24" t="s">
        <v>857</v>
      </c>
      <c r="G40" s="24" t="s">
        <v>993</v>
      </c>
      <c r="H40" s="24" t="n">
        <v>29.017</v>
      </c>
      <c r="I40" s="24" t="n">
        <v>77.75</v>
      </c>
      <c r="J40" s="24" t="s">
        <v>83</v>
      </c>
      <c r="K40" s="24" t="s">
        <v>2331</v>
      </c>
      <c r="L40" s="24" t="s">
        <v>84</v>
      </c>
      <c r="M40" s="24" t="s">
        <v>85</v>
      </c>
      <c r="N40" s="24" t="s">
        <v>86</v>
      </c>
      <c r="O40" s="24" t="s">
        <v>2332</v>
      </c>
      <c r="P40" s="24"/>
      <c r="Q40" s="24" t="n">
        <v>24.93</v>
      </c>
      <c r="R40" s="24" t="n">
        <v>23.81</v>
      </c>
      <c r="S40" s="24"/>
      <c r="T40" s="24"/>
      <c r="U40" s="24" t="n">
        <v>25.19</v>
      </c>
      <c r="V40" s="24"/>
      <c r="W40" s="24"/>
      <c r="X40" s="24"/>
      <c r="Y40" s="24"/>
      <c r="Z40" s="24"/>
      <c r="AA40" s="24"/>
      <c r="AB40" s="24" t="n">
        <v>3</v>
      </c>
      <c r="AC40" s="24" t="n">
        <v>3</v>
      </c>
      <c r="AD40" s="24" t="n">
        <f aca="false">IF(AND(N(AB40)&gt;0,N(AC40)&gt;0),SQRT(2*AB40/AC40),"")</f>
        <v>1.4142135623731</v>
      </c>
      <c r="AE40" s="24" t="n">
        <v>19</v>
      </c>
      <c r="AF40" s="24" t="n">
        <v>2</v>
      </c>
      <c r="AG40" s="24" t="n">
        <v>43</v>
      </c>
      <c r="AH40" s="24" t="n">
        <v>800</v>
      </c>
      <c r="AI40" s="24" t="n">
        <v>29.017</v>
      </c>
      <c r="AJ40" s="24" t="s">
        <v>2333</v>
      </c>
      <c r="AK40" s="24"/>
      <c r="AL40" s="24"/>
      <c r="AM40" s="24" t="n">
        <v>8.1</v>
      </c>
      <c r="AN40" s="24"/>
      <c r="AO40" s="24"/>
      <c r="AP40" s="24" t="n">
        <v>55</v>
      </c>
      <c r="AQ40" s="24" t="n">
        <v>26</v>
      </c>
      <c r="AR40" s="24" t="s">
        <v>2334</v>
      </c>
      <c r="AS40" s="24" t="s">
        <v>1722</v>
      </c>
      <c r="AT40" s="24" t="s">
        <v>2377</v>
      </c>
      <c r="AU40" s="24" t="s">
        <v>1724</v>
      </c>
      <c r="AV40" s="24" t="s">
        <v>2336</v>
      </c>
      <c r="AW40" s="25" t="s">
        <v>2337</v>
      </c>
      <c r="AX40" s="24" t="s">
        <v>1008</v>
      </c>
      <c r="AY40" s="24" t="s">
        <v>2338</v>
      </c>
    </row>
    <row r="41" customFormat="false" ht="14.25" hidden="false" customHeight="false" outlineLevel="0" collapsed="false">
      <c r="A41" s="24" t="s">
        <v>988</v>
      </c>
      <c r="B41" s="24" t="s">
        <v>988</v>
      </c>
      <c r="C41" s="24" t="s">
        <v>989</v>
      </c>
      <c r="D41" s="24" t="n">
        <v>2011</v>
      </c>
      <c r="E41" s="24" t="s">
        <v>990</v>
      </c>
      <c r="F41" s="24" t="s">
        <v>857</v>
      </c>
      <c r="G41" s="24" t="s">
        <v>993</v>
      </c>
      <c r="H41" s="24" t="n">
        <v>29.017</v>
      </c>
      <c r="I41" s="24" t="n">
        <v>77.75</v>
      </c>
      <c r="J41" s="24" t="s">
        <v>83</v>
      </c>
      <c r="K41" s="24" t="s">
        <v>2331</v>
      </c>
      <c r="L41" s="24" t="s">
        <v>84</v>
      </c>
      <c r="M41" s="24" t="s">
        <v>85</v>
      </c>
      <c r="N41" s="24" t="s">
        <v>86</v>
      </c>
      <c r="O41" s="24" t="s">
        <v>2332</v>
      </c>
      <c r="P41" s="24"/>
      <c r="Q41" s="24" t="n">
        <v>24.48</v>
      </c>
      <c r="R41" s="24" t="n">
        <v>23.43</v>
      </c>
      <c r="S41" s="24"/>
      <c r="T41" s="24"/>
      <c r="U41" s="24" t="n">
        <v>25.01</v>
      </c>
      <c r="V41" s="24"/>
      <c r="W41" s="24"/>
      <c r="X41" s="24"/>
      <c r="Y41" s="24"/>
      <c r="Z41" s="24"/>
      <c r="AA41" s="24"/>
      <c r="AB41" s="24" t="n">
        <v>3</v>
      </c>
      <c r="AC41" s="24" t="n">
        <v>3</v>
      </c>
      <c r="AD41" s="24" t="n">
        <f aca="false">IF(AND(N(AB41)&gt;0,N(AC41)&gt;0),SQRT(2*AB41/AC41),"")</f>
        <v>1.4142135623731</v>
      </c>
      <c r="AE41" s="24" t="n">
        <v>19</v>
      </c>
      <c r="AF41" s="24" t="n">
        <v>2</v>
      </c>
      <c r="AG41" s="24" t="n">
        <v>43</v>
      </c>
      <c r="AH41" s="24" t="n">
        <v>800</v>
      </c>
      <c r="AI41" s="24" t="n">
        <v>29.017</v>
      </c>
      <c r="AJ41" s="24" t="s">
        <v>2333</v>
      </c>
      <c r="AK41" s="24"/>
      <c r="AL41" s="24"/>
      <c r="AM41" s="24" t="n">
        <v>8.1</v>
      </c>
      <c r="AN41" s="24"/>
      <c r="AO41" s="24"/>
      <c r="AP41" s="24" t="n">
        <v>55</v>
      </c>
      <c r="AQ41" s="24" t="n">
        <v>26</v>
      </c>
      <c r="AR41" s="24" t="s">
        <v>2334</v>
      </c>
      <c r="AS41" s="24" t="s">
        <v>1722</v>
      </c>
      <c r="AT41" s="24" t="s">
        <v>2378</v>
      </c>
      <c r="AU41" s="24" t="s">
        <v>1724</v>
      </c>
      <c r="AV41" s="24" t="s">
        <v>2336</v>
      </c>
      <c r="AW41" s="25" t="s">
        <v>2337</v>
      </c>
      <c r="AX41" s="24" t="s">
        <v>1008</v>
      </c>
      <c r="AY41" s="24" t="s">
        <v>2338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2379</v>
      </c>
      <c r="Q1" s="27" t="s">
        <v>2380</v>
      </c>
      <c r="R1" s="27" t="s">
        <v>2381</v>
      </c>
      <c r="S1" s="27" t="s">
        <v>2382</v>
      </c>
      <c r="T1" s="27" t="s">
        <v>2383</v>
      </c>
      <c r="U1" s="27" t="s">
        <v>2384</v>
      </c>
      <c r="V1" s="27" t="s">
        <v>2385</v>
      </c>
      <c r="W1" s="27" t="s">
        <v>2386</v>
      </c>
      <c r="X1" s="30" t="s">
        <v>2387</v>
      </c>
      <c r="Y1" s="30" t="s">
        <v>2388</v>
      </c>
      <c r="Z1" s="30" t="s">
        <v>2389</v>
      </c>
      <c r="AA1" s="30" t="s">
        <v>2390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2391</v>
      </c>
      <c r="AS2" s="18" t="s">
        <v>1699</v>
      </c>
      <c r="AT2" s="18" t="s">
        <v>1700</v>
      </c>
      <c r="AU2" s="18" t="s">
        <v>1701</v>
      </c>
      <c r="AV2" s="18" t="s">
        <v>1702</v>
      </c>
      <c r="AW2" s="32" t="s">
        <v>2392</v>
      </c>
      <c r="AX2" s="18" t="s">
        <v>949</v>
      </c>
      <c r="AY2" s="18" t="s">
        <v>2393</v>
      </c>
      <c r="BA2" s="33" t="s">
        <v>1118</v>
      </c>
    </row>
    <row r="3" customFormat="false" ht="1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2391</v>
      </c>
      <c r="AS3" s="18" t="s">
        <v>1705</v>
      </c>
      <c r="AT3" s="18" t="s">
        <v>1700</v>
      </c>
      <c r="AU3" s="18" t="s">
        <v>1701</v>
      </c>
      <c r="AV3" s="18" t="s">
        <v>1702</v>
      </c>
      <c r="AW3" s="32" t="s">
        <v>2394</v>
      </c>
      <c r="AX3" s="18" t="s">
        <v>949</v>
      </c>
      <c r="AY3" s="18" t="s">
        <v>2393</v>
      </c>
    </row>
    <row r="4" customFormat="false" ht="1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2391</v>
      </c>
      <c r="AS4" s="18" t="s">
        <v>1707</v>
      </c>
      <c r="AT4" s="18" t="s">
        <v>1700</v>
      </c>
      <c r="AU4" s="18" t="s">
        <v>1701</v>
      </c>
      <c r="AV4" s="18" t="s">
        <v>1702</v>
      </c>
      <c r="AW4" s="32" t="s">
        <v>2395</v>
      </c>
      <c r="AX4" s="18" t="s">
        <v>949</v>
      </c>
      <c r="AY4" s="18" t="s">
        <v>2393</v>
      </c>
    </row>
    <row r="5" customFormat="false" ht="14.2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2391</v>
      </c>
      <c r="AS5" s="18" t="s">
        <v>1709</v>
      </c>
      <c r="AT5" s="18" t="s">
        <v>1700</v>
      </c>
      <c r="AU5" s="18" t="s">
        <v>1701</v>
      </c>
      <c r="AV5" s="18" t="s">
        <v>1702</v>
      </c>
      <c r="AW5" s="32" t="s">
        <v>2396</v>
      </c>
      <c r="AX5" s="18" t="s">
        <v>949</v>
      </c>
      <c r="AY5" s="18" t="s">
        <v>2393</v>
      </c>
    </row>
    <row r="6" customFormat="false" ht="14.2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2391</v>
      </c>
      <c r="AS6" s="18" t="s">
        <v>1711</v>
      </c>
      <c r="AT6" s="18" t="s">
        <v>1700</v>
      </c>
      <c r="AU6" s="18" t="s">
        <v>1701</v>
      </c>
      <c r="AV6" s="18" t="s">
        <v>1702</v>
      </c>
      <c r="AW6" s="32" t="s">
        <v>2397</v>
      </c>
      <c r="AX6" s="18" t="s">
        <v>949</v>
      </c>
      <c r="AY6" s="18" t="s">
        <v>2393</v>
      </c>
    </row>
    <row r="7" customFormat="false" ht="14.2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2391</v>
      </c>
      <c r="AS7" s="18" t="s">
        <v>1713</v>
      </c>
      <c r="AT7" s="18" t="s">
        <v>1700</v>
      </c>
      <c r="AU7" s="18" t="s">
        <v>1701</v>
      </c>
      <c r="AV7" s="18" t="s">
        <v>1702</v>
      </c>
      <c r="AW7" s="32" t="s">
        <v>2398</v>
      </c>
      <c r="AX7" s="18" t="s">
        <v>949</v>
      </c>
      <c r="AY7" s="18" t="s">
        <v>2393</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2391</v>
      </c>
      <c r="AS8" s="18" t="s">
        <v>1715</v>
      </c>
      <c r="AT8" s="18" t="s">
        <v>1700</v>
      </c>
      <c r="AU8" s="18" t="s">
        <v>1701</v>
      </c>
      <c r="AV8" s="18" t="s">
        <v>1702</v>
      </c>
      <c r="AW8" s="32" t="s">
        <v>2399</v>
      </c>
      <c r="AX8" s="18" t="s">
        <v>949</v>
      </c>
      <c r="AY8" s="18" t="s">
        <v>2393</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2391</v>
      </c>
      <c r="AS9" s="18" t="s">
        <v>1717</v>
      </c>
      <c r="AT9" s="18" t="s">
        <v>1700</v>
      </c>
      <c r="AU9" s="18" t="s">
        <v>1701</v>
      </c>
      <c r="AV9" s="18" t="s">
        <v>1702</v>
      </c>
      <c r="AW9" s="32" t="s">
        <v>2400</v>
      </c>
      <c r="AX9" s="18" t="s">
        <v>949</v>
      </c>
      <c r="AY9" s="18" t="s">
        <v>2393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2401</v>
      </c>
      <c r="Q1" s="27" t="s">
        <v>2402</v>
      </c>
      <c r="R1" s="27" t="s">
        <v>2403</v>
      </c>
      <c r="S1" s="27" t="s">
        <v>2404</v>
      </c>
      <c r="T1" s="27" t="s">
        <v>2405</v>
      </c>
      <c r="U1" s="27" t="s">
        <v>2406</v>
      </c>
      <c r="V1" s="27" t="s">
        <v>2407</v>
      </c>
      <c r="W1" s="27" t="s">
        <v>2408</v>
      </c>
      <c r="X1" s="30" t="s">
        <v>2409</v>
      </c>
      <c r="Y1" s="30" t="s">
        <v>2410</v>
      </c>
      <c r="Z1" s="30" t="s">
        <v>2411</v>
      </c>
      <c r="AA1" s="30" t="s">
        <v>2412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2413</v>
      </c>
      <c r="AS2" s="18" t="s">
        <v>1667</v>
      </c>
      <c r="AT2" s="18" t="s">
        <v>1668</v>
      </c>
      <c r="AU2" s="18" t="s">
        <v>1669</v>
      </c>
      <c r="AV2" s="18" t="s">
        <v>2414</v>
      </c>
      <c r="AW2" s="32" t="s">
        <v>2415</v>
      </c>
      <c r="AX2" s="18" t="s">
        <v>898</v>
      </c>
      <c r="AY2" s="18" t="s">
        <v>2271</v>
      </c>
      <c r="BA2" s="33" t="s">
        <v>1121</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1893</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2416</v>
      </c>
      <c r="AS3" s="5" t="s">
        <v>1895</v>
      </c>
      <c r="AT3" s="5" t="s">
        <v>1896</v>
      </c>
      <c r="AU3" s="5" t="s">
        <v>1897</v>
      </c>
      <c r="AV3" s="5" t="s">
        <v>91</v>
      </c>
      <c r="AW3" s="23" t="s">
        <v>2417</v>
      </c>
      <c r="AX3" s="5" t="s">
        <v>869</v>
      </c>
      <c r="AY3" s="5" t="s">
        <v>2275</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2418</v>
      </c>
      <c r="AS4" s="5" t="s">
        <v>1895</v>
      </c>
      <c r="AT4" s="5" t="s">
        <v>1896</v>
      </c>
      <c r="AU4" s="5" t="s">
        <v>1897</v>
      </c>
      <c r="AV4" s="5" t="s">
        <v>91</v>
      </c>
      <c r="AW4" s="23" t="s">
        <v>2419</v>
      </c>
      <c r="AX4" s="5" t="s">
        <v>869</v>
      </c>
      <c r="AY4" s="5" t="s">
        <v>2278</v>
      </c>
    </row>
    <row r="5" customFormat="false" ht="14.2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2416</v>
      </c>
      <c r="AS5" s="5" t="s">
        <v>1895</v>
      </c>
      <c r="AT5" s="5" t="s">
        <v>1896</v>
      </c>
      <c r="AU5" s="5" t="s">
        <v>1897</v>
      </c>
      <c r="AV5" s="5" t="s">
        <v>91</v>
      </c>
      <c r="AW5" s="23" t="s">
        <v>2417</v>
      </c>
      <c r="AX5" s="5" t="s">
        <v>869</v>
      </c>
      <c r="AY5" s="5" t="s">
        <v>2275</v>
      </c>
    </row>
    <row r="6" customFormat="false" ht="14.2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86</v>
      </c>
      <c r="O6" s="5" t="s">
        <v>1905</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2418</v>
      </c>
      <c r="AS6" s="5" t="s">
        <v>1895</v>
      </c>
      <c r="AT6" s="5" t="s">
        <v>1896</v>
      </c>
      <c r="AU6" s="5" t="s">
        <v>1897</v>
      </c>
      <c r="AV6" s="5" t="s">
        <v>91</v>
      </c>
      <c r="AW6" s="23" t="s">
        <v>2419</v>
      </c>
      <c r="AX6" s="5" t="s">
        <v>869</v>
      </c>
      <c r="AY6" s="5" t="s">
        <v>2278</v>
      </c>
    </row>
    <row r="7" customFormat="false" ht="14.25" hidden="false" customHeight="true" outlineLevel="0" collapsed="false">
      <c r="A7" s="5" t="n">
        <v>166</v>
      </c>
      <c r="B7" s="5" t="n">
        <v>166</v>
      </c>
      <c r="C7" s="5" t="s">
        <v>853</v>
      </c>
      <c r="D7" s="5" t="n">
        <v>2014</v>
      </c>
      <c r="E7" s="5" t="s">
        <v>854</v>
      </c>
      <c r="F7" s="5" t="s">
        <v>857</v>
      </c>
      <c r="G7" s="5" t="s">
        <v>858</v>
      </c>
      <c r="H7" s="5" t="n">
        <v>29.067</v>
      </c>
      <c r="I7" s="5" t="n">
        <v>77.767</v>
      </c>
      <c r="J7" s="5" t="s">
        <v>83</v>
      </c>
      <c r="K7" s="5" t="n">
        <v>2011</v>
      </c>
      <c r="L7" s="5" t="s">
        <v>823</v>
      </c>
      <c r="M7" s="5" t="s">
        <v>85</v>
      </c>
      <c r="N7" s="5" t="s">
        <v>1673</v>
      </c>
      <c r="O7" s="5" t="s">
        <v>1674</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2416</v>
      </c>
      <c r="AS7" s="5" t="s">
        <v>1895</v>
      </c>
      <c r="AT7" s="5" t="s">
        <v>1896</v>
      </c>
      <c r="AU7" s="5" t="s">
        <v>1897</v>
      </c>
      <c r="AV7" s="5" t="s">
        <v>91</v>
      </c>
      <c r="AW7" s="23" t="s">
        <v>2420</v>
      </c>
      <c r="AX7" s="5" t="s">
        <v>869</v>
      </c>
      <c r="AY7" s="5" t="s">
        <v>2275</v>
      </c>
    </row>
    <row r="8" customFormat="false" ht="14.25" hidden="false" customHeight="true" outlineLevel="0" collapsed="false">
      <c r="A8" s="5" t="n">
        <v>166</v>
      </c>
      <c r="B8" s="5" t="n">
        <v>166</v>
      </c>
      <c r="C8" s="5" t="s">
        <v>853</v>
      </c>
      <c r="D8" s="5" t="n">
        <v>2014</v>
      </c>
      <c r="E8" s="5" t="s">
        <v>854</v>
      </c>
      <c r="F8" s="5" t="s">
        <v>857</v>
      </c>
      <c r="G8" s="5" t="s">
        <v>858</v>
      </c>
      <c r="H8" s="5" t="n">
        <v>29.067</v>
      </c>
      <c r="I8" s="5" t="n">
        <v>77.767</v>
      </c>
      <c r="J8" s="5" t="s">
        <v>83</v>
      </c>
      <c r="K8" s="5" t="n">
        <v>2011</v>
      </c>
      <c r="L8" s="5" t="s">
        <v>823</v>
      </c>
      <c r="M8" s="5" t="s">
        <v>85</v>
      </c>
      <c r="N8" s="5" t="s">
        <v>1673</v>
      </c>
      <c r="O8" s="5" t="s">
        <v>1674</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2418</v>
      </c>
      <c r="AS8" s="5" t="s">
        <v>1895</v>
      </c>
      <c r="AT8" s="5" t="s">
        <v>1896</v>
      </c>
      <c r="AU8" s="5" t="s">
        <v>1897</v>
      </c>
      <c r="AV8" s="5" t="s">
        <v>91</v>
      </c>
      <c r="AW8" s="23" t="s">
        <v>2421</v>
      </c>
      <c r="AX8" s="5" t="s">
        <v>869</v>
      </c>
      <c r="AY8" s="5" t="s">
        <v>2278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2422</v>
      </c>
      <c r="Q1" s="27" t="s">
        <v>2423</v>
      </c>
      <c r="R1" s="27" t="s">
        <v>2424</v>
      </c>
      <c r="S1" s="27" t="s">
        <v>2425</v>
      </c>
      <c r="T1" s="27" t="s">
        <v>2426</v>
      </c>
      <c r="U1" s="27" t="s">
        <v>2427</v>
      </c>
      <c r="V1" s="27" t="s">
        <v>2428</v>
      </c>
      <c r="W1" s="27" t="s">
        <v>2429</v>
      </c>
      <c r="X1" s="30" t="s">
        <v>2430</v>
      </c>
      <c r="Y1" s="30" t="s">
        <v>2431</v>
      </c>
      <c r="Z1" s="30" t="s">
        <v>2432</v>
      </c>
      <c r="AA1" s="30" t="s">
        <v>2433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2434</v>
      </c>
      <c r="AS2" s="18" t="s">
        <v>1667</v>
      </c>
      <c r="AT2" s="18" t="s">
        <v>1668</v>
      </c>
      <c r="AU2" s="18" t="s">
        <v>1669</v>
      </c>
      <c r="AV2" s="18" t="s">
        <v>2414</v>
      </c>
      <c r="AW2" s="32" t="s">
        <v>2415</v>
      </c>
      <c r="AX2" s="18" t="s">
        <v>898</v>
      </c>
      <c r="AY2" s="18" t="s">
        <v>2271</v>
      </c>
      <c r="BA2" s="33" t="s">
        <v>1123</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1893</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2435</v>
      </c>
      <c r="AS3" s="5" t="s">
        <v>1895</v>
      </c>
      <c r="AT3" s="5" t="s">
        <v>1896</v>
      </c>
      <c r="AU3" s="5" t="s">
        <v>1897</v>
      </c>
      <c r="AV3" s="5" t="s">
        <v>91</v>
      </c>
      <c r="AW3" s="23" t="s">
        <v>2417</v>
      </c>
      <c r="AX3" s="5" t="s">
        <v>869</v>
      </c>
      <c r="AY3" s="5" t="s">
        <v>2275</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86</v>
      </c>
      <c r="O4" s="5" t="s">
        <v>1893</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2436</v>
      </c>
      <c r="AS4" s="5" t="s">
        <v>1895</v>
      </c>
      <c r="AT4" s="5" t="s">
        <v>1896</v>
      </c>
      <c r="AU4" s="5" t="s">
        <v>1897</v>
      </c>
      <c r="AV4" s="5" t="s">
        <v>91</v>
      </c>
      <c r="AW4" s="23" t="s">
        <v>2419</v>
      </c>
      <c r="AX4" s="5" t="s">
        <v>869</v>
      </c>
      <c r="AY4" s="5" t="s">
        <v>2278</v>
      </c>
    </row>
    <row r="5" customFormat="false" ht="14.25" hidden="false" customHeight="true" outlineLevel="0" collapsed="false">
      <c r="A5" s="5" t="n">
        <v>166</v>
      </c>
      <c r="B5" s="5" t="n">
        <v>166</v>
      </c>
      <c r="C5" s="5" t="s">
        <v>853</v>
      </c>
      <c r="D5" s="5" t="n">
        <v>2014</v>
      </c>
      <c r="E5" s="5" t="s">
        <v>854</v>
      </c>
      <c r="F5" s="5" t="s">
        <v>857</v>
      </c>
      <c r="G5" s="5" t="s">
        <v>858</v>
      </c>
      <c r="H5" s="5" t="n">
        <v>29.067</v>
      </c>
      <c r="I5" s="5" t="n">
        <v>77.767</v>
      </c>
      <c r="J5" s="5" t="s">
        <v>83</v>
      </c>
      <c r="K5" s="5" t="n">
        <v>2011</v>
      </c>
      <c r="L5" s="5" t="s">
        <v>823</v>
      </c>
      <c r="M5" s="5" t="s">
        <v>85</v>
      </c>
      <c r="N5" s="5" t="s">
        <v>86</v>
      </c>
      <c r="O5" s="5" t="s">
        <v>1905</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2435</v>
      </c>
      <c r="AS5" s="5" t="s">
        <v>1895</v>
      </c>
      <c r="AT5" s="5" t="s">
        <v>1896</v>
      </c>
      <c r="AU5" s="5" t="s">
        <v>1897</v>
      </c>
      <c r="AV5" s="5" t="s">
        <v>91</v>
      </c>
      <c r="AW5" s="23" t="s">
        <v>2417</v>
      </c>
      <c r="AX5" s="5" t="s">
        <v>869</v>
      </c>
      <c r="AY5" s="5" t="s">
        <v>2275</v>
      </c>
    </row>
    <row r="6" customFormat="false" ht="14.25" hidden="false" customHeight="true" outlineLevel="0" collapsed="false">
      <c r="A6" s="5" t="n">
        <v>166</v>
      </c>
      <c r="B6" s="5" t="n">
        <v>166</v>
      </c>
      <c r="C6" s="5" t="s">
        <v>853</v>
      </c>
      <c r="D6" s="5" t="n">
        <v>2014</v>
      </c>
      <c r="E6" s="5" t="s">
        <v>854</v>
      </c>
      <c r="F6" s="5" t="s">
        <v>857</v>
      </c>
      <c r="G6" s="5" t="s">
        <v>858</v>
      </c>
      <c r="H6" s="5" t="n">
        <v>29.067</v>
      </c>
      <c r="I6" s="5" t="n">
        <v>77.767</v>
      </c>
      <c r="J6" s="5" t="s">
        <v>83</v>
      </c>
      <c r="K6" s="5" t="n">
        <v>2011</v>
      </c>
      <c r="L6" s="5" t="s">
        <v>823</v>
      </c>
      <c r="M6" s="5" t="s">
        <v>85</v>
      </c>
      <c r="N6" s="5" t="s">
        <v>86</v>
      </c>
      <c r="O6" s="5" t="s">
        <v>1905</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2436</v>
      </c>
      <c r="AS6" s="5" t="s">
        <v>1895</v>
      </c>
      <c r="AT6" s="5" t="s">
        <v>1896</v>
      </c>
      <c r="AU6" s="5" t="s">
        <v>1897</v>
      </c>
      <c r="AV6" s="5" t="s">
        <v>91</v>
      </c>
      <c r="AW6" s="23" t="s">
        <v>2419</v>
      </c>
      <c r="AX6" s="5" t="s">
        <v>869</v>
      </c>
      <c r="AY6" s="5" t="s">
        <v>2278</v>
      </c>
    </row>
    <row r="7" customFormat="false" ht="14.25" hidden="false" customHeight="true" outlineLevel="0" collapsed="false">
      <c r="A7" s="5" t="n">
        <v>166</v>
      </c>
      <c r="B7" s="5" t="n">
        <v>166</v>
      </c>
      <c r="C7" s="5" t="s">
        <v>853</v>
      </c>
      <c r="D7" s="5" t="n">
        <v>2014</v>
      </c>
      <c r="E7" s="5" t="s">
        <v>854</v>
      </c>
      <c r="F7" s="5" t="s">
        <v>857</v>
      </c>
      <c r="G7" s="5" t="s">
        <v>858</v>
      </c>
      <c r="H7" s="5" t="n">
        <v>29.067</v>
      </c>
      <c r="I7" s="5" t="n">
        <v>77.767</v>
      </c>
      <c r="J7" s="5" t="s">
        <v>83</v>
      </c>
      <c r="K7" s="5" t="n">
        <v>2011</v>
      </c>
      <c r="L7" s="5" t="s">
        <v>823</v>
      </c>
      <c r="M7" s="5" t="s">
        <v>85</v>
      </c>
      <c r="N7" s="5" t="s">
        <v>1673</v>
      </c>
      <c r="O7" s="5" t="s">
        <v>1674</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2435</v>
      </c>
      <c r="AS7" s="5" t="s">
        <v>1895</v>
      </c>
      <c r="AT7" s="5" t="s">
        <v>1896</v>
      </c>
      <c r="AU7" s="5" t="s">
        <v>1897</v>
      </c>
      <c r="AV7" s="5" t="s">
        <v>91</v>
      </c>
      <c r="AW7" s="23" t="s">
        <v>2420</v>
      </c>
      <c r="AX7" s="5" t="s">
        <v>869</v>
      </c>
      <c r="AY7" s="5" t="s">
        <v>2275</v>
      </c>
    </row>
    <row r="8" customFormat="false" ht="14.25" hidden="false" customHeight="true" outlineLevel="0" collapsed="false">
      <c r="A8" s="5" t="n">
        <v>166</v>
      </c>
      <c r="B8" s="5" t="n">
        <v>166</v>
      </c>
      <c r="C8" s="5" t="s">
        <v>853</v>
      </c>
      <c r="D8" s="5" t="n">
        <v>2014</v>
      </c>
      <c r="E8" s="5" t="s">
        <v>854</v>
      </c>
      <c r="F8" s="5" t="s">
        <v>857</v>
      </c>
      <c r="G8" s="5" t="s">
        <v>858</v>
      </c>
      <c r="H8" s="5" t="n">
        <v>29.067</v>
      </c>
      <c r="I8" s="5" t="n">
        <v>77.767</v>
      </c>
      <c r="J8" s="5" t="s">
        <v>83</v>
      </c>
      <c r="K8" s="5" t="n">
        <v>2011</v>
      </c>
      <c r="L8" s="5" t="s">
        <v>823</v>
      </c>
      <c r="M8" s="5" t="s">
        <v>85</v>
      </c>
      <c r="N8" s="5" t="s">
        <v>1673</v>
      </c>
      <c r="O8" s="5" t="s">
        <v>1674</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2436</v>
      </c>
      <c r="AS8" s="5" t="s">
        <v>1895</v>
      </c>
      <c r="AT8" s="5" t="s">
        <v>1896</v>
      </c>
      <c r="AU8" s="5" t="s">
        <v>1897</v>
      </c>
      <c r="AV8" s="5" t="s">
        <v>91</v>
      </c>
      <c r="AW8" s="23" t="s">
        <v>2421</v>
      </c>
      <c r="AX8" s="5" t="s">
        <v>869</v>
      </c>
      <c r="AY8" s="5" t="s">
        <v>2278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2437</v>
      </c>
      <c r="Q1" s="27" t="s">
        <v>2438</v>
      </c>
      <c r="R1" s="27" t="s">
        <v>2439</v>
      </c>
      <c r="S1" s="27" t="s">
        <v>2440</v>
      </c>
      <c r="T1" s="27" t="s">
        <v>2441</v>
      </c>
      <c r="U1" s="27" t="s">
        <v>2442</v>
      </c>
      <c r="V1" s="27" t="s">
        <v>2443</v>
      </c>
      <c r="W1" s="27" t="s">
        <v>2444</v>
      </c>
      <c r="X1" s="30" t="s">
        <v>2445</v>
      </c>
      <c r="Y1" s="30" t="s">
        <v>2446</v>
      </c>
      <c r="Z1" s="30" t="s">
        <v>2447</v>
      </c>
      <c r="AA1" s="30" t="s">
        <v>2448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1125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2449</v>
      </c>
      <c r="Q1" s="27" t="s">
        <v>2450</v>
      </c>
      <c r="R1" s="27" t="s">
        <v>2451</v>
      </c>
      <c r="S1" s="27" t="s">
        <v>2452</v>
      </c>
      <c r="T1" s="27" t="s">
        <v>2453</v>
      </c>
      <c r="U1" s="27" t="s">
        <v>2454</v>
      </c>
      <c r="V1" s="27" t="s">
        <v>2455</v>
      </c>
      <c r="W1" s="27" t="s">
        <v>2456</v>
      </c>
      <c r="X1" s="30" t="s">
        <v>2457</v>
      </c>
      <c r="Y1" s="30" t="s">
        <v>2458</v>
      </c>
      <c r="Z1" s="30" t="s">
        <v>2459</v>
      </c>
      <c r="AA1" s="30" t="s">
        <v>2460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24" t="s">
        <v>1034</v>
      </c>
      <c r="B2" s="24" t="s">
        <v>1034</v>
      </c>
      <c r="C2" s="24" t="s">
        <v>1035</v>
      </c>
      <c r="D2" s="24" t="n">
        <v>2022</v>
      </c>
      <c r="E2" s="24" t="s">
        <v>80</v>
      </c>
      <c r="F2" s="24" t="s">
        <v>912</v>
      </c>
      <c r="G2" s="24" t="s">
        <v>913</v>
      </c>
      <c r="H2" s="24" t="n">
        <v>29.706</v>
      </c>
      <c r="I2" s="24" t="n">
        <v>76.956</v>
      </c>
      <c r="J2" s="24" t="s">
        <v>83</v>
      </c>
      <c r="K2" s="24" t="n">
        <v>2019</v>
      </c>
      <c r="L2" s="24" t="s">
        <v>84</v>
      </c>
      <c r="M2" s="24" t="s">
        <v>85</v>
      </c>
      <c r="N2" s="24" t="s">
        <v>86</v>
      </c>
      <c r="O2" s="24" t="s">
        <v>1720</v>
      </c>
      <c r="P2" s="24" t="n">
        <f aca="false">ROUND(36/BD!P33,2)</f>
        <v>25.9</v>
      </c>
      <c r="Q2" s="24" t="n">
        <f aca="false">ROUND(28/BD!Q33,2)</f>
        <v>18.67</v>
      </c>
      <c r="R2" s="24"/>
      <c r="S2" s="24"/>
      <c r="T2" s="24"/>
      <c r="U2" s="24"/>
      <c r="V2" s="24"/>
      <c r="W2" s="24"/>
      <c r="X2" s="24" t="n">
        <f aca="false">ROUND(28/BD!X33,2)</f>
        <v>19.86</v>
      </c>
      <c r="Y2" s="24"/>
      <c r="Z2" s="24"/>
      <c r="AA2" s="24"/>
      <c r="AB2" s="24" t="n">
        <v>2</v>
      </c>
      <c r="AC2" s="24" t="n">
        <v>3</v>
      </c>
      <c r="AD2" s="24" t="n">
        <f aca="false">IF(AND(N(AB2)&gt;0,N(AC2)&gt;0),SQRT(2*AB2/AC2),"")</f>
        <v>1.15470053837925</v>
      </c>
      <c r="AE2" s="24"/>
      <c r="AF2" s="24"/>
      <c r="AG2" s="24"/>
      <c r="AH2" s="24" t="n">
        <v>670</v>
      </c>
      <c r="AI2" s="24" t="n">
        <v>29.706</v>
      </c>
      <c r="AJ2" s="24" t="n">
        <v>10</v>
      </c>
      <c r="AK2" s="24"/>
      <c r="AL2" s="24"/>
      <c r="AM2" s="24"/>
      <c r="AN2" s="24"/>
      <c r="AO2" s="24"/>
      <c r="AP2" s="24"/>
      <c r="AQ2" s="24"/>
      <c r="AR2" s="24" t="s">
        <v>2461</v>
      </c>
      <c r="AS2" s="24" t="s">
        <v>1742</v>
      </c>
      <c r="AT2" s="24" t="s">
        <v>1743</v>
      </c>
      <c r="AU2" s="24" t="s">
        <v>1744</v>
      </c>
      <c r="AV2" s="24" t="s">
        <v>2462</v>
      </c>
      <c r="AW2" s="25" t="s">
        <v>2463</v>
      </c>
      <c r="AX2" s="24" t="s">
        <v>1046</v>
      </c>
      <c r="AY2" s="24" t="s">
        <v>2464</v>
      </c>
      <c r="BA2" s="33" t="s">
        <v>1127</v>
      </c>
    </row>
    <row r="3" customFormat="false" ht="15" hidden="false" customHeight="true" outlineLevel="0" collapsed="false">
      <c r="A3" s="24" t="s">
        <v>1034</v>
      </c>
      <c r="B3" s="24" t="s">
        <v>1034</v>
      </c>
      <c r="C3" s="24" t="s">
        <v>1035</v>
      </c>
      <c r="D3" s="24" t="n">
        <v>2022</v>
      </c>
      <c r="E3" s="24" t="s">
        <v>80</v>
      </c>
      <c r="F3" s="24" t="s">
        <v>912</v>
      </c>
      <c r="G3" s="24" t="s">
        <v>913</v>
      </c>
      <c r="H3" s="24" t="n">
        <v>29.706</v>
      </c>
      <c r="I3" s="24" t="n">
        <v>76.956</v>
      </c>
      <c r="J3" s="24" t="s">
        <v>83</v>
      </c>
      <c r="K3" s="24" t="n">
        <v>2019</v>
      </c>
      <c r="L3" s="24" t="s">
        <v>84</v>
      </c>
      <c r="M3" s="24" t="s">
        <v>85</v>
      </c>
      <c r="N3" s="24" t="s">
        <v>86</v>
      </c>
      <c r="O3" s="24" t="s">
        <v>1747</v>
      </c>
      <c r="P3" s="24" t="n">
        <f aca="false">ROUND(33/BD!P34,2)</f>
        <v>20.89</v>
      </c>
      <c r="Q3" s="24" t="n">
        <f aca="false">ROUND(28/BD!Q34,2)</f>
        <v>16.87</v>
      </c>
      <c r="R3" s="24"/>
      <c r="S3" s="24"/>
      <c r="T3" s="24"/>
      <c r="U3" s="24"/>
      <c r="V3" s="24"/>
      <c r="W3" s="24"/>
      <c r="X3" s="24" t="n">
        <f aca="false">ROUND(27/BD!X34,2)</f>
        <v>16.77</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2461</v>
      </c>
      <c r="AS3" s="24" t="s">
        <v>1742</v>
      </c>
      <c r="AT3" s="24" t="s">
        <v>1743</v>
      </c>
      <c r="AU3" s="24" t="s">
        <v>1744</v>
      </c>
      <c r="AV3" s="24" t="s">
        <v>2462</v>
      </c>
      <c r="AW3" s="25" t="s">
        <v>2465</v>
      </c>
      <c r="AX3" s="24" t="s">
        <v>1046</v>
      </c>
      <c r="AY3" s="24" t="s">
        <v>2464</v>
      </c>
    </row>
    <row r="4" customFormat="false" ht="15" hidden="false" customHeight="true" outlineLevel="0" collapsed="false">
      <c r="A4" s="24" t="s">
        <v>1034</v>
      </c>
      <c r="B4" s="24" t="s">
        <v>1034</v>
      </c>
      <c r="C4" s="24" t="s">
        <v>1035</v>
      </c>
      <c r="D4" s="24" t="n">
        <v>2022</v>
      </c>
      <c r="E4" s="24" t="s">
        <v>80</v>
      </c>
      <c r="F4" s="24" t="s">
        <v>912</v>
      </c>
      <c r="G4" s="24" t="s">
        <v>913</v>
      </c>
      <c r="H4" s="24" t="n">
        <v>29.706</v>
      </c>
      <c r="I4" s="24" t="n">
        <v>76.956</v>
      </c>
      <c r="J4" s="24" t="s">
        <v>83</v>
      </c>
      <c r="K4" s="24" t="n">
        <v>2019</v>
      </c>
      <c r="L4" s="24" t="s">
        <v>84</v>
      </c>
      <c r="M4" s="24" t="s">
        <v>85</v>
      </c>
      <c r="N4" s="24" t="s">
        <v>1673</v>
      </c>
      <c r="O4" s="24" t="s">
        <v>1674</v>
      </c>
      <c r="P4" s="24" t="n">
        <f aca="false">ROUND(24/BD!P35,2)</f>
        <v>14.04</v>
      </c>
      <c r="Q4" s="24" t="n">
        <f aca="false">ROUND(26/BD!Q35,2)</f>
        <v>15.12</v>
      </c>
      <c r="R4" s="24"/>
      <c r="S4" s="24"/>
      <c r="T4" s="24"/>
      <c r="U4" s="24"/>
      <c r="V4" s="24"/>
      <c r="W4" s="24"/>
      <c r="X4" s="24" t="n">
        <f aca="false">ROUND(30/BD!X35,2)</f>
        <v>17.86</v>
      </c>
      <c r="Y4" s="24"/>
      <c r="Z4" s="24"/>
      <c r="AA4" s="24"/>
      <c r="AB4" s="24" t="n">
        <v>1</v>
      </c>
      <c r="AC4" s="24" t="n">
        <v>3</v>
      </c>
      <c r="AD4" s="24" t="n">
        <f aca="false">IF(AND(N(AB4)&gt;0,N(AC4)&gt;0),SQRT(2*AB4/AC4),"")</f>
        <v>0.816496580927726</v>
      </c>
      <c r="AE4" s="24"/>
      <c r="AF4" s="24"/>
      <c r="AG4" s="24"/>
      <c r="AH4" s="24" t="n">
        <v>670</v>
      </c>
      <c r="AI4" s="24" t="n">
        <v>29.706</v>
      </c>
      <c r="AJ4" s="24" t="n">
        <v>10</v>
      </c>
      <c r="AK4" s="24"/>
      <c r="AL4" s="24"/>
      <c r="AM4" s="24"/>
      <c r="AN4" s="24"/>
      <c r="AO4" s="24"/>
      <c r="AP4" s="24"/>
      <c r="AQ4" s="24"/>
      <c r="AR4" s="24" t="s">
        <v>2461</v>
      </c>
      <c r="AS4" s="24" t="s">
        <v>1742</v>
      </c>
      <c r="AT4" s="24" t="s">
        <v>1743</v>
      </c>
      <c r="AU4" s="24" t="s">
        <v>1744</v>
      </c>
      <c r="AV4" s="24" t="s">
        <v>2462</v>
      </c>
      <c r="AW4" s="25" t="s">
        <v>2466</v>
      </c>
      <c r="AX4" s="24" t="s">
        <v>1046</v>
      </c>
      <c r="AY4" s="24" t="s">
        <v>2464</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2467</v>
      </c>
      <c r="Q1" s="27" t="s">
        <v>2468</v>
      </c>
      <c r="R1" s="27" t="s">
        <v>2469</v>
      </c>
      <c r="S1" s="27" t="s">
        <v>2470</v>
      </c>
      <c r="T1" s="27" t="s">
        <v>2471</v>
      </c>
      <c r="U1" s="27" t="s">
        <v>2472</v>
      </c>
      <c r="V1" s="27" t="s">
        <v>2473</v>
      </c>
      <c r="W1" s="27" t="s">
        <v>2474</v>
      </c>
      <c r="X1" s="30" t="s">
        <v>2475</v>
      </c>
      <c r="Y1" s="30" t="s">
        <v>2476</v>
      </c>
      <c r="Z1" s="30" t="s">
        <v>2477</v>
      </c>
      <c r="AA1" s="30" t="s">
        <v>2478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1130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796</v>
      </c>
      <c r="U1" s="21" t="s">
        <v>797</v>
      </c>
      <c r="V1" s="21" t="s">
        <v>74</v>
      </c>
      <c r="W1" s="21" t="s">
        <v>1659</v>
      </c>
      <c r="X1" s="21" t="s">
        <v>1660</v>
      </c>
      <c r="Y1" s="21" t="s">
        <v>798</v>
      </c>
      <c r="Z1" s="21" t="s">
        <v>799</v>
      </c>
      <c r="AA1" s="21" t="s">
        <v>75</v>
      </c>
      <c r="AB1" s="21" t="s">
        <v>794</v>
      </c>
      <c r="AC1" s="21" t="s">
        <v>795</v>
      </c>
      <c r="AD1" s="21" t="s">
        <v>792</v>
      </c>
      <c r="AE1" s="21" t="s">
        <v>793</v>
      </c>
      <c r="AF1" s="22" t="s">
        <v>76</v>
      </c>
      <c r="AG1" s="22" t="s">
        <v>77</v>
      </c>
      <c r="AH1" s="22" t="s">
        <v>1661</v>
      </c>
      <c r="AI1" s="22" t="s">
        <v>1662</v>
      </c>
      <c r="AJ1" s="22" t="s">
        <v>78</v>
      </c>
      <c r="AK1" s="22" t="s">
        <v>811</v>
      </c>
      <c r="AL1" s="22" t="s">
        <v>1663</v>
      </c>
      <c r="AM1" s="22" t="s">
        <v>1664</v>
      </c>
      <c r="AO1" s="31" t="s">
        <v>1665</v>
      </c>
    </row>
    <row r="2" customFormat="false" ht="15" hidden="false" customHeight="true" outlineLevel="0" collapsed="false">
      <c r="AO2" s="33" t="s">
        <v>1132</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2479</v>
      </c>
      <c r="Q1" s="27" t="s">
        <v>2480</v>
      </c>
      <c r="R1" s="27" t="s">
        <v>2481</v>
      </c>
      <c r="S1" s="27" t="s">
        <v>2482</v>
      </c>
      <c r="T1" s="27" t="s">
        <v>2483</v>
      </c>
      <c r="U1" s="27" t="s">
        <v>2484</v>
      </c>
      <c r="V1" s="27" t="s">
        <v>2485</v>
      </c>
      <c r="W1" s="27" t="s">
        <v>2486</v>
      </c>
      <c r="X1" s="30" t="s">
        <v>2487</v>
      </c>
      <c r="Y1" s="30" t="s">
        <v>2488</v>
      </c>
      <c r="Z1" s="30" t="s">
        <v>2489</v>
      </c>
      <c r="AA1" s="30" t="s">
        <v>2490</v>
      </c>
      <c r="AB1" s="27" t="s">
        <v>2491</v>
      </c>
      <c r="AC1" s="27" t="s">
        <v>2492</v>
      </c>
      <c r="AD1" s="27" t="s">
        <v>2493</v>
      </c>
      <c r="AE1" s="28" t="s">
        <v>35</v>
      </c>
      <c r="AF1" s="28" t="s">
        <v>33</v>
      </c>
      <c r="AG1" s="28" t="s">
        <v>37</v>
      </c>
      <c r="AH1" s="21" t="s">
        <v>73</v>
      </c>
      <c r="AI1" s="21" t="s">
        <v>796</v>
      </c>
      <c r="AJ1" s="21" t="s">
        <v>797</v>
      </c>
      <c r="AK1" s="21" t="s">
        <v>74</v>
      </c>
      <c r="AL1" s="21" t="s">
        <v>1659</v>
      </c>
      <c r="AM1" s="21" t="s">
        <v>1660</v>
      </c>
      <c r="AN1" s="21" t="s">
        <v>798</v>
      </c>
      <c r="AO1" s="21" t="s">
        <v>799</v>
      </c>
      <c r="AP1" s="21" t="s">
        <v>75</v>
      </c>
      <c r="AQ1" s="21" t="s">
        <v>794</v>
      </c>
      <c r="AR1" s="21" t="s">
        <v>795</v>
      </c>
      <c r="AS1" s="21" t="s">
        <v>792</v>
      </c>
      <c r="AT1" s="21" t="s">
        <v>793</v>
      </c>
      <c r="AU1" s="22" t="s">
        <v>76</v>
      </c>
      <c r="AV1" s="22" t="s">
        <v>77</v>
      </c>
      <c r="AW1" s="22" t="s">
        <v>1661</v>
      </c>
      <c r="AX1" s="22" t="s">
        <v>1662</v>
      </c>
      <c r="AY1" s="22" t="s">
        <v>78</v>
      </c>
      <c r="AZ1" s="22" t="s">
        <v>811</v>
      </c>
      <c r="BA1" s="22" t="s">
        <v>1663</v>
      </c>
      <c r="BB1" s="22" t="s">
        <v>1664</v>
      </c>
      <c r="BD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1666</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693</v>
      </c>
      <c r="AV2" s="18" t="s">
        <v>1667</v>
      </c>
      <c r="AW2" s="18" t="s">
        <v>1668</v>
      </c>
      <c r="AX2" s="18" t="s">
        <v>1669</v>
      </c>
      <c r="AY2" s="18" t="s">
        <v>1725</v>
      </c>
      <c r="AZ2" s="32" t="s">
        <v>2494</v>
      </c>
      <c r="BA2" s="18" t="s">
        <v>898</v>
      </c>
      <c r="BB2" s="18" t="s">
        <v>2495</v>
      </c>
      <c r="BD2" s="33" t="s">
        <v>693</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1673</v>
      </c>
      <c r="O3" s="18" t="s">
        <v>1674</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693</v>
      </c>
      <c r="AV3" s="18" t="s">
        <v>1667</v>
      </c>
      <c r="AW3" s="18" t="s">
        <v>1668</v>
      </c>
      <c r="AX3" s="18" t="s">
        <v>1669</v>
      </c>
      <c r="AY3" s="18" t="s">
        <v>1725</v>
      </c>
      <c r="AZ3" s="32" t="s">
        <v>2494</v>
      </c>
      <c r="BA3" s="18" t="s">
        <v>898</v>
      </c>
      <c r="BB3" s="18" t="s">
        <v>2495</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2029</v>
      </c>
      <c r="L4" s="5" t="s">
        <v>842</v>
      </c>
      <c r="M4" s="5" t="s">
        <v>85</v>
      </c>
      <c r="N4" s="5" t="s">
        <v>86</v>
      </c>
      <c r="O4" s="5" t="s">
        <v>2496</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693</v>
      </c>
      <c r="AV4" s="5" t="s">
        <v>1676</v>
      </c>
      <c r="AW4" s="5" t="s">
        <v>2497</v>
      </c>
      <c r="AX4" s="5" t="s">
        <v>1678</v>
      </c>
      <c r="AY4" s="5" t="s">
        <v>1738</v>
      </c>
      <c r="AZ4" s="23" t="s">
        <v>2498</v>
      </c>
      <c r="BA4" s="5" t="s">
        <v>850</v>
      </c>
      <c r="BB4" s="5" t="s">
        <v>2499</v>
      </c>
    </row>
    <row r="5" customFormat="false" ht="15" hidden="false" customHeight="true" outlineLevel="0" collapsed="false">
      <c r="A5" s="5" t="n">
        <v>165</v>
      </c>
      <c r="B5" s="5" t="n">
        <v>165</v>
      </c>
      <c r="C5" s="5" t="s">
        <v>832</v>
      </c>
      <c r="D5" s="5" t="n">
        <v>2012</v>
      </c>
      <c r="E5" s="5" t="s">
        <v>833</v>
      </c>
      <c r="F5" s="5" t="s">
        <v>836</v>
      </c>
      <c r="G5" s="5" t="s">
        <v>837</v>
      </c>
      <c r="H5" s="5" t="n">
        <v>28.633</v>
      </c>
      <c r="I5" s="5" t="n">
        <v>77.183</v>
      </c>
      <c r="J5" s="5" t="s">
        <v>83</v>
      </c>
      <c r="K5" s="5" t="s">
        <v>2029</v>
      </c>
      <c r="L5" s="5" t="s">
        <v>842</v>
      </c>
      <c r="M5" s="5" t="s">
        <v>85</v>
      </c>
      <c r="N5" s="5" t="s">
        <v>86</v>
      </c>
      <c r="O5" s="5" t="s">
        <v>2496</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693</v>
      </c>
      <c r="AV5" s="5" t="s">
        <v>1682</v>
      </c>
      <c r="AW5" s="5" t="s">
        <v>2500</v>
      </c>
      <c r="AX5" s="5" t="s">
        <v>1678</v>
      </c>
      <c r="AY5" s="5" t="s">
        <v>1738</v>
      </c>
      <c r="AZ5" s="23" t="s">
        <v>2501</v>
      </c>
      <c r="BA5" s="5" t="s">
        <v>850</v>
      </c>
      <c r="BB5" s="5" t="s">
        <v>2499</v>
      </c>
    </row>
    <row r="6" customFormat="false" ht="15" hidden="false" customHeight="true" outlineLevel="0" collapsed="false">
      <c r="A6" s="5" t="n">
        <v>165</v>
      </c>
      <c r="B6" s="5" t="n">
        <v>165</v>
      </c>
      <c r="C6" s="5" t="s">
        <v>832</v>
      </c>
      <c r="D6" s="5" t="n">
        <v>2012</v>
      </c>
      <c r="E6" s="5" t="s">
        <v>833</v>
      </c>
      <c r="F6" s="5" t="s">
        <v>836</v>
      </c>
      <c r="G6" s="5" t="s">
        <v>837</v>
      </c>
      <c r="H6" s="5" t="n">
        <v>28.633</v>
      </c>
      <c r="I6" s="5" t="n">
        <v>77.183</v>
      </c>
      <c r="J6" s="5" t="s">
        <v>83</v>
      </c>
      <c r="K6" s="5" t="s">
        <v>1675</v>
      </c>
      <c r="L6" s="5" t="s">
        <v>842</v>
      </c>
      <c r="M6" s="5" t="s">
        <v>85</v>
      </c>
      <c r="N6" s="5" t="s">
        <v>86</v>
      </c>
      <c r="O6" s="5" t="s">
        <v>2496</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693</v>
      </c>
      <c r="AV6" s="5" t="s">
        <v>1676</v>
      </c>
      <c r="AW6" s="5" t="s">
        <v>2502</v>
      </c>
      <c r="AX6" s="5" t="s">
        <v>1678</v>
      </c>
      <c r="AY6" s="5" t="s">
        <v>1738</v>
      </c>
      <c r="AZ6" s="23" t="s">
        <v>2498</v>
      </c>
      <c r="BA6" s="5" t="s">
        <v>850</v>
      </c>
      <c r="BB6" s="5" t="s">
        <v>2499</v>
      </c>
    </row>
    <row r="7" customFormat="false" ht="15" hidden="false" customHeight="true" outlineLevel="0" collapsed="false">
      <c r="A7" s="5" t="n">
        <v>165</v>
      </c>
      <c r="B7" s="5" t="n">
        <v>165</v>
      </c>
      <c r="C7" s="5" t="s">
        <v>832</v>
      </c>
      <c r="D7" s="5" t="n">
        <v>2012</v>
      </c>
      <c r="E7" s="5" t="s">
        <v>833</v>
      </c>
      <c r="F7" s="5" t="s">
        <v>836</v>
      </c>
      <c r="G7" s="5" t="s">
        <v>837</v>
      </c>
      <c r="H7" s="5" t="n">
        <v>28.633</v>
      </c>
      <c r="I7" s="5" t="n">
        <v>77.183</v>
      </c>
      <c r="J7" s="5" t="s">
        <v>83</v>
      </c>
      <c r="K7" s="5" t="s">
        <v>1675</v>
      </c>
      <c r="L7" s="5" t="s">
        <v>842</v>
      </c>
      <c r="M7" s="5" t="s">
        <v>85</v>
      </c>
      <c r="N7" s="5" t="s">
        <v>86</v>
      </c>
      <c r="O7" s="5" t="s">
        <v>2496</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693</v>
      </c>
      <c r="AV7" s="5" t="s">
        <v>1682</v>
      </c>
      <c r="AW7" s="5" t="s">
        <v>2503</v>
      </c>
      <c r="AX7" s="5" t="s">
        <v>1678</v>
      </c>
      <c r="AY7" s="5" t="s">
        <v>1738</v>
      </c>
      <c r="AZ7" s="23" t="s">
        <v>2501</v>
      </c>
      <c r="BA7" s="5" t="s">
        <v>850</v>
      </c>
      <c r="BB7" s="5" t="s">
        <v>2499</v>
      </c>
    </row>
    <row r="8" customFormat="false" ht="15" hidden="false" customHeight="true" outlineLevel="0" collapsed="false">
      <c r="A8" s="5" t="n">
        <v>164</v>
      </c>
      <c r="B8" s="5" t="n">
        <v>164</v>
      </c>
      <c r="C8" s="5" t="s">
        <v>812</v>
      </c>
      <c r="D8" s="5" t="n">
        <v>2000</v>
      </c>
      <c r="E8" s="5" t="s">
        <v>813</v>
      </c>
      <c r="F8" s="5" t="s">
        <v>887</v>
      </c>
      <c r="G8" s="5" t="s">
        <v>2504</v>
      </c>
      <c r="H8" s="5" t="n">
        <v>30.933</v>
      </c>
      <c r="I8" s="5" t="n">
        <v>75.867</v>
      </c>
      <c r="J8" s="5" t="s">
        <v>891</v>
      </c>
      <c r="K8" s="5" t="s">
        <v>2505</v>
      </c>
      <c r="L8" s="5" t="s">
        <v>823</v>
      </c>
      <c r="M8" s="5" t="s">
        <v>85</v>
      </c>
      <c r="N8" s="5" t="s">
        <v>86</v>
      </c>
      <c r="O8" s="5" t="s">
        <v>1666</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693</v>
      </c>
      <c r="AV8" s="5" t="s">
        <v>2506</v>
      </c>
      <c r="AW8" s="5" t="s">
        <v>2507</v>
      </c>
      <c r="AX8" s="5" t="s">
        <v>2508</v>
      </c>
      <c r="AY8" s="5" t="s">
        <v>2509</v>
      </c>
      <c r="AZ8" s="23" t="s">
        <v>2510</v>
      </c>
      <c r="BA8" s="5" t="s">
        <v>828</v>
      </c>
      <c r="BB8" s="5" t="s">
        <v>2511</v>
      </c>
    </row>
    <row r="9" customFormat="false" ht="15" hidden="false" customHeight="true" outlineLevel="0" collapsed="false">
      <c r="A9" s="5" t="n">
        <v>164</v>
      </c>
      <c r="B9" s="5" t="n">
        <v>164</v>
      </c>
      <c r="C9" s="5" t="s">
        <v>812</v>
      </c>
      <c r="D9" s="5" t="n">
        <v>2000</v>
      </c>
      <c r="E9" s="5" t="s">
        <v>813</v>
      </c>
      <c r="F9" s="5" t="s">
        <v>1605</v>
      </c>
      <c r="G9" s="5" t="s">
        <v>2512</v>
      </c>
      <c r="H9" s="5" t="n">
        <v>29</v>
      </c>
      <c r="I9" s="5" t="n">
        <v>79.083</v>
      </c>
      <c r="J9" s="5" t="s">
        <v>83</v>
      </c>
      <c r="K9" s="5" t="s">
        <v>2505</v>
      </c>
      <c r="L9" s="5" t="s">
        <v>823</v>
      </c>
      <c r="M9" s="5" t="s">
        <v>85</v>
      </c>
      <c r="N9" s="5" t="s">
        <v>86</v>
      </c>
      <c r="O9" s="5" t="s">
        <v>1666</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693</v>
      </c>
      <c r="AV9" s="5" t="s">
        <v>2506</v>
      </c>
      <c r="AW9" s="5" t="s">
        <v>2507</v>
      </c>
      <c r="AX9" s="5" t="s">
        <v>2513</v>
      </c>
      <c r="AY9" s="5" t="s">
        <v>2509</v>
      </c>
      <c r="AZ9" s="23" t="s">
        <v>2514</v>
      </c>
      <c r="BA9" s="5" t="s">
        <v>828</v>
      </c>
      <c r="BB9" s="5" t="s">
        <v>2511</v>
      </c>
    </row>
    <row r="10" customFormat="false" ht="15" hidden="false" customHeight="true" outlineLevel="0" collapsed="false">
      <c r="A10" s="5" t="n">
        <v>164</v>
      </c>
      <c r="B10" s="5" t="n">
        <v>164</v>
      </c>
      <c r="C10" s="5" t="s">
        <v>812</v>
      </c>
      <c r="D10" s="5" t="n">
        <v>2000</v>
      </c>
      <c r="E10" s="5" t="s">
        <v>813</v>
      </c>
      <c r="F10" s="5" t="s">
        <v>857</v>
      </c>
      <c r="G10" s="5" t="s">
        <v>2515</v>
      </c>
      <c r="H10" s="5" t="n">
        <v>26.967</v>
      </c>
      <c r="I10" s="5" t="n">
        <v>80.567</v>
      </c>
      <c r="J10" s="5" t="s">
        <v>83</v>
      </c>
      <c r="K10" s="5" t="s">
        <v>2505</v>
      </c>
      <c r="L10" s="5" t="s">
        <v>823</v>
      </c>
      <c r="M10" s="5"/>
      <c r="N10" s="5" t="s">
        <v>86</v>
      </c>
      <c r="O10" s="5" t="s">
        <v>1666</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693</v>
      </c>
      <c r="AV10" s="5" t="s">
        <v>2506</v>
      </c>
      <c r="AW10" s="5" t="s">
        <v>2507</v>
      </c>
      <c r="AX10" s="5" t="s">
        <v>2516</v>
      </c>
      <c r="AY10" s="5" t="s">
        <v>2509</v>
      </c>
      <c r="AZ10" s="23" t="s">
        <v>2517</v>
      </c>
      <c r="BA10" s="5" t="s">
        <v>828</v>
      </c>
      <c r="BB10" s="5" t="s">
        <v>2511</v>
      </c>
    </row>
    <row r="11" customFormat="false" ht="15" hidden="false" customHeight="true" outlineLevel="0" collapsed="false">
      <c r="A11" s="5" t="n">
        <v>164</v>
      </c>
      <c r="B11" s="5" t="n">
        <v>164</v>
      </c>
      <c r="C11" s="5" t="s">
        <v>812</v>
      </c>
      <c r="D11" s="5" t="n">
        <v>2000</v>
      </c>
      <c r="E11" s="5" t="s">
        <v>813</v>
      </c>
      <c r="F11" s="5" t="s">
        <v>857</v>
      </c>
      <c r="G11" s="5" t="s">
        <v>2518</v>
      </c>
      <c r="H11" s="5" t="n">
        <v>26.067</v>
      </c>
      <c r="I11" s="5" t="n">
        <v>82.133</v>
      </c>
      <c r="J11" s="5" t="s">
        <v>83</v>
      </c>
      <c r="K11" s="5" t="s">
        <v>2505</v>
      </c>
      <c r="L11" s="5" t="s">
        <v>823</v>
      </c>
      <c r="M11" s="5" t="s">
        <v>85</v>
      </c>
      <c r="N11" s="5" t="s">
        <v>86</v>
      </c>
      <c r="O11" s="5" t="s">
        <v>1666</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693</v>
      </c>
      <c r="AV11" s="5" t="s">
        <v>2506</v>
      </c>
      <c r="AW11" s="5" t="s">
        <v>2507</v>
      </c>
      <c r="AX11" s="5" t="s">
        <v>2519</v>
      </c>
      <c r="AY11" s="5" t="s">
        <v>2509</v>
      </c>
      <c r="AZ11" s="23" t="s">
        <v>2520</v>
      </c>
      <c r="BA11" s="5" t="s">
        <v>828</v>
      </c>
      <c r="BB11" s="5" t="s">
        <v>2511</v>
      </c>
    </row>
    <row r="12" customFormat="false" ht="15" hidden="false" customHeight="true" outlineLevel="0" collapsed="false">
      <c r="A12" s="5" t="n">
        <v>164</v>
      </c>
      <c r="B12" s="5" t="n">
        <v>164</v>
      </c>
      <c r="C12" s="5" t="s">
        <v>812</v>
      </c>
      <c r="D12" s="5" t="n">
        <v>2000</v>
      </c>
      <c r="E12" s="5" t="s">
        <v>813</v>
      </c>
      <c r="F12" s="5" t="s">
        <v>1617</v>
      </c>
      <c r="G12" s="5" t="s">
        <v>2521</v>
      </c>
      <c r="H12" s="5" t="n">
        <v>25.233</v>
      </c>
      <c r="I12" s="5" t="n">
        <v>87.067</v>
      </c>
      <c r="J12" s="5" t="s">
        <v>83</v>
      </c>
      <c r="K12" s="5" t="s">
        <v>2505</v>
      </c>
      <c r="L12" s="5" t="s">
        <v>823</v>
      </c>
      <c r="M12" s="5" t="s">
        <v>2522</v>
      </c>
      <c r="N12" s="5" t="s">
        <v>86</v>
      </c>
      <c r="O12" s="5" t="s">
        <v>1666</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693</v>
      </c>
      <c r="AV12" s="5" t="s">
        <v>2506</v>
      </c>
      <c r="AW12" s="5" t="s">
        <v>2507</v>
      </c>
      <c r="AX12" s="5" t="s">
        <v>2523</v>
      </c>
      <c r="AY12" s="5" t="s">
        <v>2509</v>
      </c>
      <c r="AZ12" s="23" t="s">
        <v>2524</v>
      </c>
      <c r="BA12" s="5" t="s">
        <v>828</v>
      </c>
      <c r="BB12" s="5" t="s">
        <v>2511</v>
      </c>
    </row>
    <row r="13" customFormat="false" ht="15" hidden="false" customHeight="true" outlineLevel="0" collapsed="false">
      <c r="A13" s="5" t="n">
        <v>164</v>
      </c>
      <c r="B13" s="5" t="n">
        <v>164</v>
      </c>
      <c r="C13" s="5" t="s">
        <v>812</v>
      </c>
      <c r="D13" s="5" t="n">
        <v>2000</v>
      </c>
      <c r="E13" s="5" t="s">
        <v>813</v>
      </c>
      <c r="F13" s="5" t="s">
        <v>1621</v>
      </c>
      <c r="G13" s="5" t="s">
        <v>2525</v>
      </c>
      <c r="H13" s="5" t="n">
        <v>23</v>
      </c>
      <c r="I13" s="5" t="n">
        <v>89</v>
      </c>
      <c r="J13" s="5" t="s">
        <v>83</v>
      </c>
      <c r="K13" s="5" t="s">
        <v>2526</v>
      </c>
      <c r="L13" s="5" t="s">
        <v>823</v>
      </c>
      <c r="M13" s="5"/>
      <c r="N13" s="5" t="s">
        <v>86</v>
      </c>
      <c r="O13" s="5" t="s">
        <v>1666</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693</v>
      </c>
      <c r="AV13" s="5" t="s">
        <v>2506</v>
      </c>
      <c r="AW13" s="5" t="s">
        <v>2527</v>
      </c>
      <c r="AX13" s="5" t="s">
        <v>2528</v>
      </c>
      <c r="AY13" s="5" t="s">
        <v>2509</v>
      </c>
      <c r="AZ13" s="23" t="s">
        <v>2529</v>
      </c>
      <c r="BA13" s="5" t="s">
        <v>828</v>
      </c>
      <c r="BB13" s="5" t="s">
        <v>2511</v>
      </c>
    </row>
    <row r="14" customFormat="false" ht="15" hidden="false" customHeight="true" outlineLevel="0" collapsed="false">
      <c r="A14" s="5" t="n">
        <v>164</v>
      </c>
      <c r="B14" s="5" t="n">
        <v>164</v>
      </c>
      <c r="C14" s="5" t="s">
        <v>812</v>
      </c>
      <c r="D14" s="5" t="n">
        <v>2000</v>
      </c>
      <c r="E14" s="5" t="s">
        <v>813</v>
      </c>
      <c r="F14" s="5" t="s">
        <v>1626</v>
      </c>
      <c r="G14" s="5" t="s">
        <v>2530</v>
      </c>
      <c r="H14" s="5" t="n">
        <v>23.167</v>
      </c>
      <c r="I14" s="5" t="n">
        <v>79.95</v>
      </c>
      <c r="J14" s="5" t="s">
        <v>83</v>
      </c>
      <c r="K14" s="5" t="s">
        <v>2505</v>
      </c>
      <c r="L14" s="5" t="s">
        <v>823</v>
      </c>
      <c r="M14" s="5" t="s">
        <v>2522</v>
      </c>
      <c r="N14" s="5" t="s">
        <v>86</v>
      </c>
      <c r="O14" s="5" t="s">
        <v>1666</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693</v>
      </c>
      <c r="AV14" s="5" t="s">
        <v>2506</v>
      </c>
      <c r="AW14" s="5" t="s">
        <v>2507</v>
      </c>
      <c r="AX14" s="5" t="s">
        <v>2531</v>
      </c>
      <c r="AY14" s="5" t="s">
        <v>2509</v>
      </c>
      <c r="AZ14" s="23" t="s">
        <v>2532</v>
      </c>
      <c r="BA14" s="5" t="s">
        <v>828</v>
      </c>
      <c r="BB14" s="5" t="s">
        <v>2511</v>
      </c>
    </row>
    <row r="15" customFormat="false" ht="15" hidden="false" customHeight="true" outlineLevel="0" collapsed="false">
      <c r="A15" s="5" t="s">
        <v>952</v>
      </c>
      <c r="B15" s="5" t="s">
        <v>952</v>
      </c>
      <c r="C15" s="5" t="s">
        <v>953</v>
      </c>
      <c r="D15" s="5" t="n">
        <v>2023</v>
      </c>
      <c r="E15" s="5" t="s">
        <v>954</v>
      </c>
      <c r="F15" s="5" t="s">
        <v>957</v>
      </c>
      <c r="G15" s="5" t="s">
        <v>958</v>
      </c>
      <c r="H15" s="5" t="n">
        <v>35.27</v>
      </c>
      <c r="I15" s="5" t="n">
        <v>119.38</v>
      </c>
      <c r="J15" s="5" t="s">
        <v>891</v>
      </c>
      <c r="K15" s="5" t="n">
        <v>2020</v>
      </c>
      <c r="L15" s="5" t="s">
        <v>842</v>
      </c>
      <c r="M15" s="5"/>
      <c r="N15" s="5" t="s">
        <v>86</v>
      </c>
      <c r="O15" s="5" t="s">
        <v>1685</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693</v>
      </c>
      <c r="AV15" s="5" t="s">
        <v>1686</v>
      </c>
      <c r="AW15" s="5" t="s">
        <v>1908</v>
      </c>
      <c r="AX15" s="5" t="s">
        <v>1688</v>
      </c>
      <c r="AY15" s="5" t="s">
        <v>91</v>
      </c>
      <c r="AZ15" s="23" t="s">
        <v>2533</v>
      </c>
      <c r="BA15" s="5" t="s">
        <v>968</v>
      </c>
      <c r="BB15" s="5" t="s">
        <v>2534</v>
      </c>
    </row>
    <row r="16" customFormat="false" ht="15" hidden="false" customHeight="true" outlineLevel="0" collapsed="false">
      <c r="A16" s="5" t="s">
        <v>952</v>
      </c>
      <c r="B16" s="5" t="s">
        <v>952</v>
      </c>
      <c r="C16" s="5" t="s">
        <v>953</v>
      </c>
      <c r="D16" s="5" t="n">
        <v>2023</v>
      </c>
      <c r="E16" s="5" t="s">
        <v>954</v>
      </c>
      <c r="F16" s="5" t="s">
        <v>957</v>
      </c>
      <c r="G16" s="5" t="s">
        <v>958</v>
      </c>
      <c r="H16" s="5" t="n">
        <v>35.27</v>
      </c>
      <c r="I16" s="5" t="n">
        <v>119.38</v>
      </c>
      <c r="J16" s="5" t="s">
        <v>891</v>
      </c>
      <c r="K16" s="5" t="n">
        <v>2020</v>
      </c>
      <c r="L16" s="5" t="s">
        <v>842</v>
      </c>
      <c r="M16" s="5"/>
      <c r="N16" s="5" t="s">
        <v>1673</v>
      </c>
      <c r="O16" s="5" t="s">
        <v>1694</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693</v>
      </c>
      <c r="AV16" s="5" t="s">
        <v>1686</v>
      </c>
      <c r="AW16" s="5" t="s">
        <v>1908</v>
      </c>
      <c r="AX16" s="5" t="s">
        <v>1688</v>
      </c>
      <c r="AY16" s="5" t="s">
        <v>91</v>
      </c>
      <c r="AZ16" s="23" t="s">
        <v>2533</v>
      </c>
      <c r="BA16" s="5" t="s">
        <v>968</v>
      </c>
      <c r="BB16" s="5" t="s">
        <v>2534</v>
      </c>
    </row>
    <row r="17" customFormat="false" ht="15" hidden="false" customHeight="true" outlineLevel="0" collapsed="false">
      <c r="A17" s="5" t="s">
        <v>952</v>
      </c>
      <c r="B17" s="5" t="s">
        <v>952</v>
      </c>
      <c r="C17" s="5" t="s">
        <v>953</v>
      </c>
      <c r="D17" s="5" t="n">
        <v>2023</v>
      </c>
      <c r="E17" s="5" t="s">
        <v>954</v>
      </c>
      <c r="F17" s="5" t="s">
        <v>957</v>
      </c>
      <c r="G17" s="5" t="s">
        <v>958</v>
      </c>
      <c r="H17" s="5" t="n">
        <v>35.27</v>
      </c>
      <c r="I17" s="5" t="n">
        <v>119.38</v>
      </c>
      <c r="J17" s="5" t="s">
        <v>891</v>
      </c>
      <c r="K17" s="5" t="n">
        <v>2020</v>
      </c>
      <c r="L17" s="5" t="s">
        <v>842</v>
      </c>
      <c r="M17" s="5"/>
      <c r="N17" s="5" t="s">
        <v>1673</v>
      </c>
      <c r="O17" s="5" t="s">
        <v>1696</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693</v>
      </c>
      <c r="AV17" s="5" t="s">
        <v>1686</v>
      </c>
      <c r="AW17" s="5" t="s">
        <v>1908</v>
      </c>
      <c r="AX17" s="5" t="s">
        <v>1688</v>
      </c>
      <c r="AY17" s="5" t="s">
        <v>91</v>
      </c>
      <c r="AZ17" s="23" t="s">
        <v>2533</v>
      </c>
      <c r="BA17" s="5" t="s">
        <v>968</v>
      </c>
      <c r="BB17" s="5" t="s">
        <v>2534</v>
      </c>
    </row>
    <row r="18" customFormat="false" ht="15" hidden="false" customHeight="true" outlineLevel="0" collapsed="false">
      <c r="A18" s="18" t="s">
        <v>908</v>
      </c>
      <c r="B18" s="18" t="s">
        <v>908</v>
      </c>
      <c r="C18" s="18" t="s">
        <v>909</v>
      </c>
      <c r="D18" s="18" t="n">
        <v>2019</v>
      </c>
      <c r="E18" s="18" t="s">
        <v>854</v>
      </c>
      <c r="F18" s="18" t="s">
        <v>912</v>
      </c>
      <c r="G18" s="18" t="s">
        <v>913</v>
      </c>
      <c r="H18" s="18" t="n">
        <v>29.7</v>
      </c>
      <c r="I18" s="18" t="n">
        <v>76.96</v>
      </c>
      <c r="J18" s="18" t="s">
        <v>83</v>
      </c>
      <c r="K18" s="18" t="n">
        <v>2013</v>
      </c>
      <c r="L18" s="18" t="s">
        <v>84</v>
      </c>
      <c r="M18" s="18" t="s">
        <v>85</v>
      </c>
      <c r="N18" s="18" t="s">
        <v>86</v>
      </c>
      <c r="O18" s="18" t="s">
        <v>1666</v>
      </c>
      <c r="P18" s="18" t="n">
        <v>7.5</v>
      </c>
      <c r="Q18" s="18" t="n">
        <v>4.5</v>
      </c>
      <c r="R18" s="18"/>
      <c r="S18" s="18"/>
      <c r="T18" s="18"/>
      <c r="U18" s="18"/>
      <c r="V18" s="18"/>
      <c r="W18" s="18"/>
      <c r="X18" s="18" t="n">
        <v>5.5</v>
      </c>
      <c r="Y18" s="18"/>
      <c r="Z18" s="18"/>
      <c r="AA18" s="18"/>
      <c r="AB18" s="18"/>
      <c r="AC18" s="18"/>
      <c r="AD18" s="18"/>
      <c r="AE18" s="18" t="n">
        <v>1</v>
      </c>
      <c r="AF18" s="18" t="n">
        <v>3</v>
      </c>
      <c r="AG18" s="18" t="n">
        <f aca="false">IF(AND(N(AE18)&gt;0,N(AF18)&gt;0),SQRT(2*AE18/AF18),"")</f>
        <v>0.816496580927726</v>
      </c>
      <c r="AH18" s="18"/>
      <c r="AI18" s="18" t="n">
        <v>2</v>
      </c>
      <c r="AJ18" s="18" t="n">
        <v>42.5</v>
      </c>
      <c r="AK18" s="18" t="n">
        <v>700</v>
      </c>
      <c r="AL18" s="18" t="n">
        <v>29.7</v>
      </c>
      <c r="AM18" s="18" t="n">
        <v>4</v>
      </c>
      <c r="AN18" s="18"/>
      <c r="AO18" s="18"/>
      <c r="AP18" s="18"/>
      <c r="AQ18" s="18"/>
      <c r="AR18" s="18"/>
      <c r="AS18" s="18"/>
      <c r="AT18" s="18"/>
      <c r="AU18" s="18" t="s">
        <v>2535</v>
      </c>
      <c r="AV18" s="18" t="s">
        <v>1913</v>
      </c>
      <c r="AW18" s="18" t="s">
        <v>1914</v>
      </c>
      <c r="AX18" s="18" t="s">
        <v>1915</v>
      </c>
      <c r="AY18" s="18" t="s">
        <v>1725</v>
      </c>
      <c r="AZ18" s="32" t="s">
        <v>2536</v>
      </c>
      <c r="BA18" s="18" t="s">
        <v>922</v>
      </c>
      <c r="BB18" s="18" t="s">
        <v>2537</v>
      </c>
    </row>
    <row r="19" customFormat="false" ht="15" hidden="false" customHeight="true" outlineLevel="0" collapsed="false">
      <c r="A19" s="18" t="s">
        <v>908</v>
      </c>
      <c r="B19" s="18" t="s">
        <v>908</v>
      </c>
      <c r="C19" s="18" t="s">
        <v>909</v>
      </c>
      <c r="D19" s="18" t="n">
        <v>2019</v>
      </c>
      <c r="E19" s="18" t="s">
        <v>854</v>
      </c>
      <c r="F19" s="18" t="s">
        <v>912</v>
      </c>
      <c r="G19" s="18" t="s">
        <v>913</v>
      </c>
      <c r="H19" s="18" t="n">
        <v>29.7</v>
      </c>
      <c r="I19" s="18" t="n">
        <v>76.96</v>
      </c>
      <c r="J19" s="18" t="s">
        <v>83</v>
      </c>
      <c r="K19" s="18" t="n">
        <v>2013</v>
      </c>
      <c r="L19" s="18" t="s">
        <v>84</v>
      </c>
      <c r="M19" s="18" t="s">
        <v>85</v>
      </c>
      <c r="N19" s="18" t="s">
        <v>1673</v>
      </c>
      <c r="O19" s="18" t="s">
        <v>1674</v>
      </c>
      <c r="P19" s="18" t="n">
        <v>3.6</v>
      </c>
      <c r="Q19" s="18" t="n">
        <v>3.5</v>
      </c>
      <c r="R19" s="18"/>
      <c r="S19" s="18"/>
      <c r="T19" s="18"/>
      <c r="U19" s="18"/>
      <c r="V19" s="18"/>
      <c r="W19" s="18"/>
      <c r="X19" s="18" t="n">
        <v>4.9</v>
      </c>
      <c r="Y19" s="18"/>
      <c r="Z19" s="18"/>
      <c r="AA19" s="18"/>
      <c r="AB19" s="18"/>
      <c r="AC19" s="18"/>
      <c r="AD19" s="18"/>
      <c r="AE19" s="18" t="n">
        <v>1</v>
      </c>
      <c r="AF19" s="18" t="n">
        <v>3</v>
      </c>
      <c r="AG19" s="18" t="n">
        <f aca="false">IF(AND(N(AE19)&gt;0,N(AF19)&gt;0),SQRT(2*AE19/AF19),"")</f>
        <v>0.816496580927726</v>
      </c>
      <c r="AH19" s="18"/>
      <c r="AI19" s="18" t="n">
        <v>2</v>
      </c>
      <c r="AJ19" s="18" t="n">
        <v>42.5</v>
      </c>
      <c r="AK19" s="18" t="n">
        <v>700</v>
      </c>
      <c r="AL19" s="18" t="n">
        <v>29.7</v>
      </c>
      <c r="AM19" s="18" t="n">
        <v>4</v>
      </c>
      <c r="AN19" s="18"/>
      <c r="AO19" s="18"/>
      <c r="AP19" s="18"/>
      <c r="AQ19" s="18"/>
      <c r="AR19" s="18"/>
      <c r="AS19" s="18"/>
      <c r="AT19" s="18"/>
      <c r="AU19" s="18" t="s">
        <v>2535</v>
      </c>
      <c r="AV19" s="18" t="s">
        <v>1913</v>
      </c>
      <c r="AW19" s="18" t="s">
        <v>1914</v>
      </c>
      <c r="AX19" s="18" t="s">
        <v>1915</v>
      </c>
      <c r="AY19" s="18" t="s">
        <v>1725</v>
      </c>
      <c r="AZ19" s="32" t="s">
        <v>2536</v>
      </c>
      <c r="BA19" s="18" t="s">
        <v>922</v>
      </c>
      <c r="BB19" s="18" t="s">
        <v>2537</v>
      </c>
    </row>
    <row r="20" customFormat="false" ht="14.25" hidden="false" customHeight="true" outlineLevel="0" collapsed="false">
      <c r="A20" s="18" t="s">
        <v>908</v>
      </c>
      <c r="B20" s="18" t="s">
        <v>908</v>
      </c>
      <c r="C20" s="18" t="s">
        <v>909</v>
      </c>
      <c r="D20" s="18" t="n">
        <v>2019</v>
      </c>
      <c r="E20" s="18" t="s">
        <v>854</v>
      </c>
      <c r="F20" s="18" t="s">
        <v>912</v>
      </c>
      <c r="G20" s="18" t="s">
        <v>913</v>
      </c>
      <c r="H20" s="18" t="n">
        <v>29.7</v>
      </c>
      <c r="I20" s="18" t="n">
        <v>76.96</v>
      </c>
      <c r="J20" s="18" t="s">
        <v>83</v>
      </c>
      <c r="K20" s="18" t="n">
        <v>2015</v>
      </c>
      <c r="L20" s="18" t="s">
        <v>84</v>
      </c>
      <c r="M20" s="18" t="s">
        <v>85</v>
      </c>
      <c r="N20" s="18" t="s">
        <v>86</v>
      </c>
      <c r="O20" s="18" t="s">
        <v>1666</v>
      </c>
      <c r="P20" s="18" t="n">
        <v>8.1</v>
      </c>
      <c r="Q20" s="18" t="n">
        <v>4.9</v>
      </c>
      <c r="R20" s="18"/>
      <c r="S20" s="18"/>
      <c r="T20" s="18"/>
      <c r="U20" s="18"/>
      <c r="V20" s="18"/>
      <c r="W20" s="18"/>
      <c r="X20" s="18" t="n">
        <v>6.8</v>
      </c>
      <c r="Y20" s="18"/>
      <c r="Z20" s="18"/>
      <c r="AA20" s="18"/>
      <c r="AB20" s="18"/>
      <c r="AC20" s="18"/>
      <c r="AD20" s="18"/>
      <c r="AE20" s="18" t="n">
        <v>1</v>
      </c>
      <c r="AF20" s="18" t="n">
        <v>3</v>
      </c>
      <c r="AG20" s="18" t="n">
        <f aca="false">IF(AND(N(AE20)&gt;0,N(AF20)&gt;0),SQRT(2*AE20/AF20),"")</f>
        <v>0.816496580927726</v>
      </c>
      <c r="AH20" s="18"/>
      <c r="AI20" s="18" t="n">
        <v>2</v>
      </c>
      <c r="AJ20" s="18" t="n">
        <v>42.5</v>
      </c>
      <c r="AK20" s="18" t="n">
        <v>700</v>
      </c>
      <c r="AL20" s="18" t="n">
        <v>29.7</v>
      </c>
      <c r="AM20" s="18" t="n">
        <v>6</v>
      </c>
      <c r="AN20" s="18"/>
      <c r="AO20" s="18"/>
      <c r="AP20" s="18"/>
      <c r="AQ20" s="18"/>
      <c r="AR20" s="18"/>
      <c r="AS20" s="18"/>
      <c r="AT20" s="18"/>
      <c r="AU20" s="18" t="s">
        <v>2535</v>
      </c>
      <c r="AV20" s="18" t="s">
        <v>1913</v>
      </c>
      <c r="AW20" s="18" t="s">
        <v>1919</v>
      </c>
      <c r="AX20" s="18" t="s">
        <v>1915</v>
      </c>
      <c r="AY20" s="18" t="s">
        <v>1725</v>
      </c>
      <c r="AZ20" s="32" t="s">
        <v>2538</v>
      </c>
      <c r="BA20" s="18" t="s">
        <v>922</v>
      </c>
      <c r="BB20" s="18" t="s">
        <v>2537</v>
      </c>
    </row>
    <row r="21" customFormat="false" ht="14.25" hidden="false" customHeight="true" outlineLevel="0" collapsed="false">
      <c r="A21" s="18" t="s">
        <v>908</v>
      </c>
      <c r="B21" s="18" t="s">
        <v>908</v>
      </c>
      <c r="C21" s="18" t="s">
        <v>909</v>
      </c>
      <c r="D21" s="18" t="n">
        <v>2019</v>
      </c>
      <c r="E21" s="18" t="s">
        <v>854</v>
      </c>
      <c r="F21" s="18" t="s">
        <v>912</v>
      </c>
      <c r="G21" s="18" t="s">
        <v>913</v>
      </c>
      <c r="H21" s="18" t="n">
        <v>29.7</v>
      </c>
      <c r="I21" s="18" t="n">
        <v>76.96</v>
      </c>
      <c r="J21" s="18" t="s">
        <v>83</v>
      </c>
      <c r="K21" s="18" t="n">
        <v>2015</v>
      </c>
      <c r="L21" s="18" t="s">
        <v>84</v>
      </c>
      <c r="M21" s="18" t="s">
        <v>85</v>
      </c>
      <c r="N21" s="18" t="s">
        <v>1673</v>
      </c>
      <c r="O21" s="18" t="s">
        <v>1674</v>
      </c>
      <c r="P21" s="18" t="n">
        <v>4</v>
      </c>
      <c r="Q21" s="18" t="n">
        <v>4.4</v>
      </c>
      <c r="R21" s="18"/>
      <c r="S21" s="18"/>
      <c r="T21" s="18"/>
      <c r="U21" s="18"/>
      <c r="V21" s="18"/>
      <c r="W21" s="18"/>
      <c r="X21" s="18" t="n">
        <v>5.5</v>
      </c>
      <c r="Y21" s="18"/>
      <c r="Z21" s="18"/>
      <c r="AA21" s="18"/>
      <c r="AB21" s="18"/>
      <c r="AC21" s="18"/>
      <c r="AD21" s="18"/>
      <c r="AE21" s="18" t="n">
        <v>1</v>
      </c>
      <c r="AF21" s="18" t="n">
        <v>3</v>
      </c>
      <c r="AG21" s="18" t="n">
        <f aca="false">IF(AND(N(AE21)&gt;0,N(AF21)&gt;0),SQRT(2*AE21/AF21),"")</f>
        <v>0.816496580927726</v>
      </c>
      <c r="AH21" s="18"/>
      <c r="AI21" s="18" t="n">
        <v>2</v>
      </c>
      <c r="AJ21" s="18" t="n">
        <v>42.5</v>
      </c>
      <c r="AK21" s="18" t="n">
        <v>700</v>
      </c>
      <c r="AL21" s="18" t="n">
        <v>29.7</v>
      </c>
      <c r="AM21" s="18" t="n">
        <v>6</v>
      </c>
      <c r="AN21" s="18"/>
      <c r="AO21" s="18"/>
      <c r="AP21" s="18"/>
      <c r="AQ21" s="18"/>
      <c r="AR21" s="18"/>
      <c r="AS21" s="18"/>
      <c r="AT21" s="18"/>
      <c r="AU21" s="18" t="s">
        <v>2535</v>
      </c>
      <c r="AV21" s="18" t="s">
        <v>1913</v>
      </c>
      <c r="AW21" s="18" t="s">
        <v>1919</v>
      </c>
      <c r="AX21" s="18" t="s">
        <v>1915</v>
      </c>
      <c r="AY21" s="18" t="s">
        <v>1725</v>
      </c>
      <c r="AZ21" s="32" t="s">
        <v>2538</v>
      </c>
      <c r="BA21" s="18" t="s">
        <v>922</v>
      </c>
      <c r="BB21" s="18" t="s">
        <v>2537</v>
      </c>
    </row>
    <row r="22" customFormat="false" ht="14.25" hidden="false" customHeight="true" outlineLevel="0" collapsed="false">
      <c r="A22" s="18" t="s">
        <v>935</v>
      </c>
      <c r="B22" s="18" t="s">
        <v>935</v>
      </c>
      <c r="C22" s="18" t="s">
        <v>936</v>
      </c>
      <c r="D22" s="18" t="n">
        <v>2020</v>
      </c>
      <c r="E22" s="18" t="s">
        <v>937</v>
      </c>
      <c r="F22" s="18" t="s">
        <v>836</v>
      </c>
      <c r="G22" s="18" t="s">
        <v>940</v>
      </c>
      <c r="H22" s="18" t="n">
        <v>28.4</v>
      </c>
      <c r="I22" s="18" t="n">
        <v>77.1</v>
      </c>
      <c r="J22" s="18" t="s">
        <v>83</v>
      </c>
      <c r="K22" s="18" t="s">
        <v>1698</v>
      </c>
      <c r="L22" s="18" t="s">
        <v>823</v>
      </c>
      <c r="M22" s="18" t="s">
        <v>85</v>
      </c>
      <c r="N22" s="18" t="s">
        <v>86</v>
      </c>
      <c r="O22" s="18" t="s">
        <v>1666</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693</v>
      </c>
      <c r="AV22" s="18" t="s">
        <v>1699</v>
      </c>
      <c r="AW22" s="18" t="s">
        <v>1700</v>
      </c>
      <c r="AX22" s="18" t="s">
        <v>1701</v>
      </c>
      <c r="AY22" s="18" t="s">
        <v>1670</v>
      </c>
      <c r="AZ22" s="32" t="s">
        <v>2539</v>
      </c>
      <c r="BA22" s="18" t="s">
        <v>949</v>
      </c>
      <c r="BB22" s="18" t="s">
        <v>2540</v>
      </c>
    </row>
    <row r="23" customFormat="false" ht="14.25" hidden="false" customHeight="true" outlineLevel="0" collapsed="false">
      <c r="A23" s="18" t="s">
        <v>935</v>
      </c>
      <c r="B23" s="18" t="s">
        <v>935</v>
      </c>
      <c r="C23" s="18" t="s">
        <v>936</v>
      </c>
      <c r="D23" s="18" t="n">
        <v>2020</v>
      </c>
      <c r="E23" s="18" t="s">
        <v>937</v>
      </c>
      <c r="F23" s="18" t="s">
        <v>836</v>
      </c>
      <c r="G23" s="18" t="s">
        <v>940</v>
      </c>
      <c r="H23" s="18" t="n">
        <v>28.4</v>
      </c>
      <c r="I23" s="18" t="n">
        <v>77.1</v>
      </c>
      <c r="J23" s="18" t="s">
        <v>83</v>
      </c>
      <c r="K23" s="18" t="s">
        <v>1698</v>
      </c>
      <c r="L23" s="18" t="s">
        <v>823</v>
      </c>
      <c r="M23" s="18" t="s">
        <v>85</v>
      </c>
      <c r="N23" s="18" t="s">
        <v>86</v>
      </c>
      <c r="O23" s="18" t="s">
        <v>1666</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693</v>
      </c>
      <c r="AV23" s="18" t="s">
        <v>1705</v>
      </c>
      <c r="AW23" s="18" t="s">
        <v>1700</v>
      </c>
      <c r="AX23" s="18" t="s">
        <v>1701</v>
      </c>
      <c r="AY23" s="18" t="s">
        <v>1670</v>
      </c>
      <c r="AZ23" s="32" t="s">
        <v>2541</v>
      </c>
      <c r="BA23" s="18" t="s">
        <v>949</v>
      </c>
      <c r="BB23" s="18" t="s">
        <v>2540</v>
      </c>
    </row>
    <row r="24" customFormat="false" ht="14.25" hidden="false" customHeight="true" outlineLevel="0" collapsed="false">
      <c r="A24" s="18" t="s">
        <v>935</v>
      </c>
      <c r="B24" s="18" t="s">
        <v>935</v>
      </c>
      <c r="C24" s="18" t="s">
        <v>936</v>
      </c>
      <c r="D24" s="18" t="n">
        <v>2020</v>
      </c>
      <c r="E24" s="18" t="s">
        <v>937</v>
      </c>
      <c r="F24" s="18" t="s">
        <v>836</v>
      </c>
      <c r="G24" s="18" t="s">
        <v>940</v>
      </c>
      <c r="H24" s="18" t="n">
        <v>28.4</v>
      </c>
      <c r="I24" s="18" t="n">
        <v>77.1</v>
      </c>
      <c r="J24" s="18" t="s">
        <v>83</v>
      </c>
      <c r="K24" s="18" t="s">
        <v>1698</v>
      </c>
      <c r="L24" s="18" t="s">
        <v>823</v>
      </c>
      <c r="M24" s="18" t="s">
        <v>85</v>
      </c>
      <c r="N24" s="18" t="s">
        <v>86</v>
      </c>
      <c r="O24" s="18" t="s">
        <v>1666</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693</v>
      </c>
      <c r="AV24" s="18" t="s">
        <v>1707</v>
      </c>
      <c r="AW24" s="18" t="s">
        <v>1700</v>
      </c>
      <c r="AX24" s="18" t="s">
        <v>1701</v>
      </c>
      <c r="AY24" s="18" t="s">
        <v>1670</v>
      </c>
      <c r="AZ24" s="32" t="s">
        <v>2542</v>
      </c>
      <c r="BA24" s="18" t="s">
        <v>949</v>
      </c>
      <c r="BB24" s="18" t="s">
        <v>2540</v>
      </c>
    </row>
    <row r="25" customFormat="false" ht="14.25" hidden="false" customHeight="true" outlineLevel="0" collapsed="false">
      <c r="A25" s="18" t="s">
        <v>935</v>
      </c>
      <c r="B25" s="18" t="s">
        <v>935</v>
      </c>
      <c r="C25" s="18" t="s">
        <v>936</v>
      </c>
      <c r="D25" s="18" t="n">
        <v>2020</v>
      </c>
      <c r="E25" s="18" t="s">
        <v>937</v>
      </c>
      <c r="F25" s="18" t="s">
        <v>836</v>
      </c>
      <c r="G25" s="18" t="s">
        <v>940</v>
      </c>
      <c r="H25" s="18" t="n">
        <v>28.4</v>
      </c>
      <c r="I25" s="18" t="n">
        <v>77.1</v>
      </c>
      <c r="J25" s="18" t="s">
        <v>83</v>
      </c>
      <c r="K25" s="18" t="s">
        <v>1698</v>
      </c>
      <c r="L25" s="18" t="s">
        <v>823</v>
      </c>
      <c r="M25" s="18" t="s">
        <v>85</v>
      </c>
      <c r="N25" s="18" t="s">
        <v>86</v>
      </c>
      <c r="O25" s="18" t="s">
        <v>1666</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693</v>
      </c>
      <c r="AV25" s="18" t="s">
        <v>1709</v>
      </c>
      <c r="AW25" s="18" t="s">
        <v>1700</v>
      </c>
      <c r="AX25" s="18" t="s">
        <v>1701</v>
      </c>
      <c r="AY25" s="18" t="s">
        <v>1670</v>
      </c>
      <c r="AZ25" s="32" t="s">
        <v>2543</v>
      </c>
      <c r="BA25" s="18" t="s">
        <v>949</v>
      </c>
      <c r="BB25" s="18" t="s">
        <v>2540</v>
      </c>
    </row>
    <row r="26" customFormat="false" ht="14.25" hidden="false" customHeight="true" outlineLevel="0" collapsed="false">
      <c r="A26" s="18" t="s">
        <v>935</v>
      </c>
      <c r="B26" s="18" t="s">
        <v>935</v>
      </c>
      <c r="C26" s="18" t="s">
        <v>936</v>
      </c>
      <c r="D26" s="18" t="n">
        <v>2020</v>
      </c>
      <c r="E26" s="18" t="s">
        <v>937</v>
      </c>
      <c r="F26" s="18" t="s">
        <v>836</v>
      </c>
      <c r="G26" s="18" t="s">
        <v>940</v>
      </c>
      <c r="H26" s="18" t="n">
        <v>28.4</v>
      </c>
      <c r="I26" s="18" t="n">
        <v>77.1</v>
      </c>
      <c r="J26" s="18" t="s">
        <v>83</v>
      </c>
      <c r="K26" s="18" t="s">
        <v>1698</v>
      </c>
      <c r="L26" s="18" t="s">
        <v>823</v>
      </c>
      <c r="M26" s="18" t="s">
        <v>85</v>
      </c>
      <c r="N26" s="18" t="s">
        <v>86</v>
      </c>
      <c r="O26" s="18" t="s">
        <v>1666</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693</v>
      </c>
      <c r="AV26" s="18" t="s">
        <v>1711</v>
      </c>
      <c r="AW26" s="18" t="s">
        <v>1700</v>
      </c>
      <c r="AX26" s="18" t="s">
        <v>1701</v>
      </c>
      <c r="AY26" s="18" t="s">
        <v>1670</v>
      </c>
      <c r="AZ26" s="32" t="s">
        <v>2544</v>
      </c>
      <c r="BA26" s="18" t="s">
        <v>949</v>
      </c>
      <c r="BB26" s="18" t="s">
        <v>2540</v>
      </c>
    </row>
    <row r="27" customFormat="false" ht="14.25" hidden="false" customHeight="true" outlineLevel="0" collapsed="false">
      <c r="A27" s="18" t="s">
        <v>935</v>
      </c>
      <c r="B27" s="18" t="s">
        <v>935</v>
      </c>
      <c r="C27" s="18" t="s">
        <v>936</v>
      </c>
      <c r="D27" s="18" t="n">
        <v>2020</v>
      </c>
      <c r="E27" s="18" t="s">
        <v>937</v>
      </c>
      <c r="F27" s="18" t="s">
        <v>836</v>
      </c>
      <c r="G27" s="18" t="s">
        <v>940</v>
      </c>
      <c r="H27" s="18" t="n">
        <v>28.4</v>
      </c>
      <c r="I27" s="18" t="n">
        <v>77.1</v>
      </c>
      <c r="J27" s="18" t="s">
        <v>83</v>
      </c>
      <c r="K27" s="18" t="s">
        <v>1698</v>
      </c>
      <c r="L27" s="18" t="s">
        <v>823</v>
      </c>
      <c r="M27" s="18" t="s">
        <v>85</v>
      </c>
      <c r="N27" s="18" t="s">
        <v>86</v>
      </c>
      <c r="O27" s="18" t="s">
        <v>1666</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693</v>
      </c>
      <c r="AV27" s="18" t="s">
        <v>1713</v>
      </c>
      <c r="AW27" s="18" t="s">
        <v>1700</v>
      </c>
      <c r="AX27" s="18" t="s">
        <v>1701</v>
      </c>
      <c r="AY27" s="18" t="s">
        <v>1670</v>
      </c>
      <c r="AZ27" s="32" t="s">
        <v>2545</v>
      </c>
      <c r="BA27" s="18" t="s">
        <v>949</v>
      </c>
      <c r="BB27" s="18" t="s">
        <v>2540</v>
      </c>
    </row>
    <row r="28" customFormat="false" ht="14.25" hidden="false" customHeight="true" outlineLevel="0" collapsed="false">
      <c r="A28" s="18" t="s">
        <v>935</v>
      </c>
      <c r="B28" s="18" t="s">
        <v>935</v>
      </c>
      <c r="C28" s="18" t="s">
        <v>936</v>
      </c>
      <c r="D28" s="18" t="n">
        <v>2020</v>
      </c>
      <c r="E28" s="18" t="s">
        <v>937</v>
      </c>
      <c r="F28" s="18" t="s">
        <v>836</v>
      </c>
      <c r="G28" s="18" t="s">
        <v>940</v>
      </c>
      <c r="H28" s="18" t="n">
        <v>28.4</v>
      </c>
      <c r="I28" s="18" t="n">
        <v>77.1</v>
      </c>
      <c r="J28" s="18" t="s">
        <v>83</v>
      </c>
      <c r="K28" s="18" t="s">
        <v>1698</v>
      </c>
      <c r="L28" s="18" t="s">
        <v>823</v>
      </c>
      <c r="M28" s="18" t="s">
        <v>85</v>
      </c>
      <c r="N28" s="18" t="s">
        <v>86</v>
      </c>
      <c r="O28" s="18" t="s">
        <v>1666</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693</v>
      </c>
      <c r="AV28" s="18" t="s">
        <v>1715</v>
      </c>
      <c r="AW28" s="18" t="s">
        <v>1700</v>
      </c>
      <c r="AX28" s="18" t="s">
        <v>1701</v>
      </c>
      <c r="AY28" s="18" t="s">
        <v>1670</v>
      </c>
      <c r="AZ28" s="32" t="s">
        <v>2546</v>
      </c>
      <c r="BA28" s="18" t="s">
        <v>949</v>
      </c>
      <c r="BB28" s="18" t="s">
        <v>2540</v>
      </c>
    </row>
    <row r="29" customFormat="false" ht="14.25" hidden="false" customHeight="true" outlineLevel="0" collapsed="false">
      <c r="A29" s="18" t="s">
        <v>935</v>
      </c>
      <c r="B29" s="18" t="s">
        <v>935</v>
      </c>
      <c r="C29" s="18" t="s">
        <v>936</v>
      </c>
      <c r="D29" s="18" t="n">
        <v>2020</v>
      </c>
      <c r="E29" s="18" t="s">
        <v>937</v>
      </c>
      <c r="F29" s="18" t="s">
        <v>836</v>
      </c>
      <c r="G29" s="18" t="s">
        <v>940</v>
      </c>
      <c r="H29" s="18" t="n">
        <v>28.4</v>
      </c>
      <c r="I29" s="18" t="n">
        <v>77.1</v>
      </c>
      <c r="J29" s="18" t="s">
        <v>83</v>
      </c>
      <c r="K29" s="18" t="s">
        <v>1698</v>
      </c>
      <c r="L29" s="18" t="s">
        <v>823</v>
      </c>
      <c r="M29" s="18" t="s">
        <v>85</v>
      </c>
      <c r="N29" s="18" t="s">
        <v>86</v>
      </c>
      <c r="O29" s="18" t="s">
        <v>1666</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693</v>
      </c>
      <c r="AV29" s="18" t="s">
        <v>1717</v>
      </c>
      <c r="AW29" s="18" t="s">
        <v>1700</v>
      </c>
      <c r="AX29" s="18" t="s">
        <v>1701</v>
      </c>
      <c r="AY29" s="18" t="s">
        <v>1670</v>
      </c>
      <c r="AZ29" s="32" t="s">
        <v>2547</v>
      </c>
      <c r="BA29" s="18" t="s">
        <v>949</v>
      </c>
      <c r="BB29" s="18" t="s">
        <v>2540</v>
      </c>
    </row>
    <row r="30" customFormat="false" ht="14.25" hidden="false" customHeight="false" outlineLevel="0" collapsed="false">
      <c r="A30" s="24" t="s">
        <v>988</v>
      </c>
      <c r="B30" s="24" t="s">
        <v>988</v>
      </c>
      <c r="C30" s="24" t="s">
        <v>989</v>
      </c>
      <c r="D30" s="24" t="n">
        <v>2011</v>
      </c>
      <c r="E30" s="24" t="s">
        <v>990</v>
      </c>
      <c r="F30" s="24" t="s">
        <v>857</v>
      </c>
      <c r="G30" s="24" t="s">
        <v>993</v>
      </c>
      <c r="H30" s="24" t="n">
        <v>29.017</v>
      </c>
      <c r="I30" s="24" t="n">
        <v>77.75</v>
      </c>
      <c r="J30" s="24" t="s">
        <v>83</v>
      </c>
      <c r="K30" s="24" t="s">
        <v>1931</v>
      </c>
      <c r="L30" s="24" t="s">
        <v>84</v>
      </c>
      <c r="M30" s="24" t="s">
        <v>85</v>
      </c>
      <c r="N30" s="24" t="s">
        <v>86</v>
      </c>
      <c r="O30" s="24" t="s">
        <v>1666</v>
      </c>
      <c r="P30" s="24"/>
      <c r="Q30" s="24" t="n">
        <f aca="false">0.55*10</f>
        <v>5.5</v>
      </c>
      <c r="R30" s="24" t="n">
        <f aca="false">0.67*10</f>
        <v>6.7</v>
      </c>
      <c r="S30" s="24"/>
      <c r="T30" s="24"/>
      <c r="U30" s="24" t="n">
        <f aca="false">0.59*10</f>
        <v>5.9</v>
      </c>
      <c r="V30" s="24"/>
      <c r="W30" s="24"/>
      <c r="X30" s="24"/>
      <c r="Y30" s="24" t="n">
        <f aca="false">0.55*10</f>
        <v>5.5</v>
      </c>
      <c r="Z30" s="24"/>
      <c r="AA30" s="24"/>
      <c r="AB30" s="24"/>
      <c r="AC30" s="24"/>
      <c r="AD30" s="24"/>
      <c r="AE30" s="24" t="n">
        <v>2</v>
      </c>
      <c r="AF30" s="24" t="n">
        <v>3</v>
      </c>
      <c r="AG30" s="24" t="n">
        <f aca="false">IF(AND(N(AE30)&gt;0,N(AF30)&gt;0),SQRT(2*AE30/AF30),"")</f>
        <v>1.15470053837925</v>
      </c>
      <c r="AH30" s="24" t="n">
        <v>19</v>
      </c>
      <c r="AI30" s="24" t="n">
        <v>2</v>
      </c>
      <c r="AJ30" s="24" t="n">
        <v>43</v>
      </c>
      <c r="AK30" s="24" t="n">
        <v>800</v>
      </c>
      <c r="AL30" s="24" t="n">
        <v>29.017</v>
      </c>
      <c r="AM30" s="24" t="n">
        <v>7</v>
      </c>
      <c r="AN30" s="24"/>
      <c r="AO30" s="24"/>
      <c r="AP30" s="24" t="n">
        <v>8.1</v>
      </c>
      <c r="AQ30" s="24"/>
      <c r="AR30" s="24"/>
      <c r="AS30" s="24" t="n">
        <v>55</v>
      </c>
      <c r="AT30" s="24" t="n">
        <v>26</v>
      </c>
      <c r="AU30" s="24" t="s">
        <v>2548</v>
      </c>
      <c r="AV30" s="24" t="s">
        <v>1722</v>
      </c>
      <c r="AW30" s="24" t="s">
        <v>2549</v>
      </c>
      <c r="AX30" s="24" t="s">
        <v>1724</v>
      </c>
      <c r="AY30" s="24" t="s">
        <v>2550</v>
      </c>
      <c r="AZ30" s="25" t="s">
        <v>2551</v>
      </c>
      <c r="BA30" s="24" t="s">
        <v>1008</v>
      </c>
      <c r="BB30" s="24" t="s">
        <v>2552</v>
      </c>
    </row>
    <row r="31" customFormat="false" ht="14.25" hidden="false" customHeight="false" outlineLevel="0" collapsed="false">
      <c r="A31" s="24" t="s">
        <v>988</v>
      </c>
      <c r="B31" s="24" t="s">
        <v>988</v>
      </c>
      <c r="C31" s="24" t="s">
        <v>989</v>
      </c>
      <c r="D31" s="24" t="n">
        <v>2011</v>
      </c>
      <c r="E31" s="24" t="s">
        <v>990</v>
      </c>
      <c r="F31" s="24" t="s">
        <v>857</v>
      </c>
      <c r="G31" s="24" t="s">
        <v>993</v>
      </c>
      <c r="H31" s="24" t="n">
        <v>29.017</v>
      </c>
      <c r="I31" s="24" t="n">
        <v>77.75</v>
      </c>
      <c r="J31" s="24" t="s">
        <v>83</v>
      </c>
      <c r="K31" s="24" t="s">
        <v>1931</v>
      </c>
      <c r="L31" s="24" t="s">
        <v>84</v>
      </c>
      <c r="M31" s="24" t="s">
        <v>85</v>
      </c>
      <c r="N31" s="24" t="s">
        <v>86</v>
      </c>
      <c r="O31" s="24" t="s">
        <v>1666</v>
      </c>
      <c r="P31" s="24"/>
      <c r="Q31" s="24" t="n">
        <f aca="false">0.55*10</f>
        <v>5.5</v>
      </c>
      <c r="R31" s="24" t="n">
        <f aca="false">0.62*10</f>
        <v>6.2</v>
      </c>
      <c r="S31" s="24"/>
      <c r="T31" s="24"/>
      <c r="U31" s="24" t="n">
        <f aca="false">0.57*10</f>
        <v>5.7</v>
      </c>
      <c r="V31" s="24"/>
      <c r="W31" s="24"/>
      <c r="X31" s="24"/>
      <c r="Y31" s="24" t="n">
        <f aca="false">0.55*10</f>
        <v>5.5</v>
      </c>
      <c r="Z31" s="24"/>
      <c r="AA31" s="24"/>
      <c r="AB31" s="24"/>
      <c r="AC31" s="24"/>
      <c r="AD31" s="24"/>
      <c r="AE31" s="24" t="n">
        <v>2</v>
      </c>
      <c r="AF31" s="24" t="n">
        <v>3</v>
      </c>
      <c r="AG31" s="24" t="n">
        <f aca="false">IF(AND(N(AE31)&gt;0,N(AF31)&gt;0),SQRT(2*AE31/AF31),"")</f>
        <v>1.15470053837925</v>
      </c>
      <c r="AH31" s="24" t="n">
        <v>19</v>
      </c>
      <c r="AI31" s="24" t="n">
        <v>2</v>
      </c>
      <c r="AJ31" s="24" t="n">
        <v>43</v>
      </c>
      <c r="AK31" s="24" t="n">
        <v>800</v>
      </c>
      <c r="AL31" s="24" t="n">
        <v>29.017</v>
      </c>
      <c r="AM31" s="24" t="n">
        <v>7</v>
      </c>
      <c r="AN31" s="24"/>
      <c r="AO31" s="24"/>
      <c r="AP31" s="24" t="n">
        <v>8.1</v>
      </c>
      <c r="AQ31" s="24"/>
      <c r="AR31" s="24"/>
      <c r="AS31" s="24" t="n">
        <v>55</v>
      </c>
      <c r="AT31" s="24" t="n">
        <v>26</v>
      </c>
      <c r="AU31" s="24" t="s">
        <v>2548</v>
      </c>
      <c r="AV31" s="24" t="s">
        <v>1722</v>
      </c>
      <c r="AW31" s="24" t="s">
        <v>2549</v>
      </c>
      <c r="AX31" s="24" t="s">
        <v>1724</v>
      </c>
      <c r="AY31" s="24" t="s">
        <v>2550</v>
      </c>
      <c r="AZ31" s="25" t="s">
        <v>2553</v>
      </c>
      <c r="BA31" s="24" t="s">
        <v>1008</v>
      </c>
      <c r="BB31" s="24" t="s">
        <v>2552</v>
      </c>
    </row>
    <row r="32" customFormat="false" ht="14.25" hidden="false" customHeight="false" outlineLevel="0" collapsed="false">
      <c r="A32" s="24" t="s">
        <v>1011</v>
      </c>
      <c r="B32" s="24" t="s">
        <v>1011</v>
      </c>
      <c r="C32" s="24" t="s">
        <v>1012</v>
      </c>
      <c r="D32" s="24" t="n">
        <v>2022</v>
      </c>
      <c r="E32" s="24" t="s">
        <v>813</v>
      </c>
      <c r="F32" s="24" t="s">
        <v>1015</v>
      </c>
      <c r="G32" s="24" t="s">
        <v>1016</v>
      </c>
      <c r="H32" s="24" t="n">
        <v>24.724</v>
      </c>
      <c r="I32" s="24" t="n">
        <v>90.437</v>
      </c>
      <c r="J32" s="24" t="s">
        <v>83</v>
      </c>
      <c r="K32" s="24" t="s">
        <v>1734</v>
      </c>
      <c r="L32" s="24" t="s">
        <v>84</v>
      </c>
      <c r="M32" s="24" t="s">
        <v>85</v>
      </c>
      <c r="N32" s="24" t="s">
        <v>86</v>
      </c>
      <c r="O32" s="24" t="s">
        <v>1666</v>
      </c>
      <c r="P32" s="24"/>
      <c r="Q32" s="24"/>
      <c r="R32" s="24"/>
      <c r="S32" s="24"/>
      <c r="T32" s="24" t="n">
        <f aca="false">1.4*10</f>
        <v>14</v>
      </c>
      <c r="U32" s="24"/>
      <c r="V32" s="24" t="n">
        <f aca="false">1.1*10</f>
        <v>11</v>
      </c>
      <c r="W32" s="24"/>
      <c r="X32" s="24"/>
      <c r="Y32" s="24"/>
      <c r="Z32" s="24"/>
      <c r="AA32" s="24"/>
      <c r="AB32" s="24"/>
      <c r="AC32" s="24"/>
      <c r="AD32" s="24"/>
      <c r="AE32" s="24" t="n">
        <v>2</v>
      </c>
      <c r="AF32" s="24" t="n">
        <v>3</v>
      </c>
      <c r="AG32" s="24" t="n">
        <f aca="false">IF(AND(N(AE32)&gt;0,N(AF32)&gt;0),SQRT(2*AE32/AF32),"")</f>
        <v>1.15470053837925</v>
      </c>
      <c r="AH32" s="24" t="n">
        <v>13</v>
      </c>
      <c r="AI32" s="24"/>
      <c r="AJ32" s="24"/>
      <c r="AK32" s="24" t="n">
        <v>2400</v>
      </c>
      <c r="AL32" s="24" t="n">
        <v>24.724</v>
      </c>
      <c r="AM32" s="24" t="n">
        <v>8</v>
      </c>
      <c r="AN32" s="24"/>
      <c r="AO32" s="24"/>
      <c r="AP32" s="24" t="n">
        <v>6.92</v>
      </c>
      <c r="AQ32" s="24" t="n">
        <v>13.2</v>
      </c>
      <c r="AR32" s="24" t="n">
        <v>1.58</v>
      </c>
      <c r="AS32" s="24" t="n">
        <v>11</v>
      </c>
      <c r="AT32" s="24" t="n">
        <v>76</v>
      </c>
      <c r="AU32" s="24" t="s">
        <v>2548</v>
      </c>
      <c r="AV32" s="24" t="s">
        <v>1735</v>
      </c>
      <c r="AW32" s="24" t="s">
        <v>1736</v>
      </c>
      <c r="AX32" s="24" t="s">
        <v>1737</v>
      </c>
      <c r="AY32" s="24" t="s">
        <v>2554</v>
      </c>
      <c r="AZ32" s="25" t="s">
        <v>1739</v>
      </c>
      <c r="BA32" s="24" t="s">
        <v>1030</v>
      </c>
      <c r="BB32" s="24" t="s">
        <v>2495</v>
      </c>
    </row>
    <row r="33" customFormat="false" ht="14.25" hidden="false" customHeight="false" outlineLevel="0" collapsed="false">
      <c r="A33" s="24" t="s">
        <v>1011</v>
      </c>
      <c r="B33" s="24" t="s">
        <v>1011</v>
      </c>
      <c r="C33" s="24" t="s">
        <v>1012</v>
      </c>
      <c r="D33" s="24" t="n">
        <v>2022</v>
      </c>
      <c r="E33" s="24" t="s">
        <v>813</v>
      </c>
      <c r="F33" s="24" t="s">
        <v>1015</v>
      </c>
      <c r="G33" s="24" t="s">
        <v>1016</v>
      </c>
      <c r="H33" s="24" t="n">
        <v>24.724</v>
      </c>
      <c r="I33" s="24" t="n">
        <v>90.437</v>
      </c>
      <c r="J33" s="24" t="s">
        <v>83</v>
      </c>
      <c r="K33" s="24" t="s">
        <v>1734</v>
      </c>
      <c r="L33" s="24" t="s">
        <v>84</v>
      </c>
      <c r="M33" s="24" t="s">
        <v>85</v>
      </c>
      <c r="N33" s="24" t="s">
        <v>86</v>
      </c>
      <c r="O33" s="24" t="s">
        <v>1666</v>
      </c>
      <c r="P33" s="24"/>
      <c r="Q33" s="24"/>
      <c r="R33" s="24"/>
      <c r="S33" s="24"/>
      <c r="T33" s="24" t="n">
        <f aca="false">1.6*10</f>
        <v>16</v>
      </c>
      <c r="U33" s="24"/>
      <c r="V33" s="24" t="n">
        <f aca="false">1.4*10</f>
        <v>14</v>
      </c>
      <c r="W33" s="24"/>
      <c r="X33" s="24"/>
      <c r="Y33" s="24"/>
      <c r="Z33" s="24"/>
      <c r="AA33" s="24"/>
      <c r="AB33" s="24"/>
      <c r="AC33" s="24"/>
      <c r="AD33" s="24"/>
      <c r="AE33" s="24" t="n">
        <v>2</v>
      </c>
      <c r="AF33" s="24" t="n">
        <v>3</v>
      </c>
      <c r="AG33" s="24" t="n">
        <f aca="false">IF(AND(N(AE33)&gt;0,N(AF33)&gt;0),SQRT(2*AE33/AF33),"")</f>
        <v>1.15470053837925</v>
      </c>
      <c r="AH33" s="24" t="n">
        <v>13</v>
      </c>
      <c r="AI33" s="24"/>
      <c r="AJ33" s="24"/>
      <c r="AK33" s="24" t="n">
        <v>2400</v>
      </c>
      <c r="AL33" s="24" t="n">
        <v>24.724</v>
      </c>
      <c r="AM33" s="24" t="n">
        <v>8</v>
      </c>
      <c r="AN33" s="24"/>
      <c r="AO33" s="24"/>
      <c r="AP33" s="24" t="n">
        <v>6.92</v>
      </c>
      <c r="AQ33" s="24" t="n">
        <v>13.2</v>
      </c>
      <c r="AR33" s="24" t="n">
        <v>1.58</v>
      </c>
      <c r="AS33" s="24" t="n">
        <v>11</v>
      </c>
      <c r="AT33" s="24" t="n">
        <v>76</v>
      </c>
      <c r="AU33" s="24" t="s">
        <v>2548</v>
      </c>
      <c r="AV33" s="24" t="s">
        <v>1735</v>
      </c>
      <c r="AW33" s="24" t="s">
        <v>1736</v>
      </c>
      <c r="AX33" s="24" t="s">
        <v>1737</v>
      </c>
      <c r="AY33" s="24" t="s">
        <v>2554</v>
      </c>
      <c r="AZ33" s="25" t="s">
        <v>1741</v>
      </c>
      <c r="BA33" s="24" t="s">
        <v>1030</v>
      </c>
      <c r="BB33" s="24" t="s">
        <v>2495</v>
      </c>
    </row>
    <row r="34" customFormat="false" ht="14.25" hidden="false" customHeight="false" outlineLevel="0" collapsed="false">
      <c r="A34" s="24" t="s">
        <v>1034</v>
      </c>
      <c r="B34" s="24" t="s">
        <v>1034</v>
      </c>
      <c r="C34" s="24" t="s">
        <v>1035</v>
      </c>
      <c r="D34" s="24" t="n">
        <v>2022</v>
      </c>
      <c r="E34" s="24" t="s">
        <v>80</v>
      </c>
      <c r="F34" s="24" t="s">
        <v>912</v>
      </c>
      <c r="G34" s="24" t="s">
        <v>913</v>
      </c>
      <c r="H34" s="24" t="n">
        <v>29.706</v>
      </c>
      <c r="I34" s="24" t="n">
        <v>76.956</v>
      </c>
      <c r="J34" s="24" t="s">
        <v>83</v>
      </c>
      <c r="K34" s="24" t="n">
        <v>2019</v>
      </c>
      <c r="L34" s="24" t="s">
        <v>84</v>
      </c>
      <c r="M34" s="24" t="s">
        <v>85</v>
      </c>
      <c r="N34" s="24" t="s">
        <v>86</v>
      </c>
      <c r="O34" s="24" t="s">
        <v>1720</v>
      </c>
      <c r="P34" s="24" t="n">
        <v>9.9</v>
      </c>
      <c r="Q34" s="24" t="n">
        <v>6.3</v>
      </c>
      <c r="R34" s="24"/>
      <c r="S34" s="24"/>
      <c r="T34" s="24"/>
      <c r="U34" s="24"/>
      <c r="V34" s="24"/>
      <c r="W34" s="24"/>
      <c r="X34" s="24" t="n">
        <v>8.4</v>
      </c>
      <c r="Y34" s="24"/>
      <c r="Z34" s="24"/>
      <c r="AA34" s="24"/>
      <c r="AB34" s="24"/>
      <c r="AC34" s="24"/>
      <c r="AD34" s="24"/>
      <c r="AE34" s="24" t="n">
        <v>2</v>
      </c>
      <c r="AF34" s="24" t="n">
        <v>3</v>
      </c>
      <c r="AG34" s="24" t="n">
        <f aca="false">IF(AND(N(AE34)&gt;0,N(AF34)&gt;0),SQRT(2*AE34/AF34),"")</f>
        <v>1.15470053837925</v>
      </c>
      <c r="AH34" s="24"/>
      <c r="AI34" s="24"/>
      <c r="AJ34" s="24"/>
      <c r="AK34" s="24" t="n">
        <v>670</v>
      </c>
      <c r="AL34" s="24" t="n">
        <v>29.706</v>
      </c>
      <c r="AM34" s="24" t="n">
        <v>10</v>
      </c>
      <c r="AN34" s="24"/>
      <c r="AO34" s="24"/>
      <c r="AP34" s="24"/>
      <c r="AQ34" s="24"/>
      <c r="AR34" s="24"/>
      <c r="AS34" s="24"/>
      <c r="AT34" s="24"/>
      <c r="AU34" s="24" t="s">
        <v>693</v>
      </c>
      <c r="AV34" s="24" t="s">
        <v>1742</v>
      </c>
      <c r="AW34" s="24" t="s">
        <v>1743</v>
      </c>
      <c r="AX34" s="24" t="s">
        <v>1744</v>
      </c>
      <c r="AY34" s="24" t="s">
        <v>91</v>
      </c>
      <c r="AZ34" s="25" t="s">
        <v>2555</v>
      </c>
      <c r="BA34" s="24" t="s">
        <v>1046</v>
      </c>
      <c r="BB34" s="24" t="s">
        <v>2495</v>
      </c>
    </row>
    <row r="35" customFormat="false" ht="14.25" hidden="false" customHeight="false" outlineLevel="0" collapsed="false">
      <c r="A35" s="24" t="s">
        <v>1034</v>
      </c>
      <c r="B35" s="24" t="s">
        <v>1034</v>
      </c>
      <c r="C35" s="24" t="s">
        <v>1035</v>
      </c>
      <c r="D35" s="24" t="n">
        <v>2022</v>
      </c>
      <c r="E35" s="24" t="s">
        <v>80</v>
      </c>
      <c r="F35" s="24" t="s">
        <v>912</v>
      </c>
      <c r="G35" s="24" t="s">
        <v>913</v>
      </c>
      <c r="H35" s="24" t="n">
        <v>29.706</v>
      </c>
      <c r="I35" s="24" t="n">
        <v>76.956</v>
      </c>
      <c r="J35" s="24" t="s">
        <v>83</v>
      </c>
      <c r="K35" s="24" t="n">
        <v>2019</v>
      </c>
      <c r="L35" s="24" t="s">
        <v>84</v>
      </c>
      <c r="M35" s="24" t="s">
        <v>85</v>
      </c>
      <c r="N35" s="24" t="s">
        <v>86</v>
      </c>
      <c r="O35" s="24" t="s">
        <v>1747</v>
      </c>
      <c r="P35" s="24" t="n">
        <v>7.9</v>
      </c>
      <c r="Q35" s="24" t="n">
        <v>6.8</v>
      </c>
      <c r="R35" s="24"/>
      <c r="S35" s="24"/>
      <c r="T35" s="24"/>
      <c r="U35" s="24"/>
      <c r="V35" s="24"/>
      <c r="W35" s="24"/>
      <c r="X35" s="24" t="n">
        <v>6.6</v>
      </c>
      <c r="Y35" s="24"/>
      <c r="Z35" s="24"/>
      <c r="AA35" s="24"/>
      <c r="AB35" s="24"/>
      <c r="AC35" s="24"/>
      <c r="AD35" s="24"/>
      <c r="AE35" s="24" t="n">
        <v>2</v>
      </c>
      <c r="AF35" s="24" t="n">
        <v>3</v>
      </c>
      <c r="AG35" s="24" t="n">
        <f aca="false">IF(AND(N(AE35)&gt;0,N(AF35)&gt;0),SQRT(2*AE35/AF35),"")</f>
        <v>1.15470053837925</v>
      </c>
      <c r="AH35" s="24"/>
      <c r="AI35" s="24"/>
      <c r="AJ35" s="24"/>
      <c r="AK35" s="24" t="n">
        <v>670</v>
      </c>
      <c r="AL35" s="24" t="n">
        <v>29.706</v>
      </c>
      <c r="AM35" s="24" t="n">
        <v>10</v>
      </c>
      <c r="AN35" s="24"/>
      <c r="AO35" s="24"/>
      <c r="AP35" s="24"/>
      <c r="AQ35" s="24"/>
      <c r="AR35" s="24"/>
      <c r="AS35" s="24"/>
      <c r="AT35" s="24"/>
      <c r="AU35" s="24" t="s">
        <v>693</v>
      </c>
      <c r="AV35" s="24" t="s">
        <v>1742</v>
      </c>
      <c r="AW35" s="24" t="s">
        <v>1743</v>
      </c>
      <c r="AX35" s="24" t="s">
        <v>1744</v>
      </c>
      <c r="AY35" s="24" t="s">
        <v>91</v>
      </c>
      <c r="AZ35" s="25" t="s">
        <v>2556</v>
      </c>
      <c r="BA35" s="24" t="s">
        <v>1046</v>
      </c>
      <c r="BB35" s="24" t="s">
        <v>2495</v>
      </c>
    </row>
    <row r="36" customFormat="false" ht="14.25" hidden="false" customHeight="false" outlineLevel="0" collapsed="false">
      <c r="A36" s="24" t="s">
        <v>1034</v>
      </c>
      <c r="B36" s="24" t="s">
        <v>1034</v>
      </c>
      <c r="C36" s="24" t="s">
        <v>1035</v>
      </c>
      <c r="D36" s="24" t="n">
        <v>2022</v>
      </c>
      <c r="E36" s="24" t="s">
        <v>80</v>
      </c>
      <c r="F36" s="24" t="s">
        <v>912</v>
      </c>
      <c r="G36" s="24" t="s">
        <v>913</v>
      </c>
      <c r="H36" s="24" t="n">
        <v>29.706</v>
      </c>
      <c r="I36" s="24" t="n">
        <v>76.956</v>
      </c>
      <c r="J36" s="24" t="s">
        <v>83</v>
      </c>
      <c r="K36" s="24" t="n">
        <v>2019</v>
      </c>
      <c r="L36" s="24" t="s">
        <v>84</v>
      </c>
      <c r="M36" s="24" t="s">
        <v>85</v>
      </c>
      <c r="N36" s="24" t="s">
        <v>1673</v>
      </c>
      <c r="O36" s="24" t="s">
        <v>1674</v>
      </c>
      <c r="P36" s="24" t="n">
        <v>3.7</v>
      </c>
      <c r="Q36" s="24" t="n">
        <v>6.3</v>
      </c>
      <c r="R36" s="24"/>
      <c r="S36" s="24"/>
      <c r="T36" s="24"/>
      <c r="U36" s="24"/>
      <c r="V36" s="24"/>
      <c r="W36" s="24"/>
      <c r="X36" s="24" t="n">
        <v>4.2</v>
      </c>
      <c r="Y36" s="24"/>
      <c r="Z36" s="24"/>
      <c r="AA36" s="24"/>
      <c r="AB36" s="24"/>
      <c r="AC36" s="24"/>
      <c r="AD36" s="24"/>
      <c r="AE36" s="24" t="n">
        <v>1</v>
      </c>
      <c r="AF36" s="24" t="n">
        <v>3</v>
      </c>
      <c r="AG36" s="24" t="n">
        <f aca="false">IF(AND(N(AE36)&gt;0,N(AF36)&gt;0),SQRT(2*AE36/AF36),"")</f>
        <v>0.816496580927726</v>
      </c>
      <c r="AH36" s="24"/>
      <c r="AI36" s="24"/>
      <c r="AJ36" s="24"/>
      <c r="AK36" s="24" t="n">
        <v>670</v>
      </c>
      <c r="AL36" s="24" t="n">
        <v>29.706</v>
      </c>
      <c r="AM36" s="24" t="n">
        <v>10</v>
      </c>
      <c r="AN36" s="24"/>
      <c r="AO36" s="24"/>
      <c r="AP36" s="24"/>
      <c r="AQ36" s="24"/>
      <c r="AR36" s="24"/>
      <c r="AS36" s="24"/>
      <c r="AT36" s="24"/>
      <c r="AU36" s="24" t="s">
        <v>693</v>
      </c>
      <c r="AV36" s="24" t="s">
        <v>1742</v>
      </c>
      <c r="AW36" s="24" t="s">
        <v>1743</v>
      </c>
      <c r="AX36" s="24" t="s">
        <v>1744</v>
      </c>
      <c r="AY36" s="24" t="s">
        <v>91</v>
      </c>
      <c r="AZ36" s="25" t="s">
        <v>2557</v>
      </c>
      <c r="BA36" s="24" t="s">
        <v>1046</v>
      </c>
      <c r="BB36" s="24" t="s">
        <v>2495</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2558</v>
      </c>
      <c r="Q1" s="27" t="s">
        <v>2559</v>
      </c>
      <c r="R1" s="27" t="s">
        <v>2560</v>
      </c>
      <c r="S1" s="27" t="s">
        <v>2561</v>
      </c>
      <c r="T1" s="27" t="s">
        <v>2562</v>
      </c>
      <c r="U1" s="27" t="s">
        <v>2563</v>
      </c>
      <c r="V1" s="27" t="s">
        <v>2564</v>
      </c>
      <c r="W1" s="27" t="s">
        <v>2565</v>
      </c>
      <c r="X1" s="30" t="s">
        <v>2566</v>
      </c>
      <c r="Y1" s="30" t="s">
        <v>2567</v>
      </c>
      <c r="Z1" s="30" t="s">
        <v>2568</v>
      </c>
      <c r="AA1" s="30" t="s">
        <v>2569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166</v>
      </c>
      <c r="B2" s="5" t="n">
        <v>166</v>
      </c>
      <c r="C2" s="5" t="s">
        <v>853</v>
      </c>
      <c r="D2" s="5" t="n">
        <v>2014</v>
      </c>
      <c r="E2" s="5" t="s">
        <v>854</v>
      </c>
      <c r="F2" s="5" t="s">
        <v>857</v>
      </c>
      <c r="G2" s="5" t="s">
        <v>858</v>
      </c>
      <c r="H2" s="5" t="n">
        <v>29.067</v>
      </c>
      <c r="I2" s="5" t="n">
        <v>77.767</v>
      </c>
      <c r="J2" s="5" t="s">
        <v>83</v>
      </c>
      <c r="K2" s="5" t="n">
        <v>2011</v>
      </c>
      <c r="L2" s="5" t="s">
        <v>823</v>
      </c>
      <c r="M2" s="5" t="s">
        <v>85</v>
      </c>
      <c r="N2" s="5" t="s">
        <v>86</v>
      </c>
      <c r="O2" s="5" t="s">
        <v>1893</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2570</v>
      </c>
      <c r="AS2" s="5" t="s">
        <v>1895</v>
      </c>
      <c r="AT2" s="5" t="s">
        <v>1896</v>
      </c>
      <c r="AU2" s="5" t="s">
        <v>1897</v>
      </c>
      <c r="AV2" s="5" t="s">
        <v>1670</v>
      </c>
      <c r="AW2" s="23" t="s">
        <v>2571</v>
      </c>
      <c r="AX2" s="5" t="s">
        <v>869</v>
      </c>
      <c r="AY2" s="5" t="s">
        <v>2572</v>
      </c>
      <c r="BA2" s="33" t="s">
        <v>693</v>
      </c>
    </row>
    <row r="3" customFormat="false" ht="14.2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1905</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2570</v>
      </c>
      <c r="AS3" s="5" t="s">
        <v>1895</v>
      </c>
      <c r="AT3" s="5" t="s">
        <v>1896</v>
      </c>
      <c r="AU3" s="5" t="s">
        <v>1897</v>
      </c>
      <c r="AV3" s="5" t="s">
        <v>1670</v>
      </c>
      <c r="AW3" s="23" t="s">
        <v>2571</v>
      </c>
      <c r="AX3" s="5" t="s">
        <v>869</v>
      </c>
      <c r="AY3" s="5" t="s">
        <v>2572</v>
      </c>
    </row>
    <row r="4" customFormat="false" ht="14.2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1673</v>
      </c>
      <c r="O4" s="5" t="s">
        <v>1674</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2570</v>
      </c>
      <c r="AS4" s="5" t="s">
        <v>1895</v>
      </c>
      <c r="AT4" s="5" t="s">
        <v>1896</v>
      </c>
      <c r="AU4" s="5" t="s">
        <v>1897</v>
      </c>
      <c r="AV4" s="5" t="s">
        <v>1670</v>
      </c>
      <c r="AW4" s="23" t="s">
        <v>2573</v>
      </c>
      <c r="AX4" s="5" t="s">
        <v>869</v>
      </c>
      <c r="AY4" s="5" t="s">
        <v>2572</v>
      </c>
    </row>
    <row r="5" customFormat="false" ht="14.25" hidden="false" customHeight="true" outlineLevel="0" collapsed="false">
      <c r="A5" s="18" t="s">
        <v>908</v>
      </c>
      <c r="B5" s="18" t="s">
        <v>908</v>
      </c>
      <c r="C5" s="18" t="s">
        <v>909</v>
      </c>
      <c r="D5" s="18" t="n">
        <v>2019</v>
      </c>
      <c r="E5" s="18" t="s">
        <v>854</v>
      </c>
      <c r="F5" s="18" t="s">
        <v>912</v>
      </c>
      <c r="G5" s="18" t="s">
        <v>913</v>
      </c>
      <c r="H5" s="18" t="n">
        <v>29.7</v>
      </c>
      <c r="I5" s="18" t="n">
        <v>76.96</v>
      </c>
      <c r="J5" s="18" t="s">
        <v>83</v>
      </c>
      <c r="K5" s="18" t="n">
        <v>2013</v>
      </c>
      <c r="L5" s="18" t="s">
        <v>84</v>
      </c>
      <c r="M5" s="18" t="s">
        <v>85</v>
      </c>
      <c r="N5" s="18" t="s">
        <v>86</v>
      </c>
      <c r="O5" s="18" t="s">
        <v>1666</v>
      </c>
      <c r="P5" s="18" t="n">
        <v>10.9</v>
      </c>
      <c r="Q5" s="18" t="n">
        <v>6.5</v>
      </c>
      <c r="R5" s="18"/>
      <c r="S5" s="18"/>
      <c r="T5" s="18"/>
      <c r="U5" s="18"/>
      <c r="V5" s="18"/>
      <c r="W5" s="18"/>
      <c r="X5" s="18" t="n">
        <v>8.1</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2574</v>
      </c>
      <c r="AS5" s="18" t="s">
        <v>1913</v>
      </c>
      <c r="AT5" s="18" t="s">
        <v>1914</v>
      </c>
      <c r="AU5" s="18" t="s">
        <v>1915</v>
      </c>
      <c r="AV5" s="18" t="s">
        <v>1725</v>
      </c>
      <c r="AW5" s="32" t="s">
        <v>2575</v>
      </c>
      <c r="AX5" s="18" t="s">
        <v>922</v>
      </c>
      <c r="AY5" s="18" t="s">
        <v>2576</v>
      </c>
    </row>
    <row r="6" customFormat="false" ht="14.25" hidden="false" customHeight="true" outlineLevel="0" collapsed="false">
      <c r="A6" s="18" t="s">
        <v>908</v>
      </c>
      <c r="B6" s="18" t="s">
        <v>908</v>
      </c>
      <c r="C6" s="18" t="s">
        <v>909</v>
      </c>
      <c r="D6" s="18" t="n">
        <v>2019</v>
      </c>
      <c r="E6" s="18" t="s">
        <v>854</v>
      </c>
      <c r="F6" s="18" t="s">
        <v>912</v>
      </c>
      <c r="G6" s="18" t="s">
        <v>913</v>
      </c>
      <c r="H6" s="18" t="n">
        <v>29.7</v>
      </c>
      <c r="I6" s="18" t="n">
        <v>76.96</v>
      </c>
      <c r="J6" s="18" t="s">
        <v>83</v>
      </c>
      <c r="K6" s="18" t="n">
        <v>2013</v>
      </c>
      <c r="L6" s="18" t="s">
        <v>84</v>
      </c>
      <c r="M6" s="18" t="s">
        <v>85</v>
      </c>
      <c r="N6" s="18" t="s">
        <v>1673</v>
      </c>
      <c r="O6" s="18" t="s">
        <v>1674</v>
      </c>
      <c r="P6" s="18" t="n">
        <v>3.6</v>
      </c>
      <c r="Q6" s="18" t="n">
        <v>3.8</v>
      </c>
      <c r="R6" s="18"/>
      <c r="S6" s="18"/>
      <c r="T6" s="18"/>
      <c r="U6" s="18"/>
      <c r="V6" s="18"/>
      <c r="W6" s="18"/>
      <c r="X6" s="18" t="n">
        <v>5.4</v>
      </c>
      <c r="Y6" s="18"/>
      <c r="Z6" s="18"/>
      <c r="AA6" s="18"/>
      <c r="AB6" s="18" t="n">
        <v>1</v>
      </c>
      <c r="AC6" s="18" t="n">
        <v>3</v>
      </c>
      <c r="AD6" s="18" t="n">
        <f aca="false">IF(AND(N(AB6)&gt;0,N(AC6)&gt;0),SQRT(2*AB6/AC6),"")</f>
        <v>0.816496580927726</v>
      </c>
      <c r="AE6" s="18"/>
      <c r="AF6" s="18" t="n">
        <v>2</v>
      </c>
      <c r="AG6" s="18" t="n">
        <v>42.5</v>
      </c>
      <c r="AH6" s="18" t="n">
        <v>700</v>
      </c>
      <c r="AI6" s="18" t="n">
        <v>29.7</v>
      </c>
      <c r="AJ6" s="18" t="n">
        <v>4</v>
      </c>
      <c r="AK6" s="18"/>
      <c r="AL6" s="18"/>
      <c r="AM6" s="18"/>
      <c r="AN6" s="18"/>
      <c r="AO6" s="18"/>
      <c r="AP6" s="18"/>
      <c r="AQ6" s="18"/>
      <c r="AR6" s="18" t="s">
        <v>2574</v>
      </c>
      <c r="AS6" s="18" t="s">
        <v>1913</v>
      </c>
      <c r="AT6" s="18" t="s">
        <v>1914</v>
      </c>
      <c r="AU6" s="18" t="s">
        <v>1915</v>
      </c>
      <c r="AV6" s="18" t="s">
        <v>1725</v>
      </c>
      <c r="AW6" s="32" t="s">
        <v>2575</v>
      </c>
      <c r="AX6" s="18" t="s">
        <v>922</v>
      </c>
      <c r="AY6" s="18" t="s">
        <v>2576</v>
      </c>
    </row>
    <row r="7" customFormat="false" ht="14.25" hidden="false" customHeight="true" outlineLevel="0" collapsed="false">
      <c r="A7" s="18" t="s">
        <v>908</v>
      </c>
      <c r="B7" s="18" t="s">
        <v>908</v>
      </c>
      <c r="C7" s="18" t="s">
        <v>909</v>
      </c>
      <c r="D7" s="18" t="n">
        <v>2019</v>
      </c>
      <c r="E7" s="18" t="s">
        <v>854</v>
      </c>
      <c r="F7" s="18" t="s">
        <v>912</v>
      </c>
      <c r="G7" s="18" t="s">
        <v>913</v>
      </c>
      <c r="H7" s="18" t="n">
        <v>29.7</v>
      </c>
      <c r="I7" s="18" t="n">
        <v>76.96</v>
      </c>
      <c r="J7" s="18" t="s">
        <v>83</v>
      </c>
      <c r="K7" s="18" t="n">
        <v>2015</v>
      </c>
      <c r="L7" s="18" t="s">
        <v>84</v>
      </c>
      <c r="M7" s="18" t="s">
        <v>85</v>
      </c>
      <c r="N7" s="18" t="s">
        <v>86</v>
      </c>
      <c r="O7" s="18" t="s">
        <v>1666</v>
      </c>
      <c r="P7" s="18" t="n">
        <v>11.4</v>
      </c>
      <c r="Q7" s="18" t="n">
        <v>6.3</v>
      </c>
      <c r="R7" s="18"/>
      <c r="S7" s="18"/>
      <c r="T7" s="18"/>
      <c r="U7" s="18"/>
      <c r="V7" s="18"/>
      <c r="W7" s="18"/>
      <c r="X7" s="18" t="n">
        <v>8.7</v>
      </c>
      <c r="Y7" s="18"/>
      <c r="Z7" s="18"/>
      <c r="AA7" s="18"/>
      <c r="AB7" s="18" t="n">
        <v>1</v>
      </c>
      <c r="AC7" s="18" t="n">
        <v>3</v>
      </c>
      <c r="AD7" s="18" t="n">
        <f aca="false">IF(AND(N(AB7)&gt;0,N(AC7)&gt;0),SQRT(2*AB7/AC7),"")</f>
        <v>0.816496580927726</v>
      </c>
      <c r="AE7" s="18"/>
      <c r="AF7" s="18" t="n">
        <v>2</v>
      </c>
      <c r="AG7" s="18" t="n">
        <v>42.5</v>
      </c>
      <c r="AH7" s="18" t="n">
        <v>700</v>
      </c>
      <c r="AI7" s="18" t="n">
        <v>29.7</v>
      </c>
      <c r="AJ7" s="18" t="n">
        <v>6</v>
      </c>
      <c r="AK7" s="18"/>
      <c r="AL7" s="18"/>
      <c r="AM7" s="18"/>
      <c r="AN7" s="18"/>
      <c r="AO7" s="18"/>
      <c r="AP7" s="18"/>
      <c r="AQ7" s="18"/>
      <c r="AR7" s="18" t="s">
        <v>2574</v>
      </c>
      <c r="AS7" s="18" t="s">
        <v>1913</v>
      </c>
      <c r="AT7" s="18" t="s">
        <v>1919</v>
      </c>
      <c r="AU7" s="18" t="s">
        <v>1915</v>
      </c>
      <c r="AV7" s="18" t="s">
        <v>1725</v>
      </c>
      <c r="AW7" s="32" t="s">
        <v>2575</v>
      </c>
      <c r="AX7" s="18" t="s">
        <v>922</v>
      </c>
      <c r="AY7" s="18" t="s">
        <v>2576</v>
      </c>
    </row>
    <row r="8" customFormat="false" ht="14.25" hidden="false" customHeight="true" outlineLevel="0" collapsed="false">
      <c r="A8" s="18" t="s">
        <v>908</v>
      </c>
      <c r="B8" s="18" t="s">
        <v>908</v>
      </c>
      <c r="C8" s="18" t="s">
        <v>909</v>
      </c>
      <c r="D8" s="18" t="n">
        <v>2019</v>
      </c>
      <c r="E8" s="18" t="s">
        <v>854</v>
      </c>
      <c r="F8" s="18" t="s">
        <v>912</v>
      </c>
      <c r="G8" s="18" t="s">
        <v>913</v>
      </c>
      <c r="H8" s="18" t="n">
        <v>29.7</v>
      </c>
      <c r="I8" s="18" t="n">
        <v>76.96</v>
      </c>
      <c r="J8" s="18" t="s">
        <v>83</v>
      </c>
      <c r="K8" s="18" t="n">
        <v>2015</v>
      </c>
      <c r="L8" s="18" t="s">
        <v>84</v>
      </c>
      <c r="M8" s="18" t="s">
        <v>85</v>
      </c>
      <c r="N8" s="18" t="s">
        <v>1673</v>
      </c>
      <c r="O8" s="18" t="s">
        <v>1674</v>
      </c>
      <c r="P8" s="18" t="n">
        <v>5.2</v>
      </c>
      <c r="Q8" s="18" t="n">
        <v>5.6</v>
      </c>
      <c r="R8" s="18"/>
      <c r="S8" s="18"/>
      <c r="T8" s="18"/>
      <c r="U8" s="18"/>
      <c r="V8" s="18"/>
      <c r="W8" s="18"/>
      <c r="X8" s="18" t="n">
        <v>7</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2574</v>
      </c>
      <c r="AS8" s="18" t="s">
        <v>1913</v>
      </c>
      <c r="AT8" s="18" t="s">
        <v>1919</v>
      </c>
      <c r="AU8" s="18" t="s">
        <v>1915</v>
      </c>
      <c r="AV8" s="18" t="s">
        <v>1725</v>
      </c>
      <c r="AW8" s="32" t="s">
        <v>2575</v>
      </c>
      <c r="AX8" s="18" t="s">
        <v>922</v>
      </c>
      <c r="AY8" s="18" t="s">
        <v>2576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2577</v>
      </c>
      <c r="Q1" s="27" t="s">
        <v>2578</v>
      </c>
      <c r="R1" s="27" t="s">
        <v>2579</v>
      </c>
      <c r="S1" s="27" t="s">
        <v>2580</v>
      </c>
      <c r="T1" s="27" t="s">
        <v>2581</v>
      </c>
      <c r="U1" s="27" t="s">
        <v>2582</v>
      </c>
      <c r="V1" s="27" t="s">
        <v>2583</v>
      </c>
      <c r="W1" s="27" t="s">
        <v>2584</v>
      </c>
      <c r="X1" s="30" t="s">
        <v>2585</v>
      </c>
      <c r="Y1" s="30" t="s">
        <v>2586</v>
      </c>
      <c r="Z1" s="30" t="s">
        <v>2587</v>
      </c>
      <c r="AA1" s="30" t="s">
        <v>2588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693</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2589</v>
      </c>
      <c r="Q1" s="27" t="s">
        <v>2590</v>
      </c>
      <c r="R1" s="27" t="s">
        <v>2591</v>
      </c>
      <c r="S1" s="27" t="s">
        <v>2592</v>
      </c>
      <c r="T1" s="27" t="s">
        <v>2593</v>
      </c>
      <c r="U1" s="27" t="s">
        <v>2594</v>
      </c>
      <c r="V1" s="27" t="s">
        <v>2595</v>
      </c>
      <c r="W1" s="27" t="s">
        <v>2596</v>
      </c>
      <c r="X1" s="30" t="s">
        <v>2597</v>
      </c>
      <c r="Y1" s="30" t="s">
        <v>2598</v>
      </c>
      <c r="Z1" s="30" t="s">
        <v>2599</v>
      </c>
      <c r="AA1" s="30" t="s">
        <v>2600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693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2601</v>
      </c>
      <c r="Q1" s="27" t="s">
        <v>2602</v>
      </c>
      <c r="R1" s="27" t="s">
        <v>2603</v>
      </c>
      <c r="S1" s="27" t="s">
        <v>2604</v>
      </c>
      <c r="T1" s="27" t="s">
        <v>2605</v>
      </c>
      <c r="U1" s="27" t="s">
        <v>2606</v>
      </c>
      <c r="V1" s="27" t="s">
        <v>2607</v>
      </c>
      <c r="W1" s="27" t="s">
        <v>2608</v>
      </c>
      <c r="X1" s="30" t="s">
        <v>2609</v>
      </c>
      <c r="Y1" s="30" t="s">
        <v>2610</v>
      </c>
      <c r="Z1" s="30" t="s">
        <v>2611</v>
      </c>
      <c r="AA1" s="30" t="s">
        <v>2612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908</v>
      </c>
      <c r="B2" s="18" t="s">
        <v>908</v>
      </c>
      <c r="C2" s="18" t="s">
        <v>909</v>
      </c>
      <c r="D2" s="18" t="n">
        <v>2019</v>
      </c>
      <c r="E2" s="18" t="s">
        <v>854</v>
      </c>
      <c r="F2" s="18" t="s">
        <v>912</v>
      </c>
      <c r="G2" s="18" t="s">
        <v>913</v>
      </c>
      <c r="H2" s="18" t="n">
        <v>29.7</v>
      </c>
      <c r="I2" s="18" t="n">
        <v>76.96</v>
      </c>
      <c r="J2" s="18" t="s">
        <v>83</v>
      </c>
      <c r="K2" s="18" t="n">
        <v>2013</v>
      </c>
      <c r="L2" s="18" t="s">
        <v>84</v>
      </c>
      <c r="M2" s="18" t="s">
        <v>85</v>
      </c>
      <c r="N2" s="18" t="s">
        <v>86</v>
      </c>
      <c r="O2" s="18" t="s">
        <v>1666</v>
      </c>
      <c r="P2" s="18" t="n">
        <v>6.08</v>
      </c>
      <c r="Q2" s="18" t="n">
        <v>5.27</v>
      </c>
      <c r="R2" s="18"/>
      <c r="S2" s="18"/>
      <c r="T2" s="18"/>
      <c r="U2" s="18"/>
      <c r="V2" s="18"/>
      <c r="W2" s="18"/>
      <c r="X2" s="18" t="n">
        <v>6.78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2613</v>
      </c>
      <c r="AS2" s="18" t="s">
        <v>1913</v>
      </c>
      <c r="AT2" s="18" t="s">
        <v>2096</v>
      </c>
      <c r="AU2" s="18" t="s">
        <v>1915</v>
      </c>
      <c r="AV2" s="18" t="s">
        <v>2614</v>
      </c>
      <c r="AW2" s="32" t="s">
        <v>2615</v>
      </c>
      <c r="AX2" s="18" t="s">
        <v>922</v>
      </c>
      <c r="AY2" s="18" t="s">
        <v>2616</v>
      </c>
      <c r="BA2" s="33" t="s">
        <v>1138</v>
      </c>
    </row>
    <row r="3" customFormat="false" ht="15" hidden="false" customHeight="true" outlineLevel="0" collapsed="false">
      <c r="A3" s="18" t="s">
        <v>908</v>
      </c>
      <c r="B3" s="18" t="s">
        <v>908</v>
      </c>
      <c r="C3" s="18" t="s">
        <v>909</v>
      </c>
      <c r="D3" s="18" t="n">
        <v>2019</v>
      </c>
      <c r="E3" s="18" t="s">
        <v>854</v>
      </c>
      <c r="F3" s="18" t="s">
        <v>912</v>
      </c>
      <c r="G3" s="18" t="s">
        <v>913</v>
      </c>
      <c r="H3" s="18" t="n">
        <v>29.7</v>
      </c>
      <c r="I3" s="18" t="n">
        <v>76.96</v>
      </c>
      <c r="J3" s="18" t="s">
        <v>83</v>
      </c>
      <c r="K3" s="18" t="n">
        <v>2015</v>
      </c>
      <c r="L3" s="18" t="s">
        <v>84</v>
      </c>
      <c r="M3" s="18" t="s">
        <v>85</v>
      </c>
      <c r="N3" s="18" t="s">
        <v>86</v>
      </c>
      <c r="O3" s="18" t="s">
        <v>1666</v>
      </c>
      <c r="P3" s="18" t="n">
        <v>8.55</v>
      </c>
      <c r="Q3" s="18" t="n">
        <v>4.66</v>
      </c>
      <c r="R3" s="18"/>
      <c r="S3" s="18"/>
      <c r="T3" s="18"/>
      <c r="U3" s="18"/>
      <c r="V3" s="18"/>
      <c r="W3" s="18"/>
      <c r="X3" s="18" t="n">
        <v>10.01</v>
      </c>
      <c r="Y3" s="18"/>
      <c r="Z3" s="18"/>
      <c r="AA3" s="18"/>
      <c r="AB3" s="18" t="n">
        <v>1</v>
      </c>
      <c r="AC3" s="18" t="n">
        <v>3</v>
      </c>
      <c r="AD3" s="18" t="n">
        <f aca="false">IF(AND(N(AB3)&gt;0,N(AC3)&gt;0),SQRT(2*AB3/AC3),"")</f>
        <v>0.816496580927726</v>
      </c>
      <c r="AE3" s="18"/>
      <c r="AF3" s="18" t="n">
        <v>2</v>
      </c>
      <c r="AG3" s="18" t="n">
        <v>42.5</v>
      </c>
      <c r="AH3" s="18" t="n">
        <v>700</v>
      </c>
      <c r="AI3" s="18" t="n">
        <v>29.7</v>
      </c>
      <c r="AJ3" s="18" t="n">
        <v>6</v>
      </c>
      <c r="AK3" s="18"/>
      <c r="AL3" s="18"/>
      <c r="AM3" s="18"/>
      <c r="AN3" s="18"/>
      <c r="AO3" s="18"/>
      <c r="AP3" s="18"/>
      <c r="AQ3" s="18"/>
      <c r="AR3" s="18" t="s">
        <v>2613</v>
      </c>
      <c r="AS3" s="18" t="s">
        <v>1913</v>
      </c>
      <c r="AT3" s="18" t="s">
        <v>2100</v>
      </c>
      <c r="AU3" s="18" t="s">
        <v>1915</v>
      </c>
      <c r="AV3" s="18" t="s">
        <v>2617</v>
      </c>
      <c r="AW3" s="32" t="s">
        <v>2618</v>
      </c>
      <c r="AX3" s="18" t="s">
        <v>922</v>
      </c>
      <c r="AY3" s="18" t="s">
        <v>2616</v>
      </c>
    </row>
    <row r="4" customFormat="false" ht="15" hidden="false" customHeight="true" outlineLevel="0" collapsed="false">
      <c r="A4" s="18" t="s">
        <v>908</v>
      </c>
      <c r="B4" s="18" t="s">
        <v>908</v>
      </c>
      <c r="C4" s="18" t="s">
        <v>909</v>
      </c>
      <c r="D4" s="18" t="n">
        <v>2019</v>
      </c>
      <c r="E4" s="18" t="s">
        <v>854</v>
      </c>
      <c r="F4" s="18" t="s">
        <v>912</v>
      </c>
      <c r="G4" s="18" t="s">
        <v>913</v>
      </c>
      <c r="H4" s="18" t="n">
        <v>29.7</v>
      </c>
      <c r="I4" s="18" t="n">
        <v>76.96</v>
      </c>
      <c r="J4" s="18" t="s">
        <v>83</v>
      </c>
      <c r="K4" s="18" t="n">
        <v>2013</v>
      </c>
      <c r="L4" s="18" t="s">
        <v>84</v>
      </c>
      <c r="M4" s="18" t="s">
        <v>85</v>
      </c>
      <c r="N4" s="18" t="s">
        <v>1673</v>
      </c>
      <c r="O4" s="18" t="s">
        <v>1674</v>
      </c>
      <c r="P4" s="18" t="n">
        <v>3.88</v>
      </c>
      <c r="Q4" s="18" t="n">
        <v>3.02</v>
      </c>
      <c r="R4" s="18"/>
      <c r="S4" s="18"/>
      <c r="T4" s="18"/>
      <c r="U4" s="18"/>
      <c r="V4" s="18"/>
      <c r="W4" s="18"/>
      <c r="X4" s="18" t="n">
        <v>1.58</v>
      </c>
      <c r="Y4" s="18"/>
      <c r="Z4" s="18"/>
      <c r="AA4" s="18"/>
      <c r="AB4" s="18" t="n">
        <v>1</v>
      </c>
      <c r="AC4" s="18" t="n">
        <v>3</v>
      </c>
      <c r="AD4" s="18" t="n">
        <f aca="false">IF(AND(N(AB4)&gt;0,N(AC4)&gt;0),SQRT(2*AB4/AC4),"")</f>
        <v>0.816496580927726</v>
      </c>
      <c r="AE4" s="18"/>
      <c r="AF4" s="18" t="n">
        <v>2</v>
      </c>
      <c r="AG4" s="18" t="n">
        <v>42.5</v>
      </c>
      <c r="AH4" s="18" t="n">
        <v>700</v>
      </c>
      <c r="AI4" s="18" t="n">
        <v>29.7</v>
      </c>
      <c r="AJ4" s="18" t="n">
        <v>4</v>
      </c>
      <c r="AK4" s="18"/>
      <c r="AL4" s="18"/>
      <c r="AM4" s="18"/>
      <c r="AN4" s="18"/>
      <c r="AO4" s="18"/>
      <c r="AP4" s="18"/>
      <c r="AQ4" s="18"/>
      <c r="AR4" s="18" t="s">
        <v>2613</v>
      </c>
      <c r="AS4" s="18" t="s">
        <v>1913</v>
      </c>
      <c r="AT4" s="18" t="s">
        <v>2096</v>
      </c>
      <c r="AU4" s="18" t="s">
        <v>1915</v>
      </c>
      <c r="AV4" s="18" t="s">
        <v>2614</v>
      </c>
      <c r="AW4" s="32" t="s">
        <v>2619</v>
      </c>
      <c r="AX4" s="18" t="s">
        <v>922</v>
      </c>
      <c r="AY4" s="18" t="s">
        <v>2616</v>
      </c>
    </row>
    <row r="5" customFormat="false" ht="15" hidden="false" customHeight="true" outlineLevel="0" collapsed="false">
      <c r="A5" s="18" t="s">
        <v>908</v>
      </c>
      <c r="B5" s="18" t="s">
        <v>908</v>
      </c>
      <c r="C5" s="18" t="s">
        <v>909</v>
      </c>
      <c r="D5" s="18" t="n">
        <v>2019</v>
      </c>
      <c r="E5" s="18" t="s">
        <v>854</v>
      </c>
      <c r="F5" s="18" t="s">
        <v>912</v>
      </c>
      <c r="G5" s="18" t="s">
        <v>913</v>
      </c>
      <c r="H5" s="18" t="n">
        <v>29.7</v>
      </c>
      <c r="I5" s="18" t="n">
        <v>76.96</v>
      </c>
      <c r="J5" s="18" t="s">
        <v>83</v>
      </c>
      <c r="K5" s="18" t="n">
        <v>2015</v>
      </c>
      <c r="L5" s="18" t="s">
        <v>84</v>
      </c>
      <c r="M5" s="18" t="s">
        <v>85</v>
      </c>
      <c r="N5" s="18" t="s">
        <v>1673</v>
      </c>
      <c r="O5" s="18" t="s">
        <v>1674</v>
      </c>
      <c r="P5" s="18" t="n">
        <v>3.07</v>
      </c>
      <c r="Q5" s="18" t="n">
        <v>1.81</v>
      </c>
      <c r="R5" s="18"/>
      <c r="S5" s="18"/>
      <c r="T5" s="18"/>
      <c r="U5" s="18"/>
      <c r="V5" s="18"/>
      <c r="W5" s="18"/>
      <c r="X5" s="18" t="n">
        <v>3.46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2613</v>
      </c>
      <c r="AS5" s="18" t="s">
        <v>1913</v>
      </c>
      <c r="AT5" s="18" t="s">
        <v>2100</v>
      </c>
      <c r="AU5" s="18" t="s">
        <v>1915</v>
      </c>
      <c r="AV5" s="18" t="s">
        <v>2617</v>
      </c>
      <c r="AW5" s="32" t="s">
        <v>2620</v>
      </c>
      <c r="AX5" s="18" t="s">
        <v>922</v>
      </c>
      <c r="AY5" s="18" t="s">
        <v>2616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2621</v>
      </c>
      <c r="Q1" s="27" t="s">
        <v>2622</v>
      </c>
      <c r="R1" s="27" t="s">
        <v>2623</v>
      </c>
      <c r="S1" s="27" t="s">
        <v>2624</v>
      </c>
      <c r="T1" s="27" t="s">
        <v>2625</v>
      </c>
      <c r="U1" s="27" t="s">
        <v>2626</v>
      </c>
      <c r="V1" s="27" t="s">
        <v>2627</v>
      </c>
      <c r="W1" s="27" t="s">
        <v>2628</v>
      </c>
      <c r="X1" s="30" t="s">
        <v>2629</v>
      </c>
      <c r="Y1" s="30" t="s">
        <v>2630</v>
      </c>
      <c r="Z1" s="30" t="s">
        <v>2631</v>
      </c>
      <c r="AA1" s="30" t="s">
        <v>2632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1141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2633</v>
      </c>
      <c r="Q1" s="27" t="s">
        <v>2634</v>
      </c>
      <c r="R1" s="27" t="s">
        <v>2635</v>
      </c>
      <c r="S1" s="27" t="s">
        <v>2636</v>
      </c>
      <c r="T1" s="27" t="s">
        <v>2637</v>
      </c>
      <c r="U1" s="27" t="s">
        <v>2638</v>
      </c>
      <c r="V1" s="27" t="s">
        <v>2639</v>
      </c>
      <c r="W1" s="27" t="s">
        <v>2640</v>
      </c>
      <c r="X1" s="30" t="s">
        <v>2641</v>
      </c>
      <c r="Y1" s="30" t="s">
        <v>2642</v>
      </c>
      <c r="Z1" s="30" t="s">
        <v>2643</v>
      </c>
      <c r="AA1" s="30" t="s">
        <v>2644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1143</v>
      </c>
    </row>
    <row r="3" customFormat="false" ht="15" hidden="false" customHeight="true" outlineLevel="0" collapsed="false"/>
    <row r="4" customFormat="false" ht="15" hidden="false" customHeight="true" outlineLevel="0" collapsed="false">
      <c r="BA4" s="37" t="s">
        <v>2645</v>
      </c>
    </row>
    <row r="5" customFormat="false" ht="15" hidden="false" customHeight="true" outlineLevel="0" collapsed="false">
      <c r="BA5" s="38" t="s">
        <v>2646</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2647</v>
      </c>
      <c r="Q1" s="27" t="s">
        <v>2648</v>
      </c>
      <c r="R1" s="27" t="s">
        <v>2649</v>
      </c>
      <c r="S1" s="27" t="s">
        <v>2650</v>
      </c>
      <c r="T1" s="27" t="s">
        <v>2651</v>
      </c>
      <c r="U1" s="27" t="s">
        <v>2652</v>
      </c>
      <c r="V1" s="27" t="s">
        <v>2653</v>
      </c>
      <c r="W1" s="27" t="s">
        <v>2654</v>
      </c>
      <c r="X1" s="30" t="s">
        <v>2655</v>
      </c>
      <c r="Y1" s="30" t="s">
        <v>2656</v>
      </c>
      <c r="Z1" s="30" t="s">
        <v>2657</v>
      </c>
      <c r="AA1" s="30" t="s">
        <v>2658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1145</v>
      </c>
    </row>
    <row r="3" customFormat="false" ht="15" hidden="false" customHeight="true" outlineLevel="0" collapsed="false"/>
    <row r="4" customFormat="false" ht="15" hidden="false" customHeight="true" outlineLevel="0" collapsed="false">
      <c r="BA4" s="37" t="s">
        <v>2645</v>
      </c>
    </row>
    <row r="5" customFormat="false" ht="15" hidden="false" customHeight="true" outlineLevel="0" collapsed="false">
      <c r="BA5" s="38" t="s">
        <v>2646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2659</v>
      </c>
      <c r="Q1" s="27" t="s">
        <v>2660</v>
      </c>
      <c r="R1" s="27" t="s">
        <v>2661</v>
      </c>
      <c r="S1" s="27" t="s">
        <v>2662</v>
      </c>
      <c r="T1" s="27" t="s">
        <v>2663</v>
      </c>
      <c r="U1" s="27" t="s">
        <v>2664</v>
      </c>
      <c r="V1" s="27" t="s">
        <v>2665</v>
      </c>
      <c r="W1" s="27" t="s">
        <v>2666</v>
      </c>
      <c r="X1" s="30" t="s">
        <v>2667</v>
      </c>
      <c r="Y1" s="30" t="s">
        <v>2668</v>
      </c>
      <c r="Z1" s="30" t="s">
        <v>2669</v>
      </c>
      <c r="AA1" s="30" t="s">
        <v>2670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1147</v>
      </c>
    </row>
    <row r="3" customFormat="false" ht="15" hidden="false" customHeight="true" outlineLevel="0" collapsed="false"/>
    <row r="4" customFormat="false" ht="15" hidden="false" customHeight="true" outlineLevel="0" collapsed="false">
      <c r="BA4" s="37" t="s">
        <v>2645</v>
      </c>
    </row>
    <row r="5" customFormat="false" ht="15" hidden="false" customHeight="true" outlineLevel="0" collapsed="false">
      <c r="BA5" s="38" t="s">
        <v>2671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2672</v>
      </c>
      <c r="Q1" s="27" t="s">
        <v>2673</v>
      </c>
      <c r="R1" s="27" t="s">
        <v>2674</v>
      </c>
      <c r="S1" s="27" t="s">
        <v>2675</v>
      </c>
      <c r="T1" s="27" t="s">
        <v>2676</v>
      </c>
      <c r="U1" s="27" t="s">
        <v>2677</v>
      </c>
      <c r="V1" s="27" t="s">
        <v>2678</v>
      </c>
      <c r="W1" s="27" t="s">
        <v>2679</v>
      </c>
      <c r="X1" s="30" t="s">
        <v>2680</v>
      </c>
      <c r="Y1" s="30" t="s">
        <v>2681</v>
      </c>
      <c r="Z1" s="30" t="s">
        <v>2682</v>
      </c>
      <c r="AA1" s="30" t="s">
        <v>2683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1149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2684</v>
      </c>
      <c r="Q1" s="27" t="s">
        <v>2685</v>
      </c>
      <c r="R1" s="27" t="s">
        <v>2686</v>
      </c>
      <c r="S1" s="27" t="s">
        <v>2687</v>
      </c>
      <c r="T1" s="27" t="s">
        <v>2688</v>
      </c>
      <c r="U1" s="27" t="s">
        <v>2689</v>
      </c>
      <c r="V1" s="27" t="s">
        <v>2690</v>
      </c>
      <c r="W1" s="27" t="s">
        <v>2691</v>
      </c>
      <c r="X1" s="30" t="s">
        <v>2692</v>
      </c>
      <c r="Y1" s="30" t="s">
        <v>2693</v>
      </c>
      <c r="Z1" s="30" t="s">
        <v>2694</v>
      </c>
      <c r="AA1" s="30" t="s">
        <v>2695</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1151</v>
      </c>
    </row>
    <row r="3" customFormat="false" ht="15" hidden="false" customHeight="true" outlineLevel="0" collapsed="false"/>
    <row r="4" customFormat="false" ht="15" hidden="false" customHeight="true" outlineLevel="0" collapsed="false">
      <c r="BA4" s="37" t="s">
        <v>2645</v>
      </c>
    </row>
    <row r="5" customFormat="false" ht="15" hidden="false" customHeight="true" outlineLevel="0" collapsed="false">
      <c r="BA5" s="38" t="s">
        <v>2696</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2697</v>
      </c>
      <c r="Q1" s="27" t="s">
        <v>2698</v>
      </c>
      <c r="R1" s="27" t="s">
        <v>2699</v>
      </c>
      <c r="S1" s="27" t="s">
        <v>2700</v>
      </c>
      <c r="T1" s="27" t="s">
        <v>2701</v>
      </c>
      <c r="U1" s="27" t="s">
        <v>2702</v>
      </c>
      <c r="V1" s="27" t="s">
        <v>2703</v>
      </c>
      <c r="W1" s="27" t="s">
        <v>2704</v>
      </c>
      <c r="X1" s="30" t="s">
        <v>2705</v>
      </c>
      <c r="Y1" s="30" t="s">
        <v>2706</v>
      </c>
      <c r="Z1" s="30" t="s">
        <v>2707</v>
      </c>
      <c r="AA1" s="30" t="s">
        <v>2708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1153</v>
      </c>
    </row>
    <row r="3" customFormat="false" ht="15" hidden="false" customHeight="true" outlineLevel="0" collapsed="false"/>
    <row r="4" customFormat="false" ht="15" hidden="false" customHeight="true" outlineLevel="0" collapsed="false">
      <c r="BA4" s="37" t="s">
        <v>2645</v>
      </c>
    </row>
    <row r="5" customFormat="false" ht="15" hidden="false" customHeight="true" outlineLevel="0" collapsed="false">
      <c r="BA5" s="38" t="s">
        <v>2709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2710</v>
      </c>
      <c r="Q1" s="27" t="s">
        <v>2711</v>
      </c>
      <c r="R1" s="27" t="s">
        <v>2712</v>
      </c>
      <c r="S1" s="27" t="s">
        <v>2713</v>
      </c>
      <c r="T1" s="27" t="s">
        <v>2714</v>
      </c>
      <c r="U1" s="27" t="s">
        <v>2715</v>
      </c>
      <c r="V1" s="27" t="s">
        <v>2716</v>
      </c>
      <c r="W1" s="27" t="s">
        <v>2717</v>
      </c>
      <c r="X1" s="30" t="s">
        <v>2718</v>
      </c>
      <c r="Y1" s="30" t="s">
        <v>2719</v>
      </c>
      <c r="Z1" s="30" t="s">
        <v>2720</v>
      </c>
      <c r="AA1" s="30" t="s">
        <v>2721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166</v>
      </c>
      <c r="B2" s="5" t="n">
        <v>166</v>
      </c>
      <c r="C2" s="5" t="s">
        <v>853</v>
      </c>
      <c r="D2" s="5" t="n">
        <v>2014</v>
      </c>
      <c r="E2" s="5" t="s">
        <v>854</v>
      </c>
      <c r="F2" s="5" t="s">
        <v>857</v>
      </c>
      <c r="G2" s="5" t="s">
        <v>858</v>
      </c>
      <c r="H2" s="5" t="n">
        <v>29.067</v>
      </c>
      <c r="I2" s="5" t="n">
        <v>77.767</v>
      </c>
      <c r="J2" s="5" t="s">
        <v>83</v>
      </c>
      <c r="K2" s="5" t="n">
        <v>2011</v>
      </c>
      <c r="L2" s="5" t="s">
        <v>823</v>
      </c>
      <c r="M2" s="5" t="s">
        <v>85</v>
      </c>
      <c r="N2" s="5" t="s">
        <v>86</v>
      </c>
      <c r="O2" s="5" t="s">
        <v>1893</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2722</v>
      </c>
      <c r="AS2" s="5" t="s">
        <v>1895</v>
      </c>
      <c r="AT2" s="5" t="s">
        <v>1896</v>
      </c>
      <c r="AU2" s="5" t="s">
        <v>1897</v>
      </c>
      <c r="AV2" s="5" t="s">
        <v>1670</v>
      </c>
      <c r="AW2" s="23" t="s">
        <v>2723</v>
      </c>
      <c r="AX2" s="5" t="s">
        <v>869</v>
      </c>
      <c r="AY2" s="5" t="s">
        <v>2724</v>
      </c>
      <c r="BA2" s="33" t="s">
        <v>1155</v>
      </c>
    </row>
    <row r="3" customFormat="false" ht="15" hidden="false" customHeight="true" outlineLevel="0" collapsed="false">
      <c r="A3" s="5" t="n">
        <v>166</v>
      </c>
      <c r="B3" s="5" t="n">
        <v>166</v>
      </c>
      <c r="C3" s="5" t="s">
        <v>853</v>
      </c>
      <c r="D3" s="5" t="n">
        <v>2014</v>
      </c>
      <c r="E3" s="5" t="s">
        <v>854</v>
      </c>
      <c r="F3" s="5" t="s">
        <v>857</v>
      </c>
      <c r="G3" s="5" t="s">
        <v>858</v>
      </c>
      <c r="H3" s="5" t="n">
        <v>29.067</v>
      </c>
      <c r="I3" s="5" t="n">
        <v>77.767</v>
      </c>
      <c r="J3" s="5" t="s">
        <v>83</v>
      </c>
      <c r="K3" s="5" t="n">
        <v>2011</v>
      </c>
      <c r="L3" s="5" t="s">
        <v>823</v>
      </c>
      <c r="M3" s="5" t="s">
        <v>85</v>
      </c>
      <c r="N3" s="5" t="s">
        <v>86</v>
      </c>
      <c r="O3" s="5" t="s">
        <v>1905</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2722</v>
      </c>
      <c r="AS3" s="5" t="s">
        <v>1895</v>
      </c>
      <c r="AT3" s="5" t="s">
        <v>1896</v>
      </c>
      <c r="AU3" s="5" t="s">
        <v>1897</v>
      </c>
      <c r="AV3" s="5" t="s">
        <v>1670</v>
      </c>
      <c r="AW3" s="23" t="s">
        <v>2723</v>
      </c>
      <c r="AX3" s="5" t="s">
        <v>869</v>
      </c>
      <c r="AY3" s="5" t="s">
        <v>2724</v>
      </c>
    </row>
    <row r="4" customFormat="false" ht="15" hidden="false" customHeight="true" outlineLevel="0" collapsed="false">
      <c r="A4" s="5" t="n">
        <v>166</v>
      </c>
      <c r="B4" s="5" t="n">
        <v>166</v>
      </c>
      <c r="C4" s="5" t="s">
        <v>853</v>
      </c>
      <c r="D4" s="5" t="n">
        <v>2014</v>
      </c>
      <c r="E4" s="5" t="s">
        <v>854</v>
      </c>
      <c r="F4" s="5" t="s">
        <v>857</v>
      </c>
      <c r="G4" s="5" t="s">
        <v>858</v>
      </c>
      <c r="H4" s="5" t="n">
        <v>29.067</v>
      </c>
      <c r="I4" s="5" t="n">
        <v>77.767</v>
      </c>
      <c r="J4" s="5" t="s">
        <v>83</v>
      </c>
      <c r="K4" s="5" t="n">
        <v>2011</v>
      </c>
      <c r="L4" s="5" t="s">
        <v>823</v>
      </c>
      <c r="M4" s="5" t="s">
        <v>85</v>
      </c>
      <c r="N4" s="5" t="s">
        <v>1673</v>
      </c>
      <c r="O4" s="5" t="s">
        <v>1674</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2722</v>
      </c>
      <c r="AS4" s="5" t="s">
        <v>1895</v>
      </c>
      <c r="AT4" s="5" t="s">
        <v>1896</v>
      </c>
      <c r="AU4" s="5" t="s">
        <v>1897</v>
      </c>
      <c r="AV4" s="5" t="s">
        <v>1670</v>
      </c>
      <c r="AW4" s="23" t="s">
        <v>2725</v>
      </c>
      <c r="AX4" s="5" t="s">
        <v>869</v>
      </c>
      <c r="AY4" s="5" t="s">
        <v>2724</v>
      </c>
      <c r="BA4" s="37" t="s">
        <v>2645</v>
      </c>
    </row>
    <row r="5" customFormat="false" ht="15" hidden="false" customHeight="true" outlineLevel="0" collapsed="false">
      <c r="BA5" s="38" t="s">
        <v>2726</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2727</v>
      </c>
      <c r="Q1" s="27" t="s">
        <v>2728</v>
      </c>
      <c r="R1" s="27" t="s">
        <v>2729</v>
      </c>
      <c r="S1" s="27" t="s">
        <v>2730</v>
      </c>
      <c r="T1" s="27" t="s">
        <v>2731</v>
      </c>
      <c r="U1" s="27" t="s">
        <v>2732</v>
      </c>
      <c r="V1" s="27" t="s">
        <v>2733</v>
      </c>
      <c r="W1" s="27" t="s">
        <v>2734</v>
      </c>
      <c r="X1" s="30" t="s">
        <v>2735</v>
      </c>
      <c r="Y1" s="30" t="s">
        <v>2736</v>
      </c>
      <c r="Z1" s="30" t="s">
        <v>2737</v>
      </c>
      <c r="AA1" s="30" t="s">
        <v>2738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1158</v>
      </c>
    </row>
    <row r="3" customFormat="false" ht="15" hidden="false" customHeight="true" outlineLevel="0" collapsed="false"/>
    <row r="4" customFormat="false" ht="15" hidden="false" customHeight="true" outlineLevel="0" collapsed="false">
      <c r="BA4" s="37" t="s">
        <v>2645</v>
      </c>
    </row>
    <row r="5" customFormat="false" ht="15" hidden="false" customHeight="true" outlineLevel="0" collapsed="false">
      <c r="BA5" s="38" t="s">
        <v>2739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2740</v>
      </c>
      <c r="Q1" s="27" t="s">
        <v>2741</v>
      </c>
      <c r="R1" s="27" t="s">
        <v>2742</v>
      </c>
      <c r="S1" s="27" t="s">
        <v>2743</v>
      </c>
      <c r="T1" s="27" t="s">
        <v>2744</v>
      </c>
      <c r="U1" s="27" t="s">
        <v>2745</v>
      </c>
      <c r="V1" s="27" t="s">
        <v>2746</v>
      </c>
      <c r="W1" s="27" t="s">
        <v>2747</v>
      </c>
      <c r="X1" s="30" t="s">
        <v>2748</v>
      </c>
      <c r="Y1" s="30" t="s">
        <v>2749</v>
      </c>
      <c r="Z1" s="30" t="s">
        <v>2750</v>
      </c>
      <c r="AA1" s="30" t="s">
        <v>2751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1159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2752</v>
      </c>
      <c r="Q1" s="27" t="s">
        <v>2753</v>
      </c>
      <c r="R1" s="27" t="s">
        <v>2754</v>
      </c>
      <c r="S1" s="27" t="s">
        <v>2755</v>
      </c>
      <c r="T1" s="27" t="s">
        <v>2756</v>
      </c>
      <c r="U1" s="27" t="s">
        <v>2757</v>
      </c>
      <c r="V1" s="27" t="s">
        <v>2758</v>
      </c>
      <c r="W1" s="27" t="s">
        <v>2759</v>
      </c>
      <c r="X1" s="30" t="s">
        <v>2760</v>
      </c>
      <c r="Y1" s="30" t="s">
        <v>2761</v>
      </c>
      <c r="Z1" s="30" t="s">
        <v>2762</v>
      </c>
      <c r="AA1" s="30" t="s">
        <v>2763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925</v>
      </c>
      <c r="B2" s="18" t="s">
        <v>925</v>
      </c>
      <c r="C2" s="18" t="s">
        <v>926</v>
      </c>
      <c r="D2" s="18" t="n">
        <v>2019</v>
      </c>
      <c r="E2" s="18" t="s">
        <v>2764</v>
      </c>
      <c r="F2" s="18" t="s">
        <v>912</v>
      </c>
      <c r="G2" s="18" t="s">
        <v>913</v>
      </c>
      <c r="H2" s="18" t="n">
        <v>29.7</v>
      </c>
      <c r="I2" s="18" t="n">
        <v>76.96</v>
      </c>
      <c r="J2" s="18" t="s">
        <v>83</v>
      </c>
      <c r="K2" s="18" t="n">
        <v>2013</v>
      </c>
      <c r="L2" s="18" t="s">
        <v>84</v>
      </c>
      <c r="M2" s="18" t="s">
        <v>85</v>
      </c>
      <c r="N2" s="18" t="s">
        <v>86</v>
      </c>
      <c r="O2" s="18" t="s">
        <v>1666</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2765</v>
      </c>
      <c r="AS2" s="18" t="s">
        <v>1913</v>
      </c>
      <c r="AT2" s="18" t="s">
        <v>2766</v>
      </c>
      <c r="AU2" s="18" t="s">
        <v>1915</v>
      </c>
      <c r="AV2" s="18" t="s">
        <v>2767</v>
      </c>
      <c r="AW2" s="32" t="s">
        <v>2768</v>
      </c>
      <c r="AX2" s="18" t="s">
        <v>932</v>
      </c>
      <c r="AY2" s="18" t="s">
        <v>2769</v>
      </c>
      <c r="BA2" s="33" t="s">
        <v>1161</v>
      </c>
    </row>
    <row r="3" customFormat="false" ht="14.25" hidden="false" customHeight="true" outlineLevel="0" collapsed="false">
      <c r="A3" s="18" t="s">
        <v>925</v>
      </c>
      <c r="B3" s="18" t="s">
        <v>925</v>
      </c>
      <c r="C3" s="18" t="s">
        <v>926</v>
      </c>
      <c r="D3" s="18" t="n">
        <v>2019</v>
      </c>
      <c r="E3" s="18" t="s">
        <v>2764</v>
      </c>
      <c r="F3" s="18" t="s">
        <v>912</v>
      </c>
      <c r="G3" s="18" t="s">
        <v>913</v>
      </c>
      <c r="H3" s="18" t="n">
        <v>29.7</v>
      </c>
      <c r="I3" s="18" t="n">
        <v>76.96</v>
      </c>
      <c r="J3" s="18" t="s">
        <v>83</v>
      </c>
      <c r="K3" s="18" t="n">
        <v>2013</v>
      </c>
      <c r="L3" s="18" t="s">
        <v>84</v>
      </c>
      <c r="M3" s="18" t="s">
        <v>85</v>
      </c>
      <c r="N3" s="18" t="s">
        <v>1673</v>
      </c>
      <c r="O3" s="18" t="s">
        <v>1674</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2765</v>
      </c>
      <c r="AS3" s="18" t="s">
        <v>1913</v>
      </c>
      <c r="AT3" s="18" t="s">
        <v>2766</v>
      </c>
      <c r="AU3" s="18" t="s">
        <v>1915</v>
      </c>
      <c r="AV3" s="18" t="s">
        <v>2770</v>
      </c>
      <c r="AW3" s="32" t="s">
        <v>2771</v>
      </c>
      <c r="AX3" s="18" t="s">
        <v>932</v>
      </c>
      <c r="AY3" s="18" t="s">
        <v>2769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2772</v>
      </c>
      <c r="Q1" s="27" t="s">
        <v>2773</v>
      </c>
      <c r="R1" s="27" t="s">
        <v>2774</v>
      </c>
      <c r="S1" s="27" t="s">
        <v>2775</v>
      </c>
      <c r="T1" s="27" t="s">
        <v>2776</v>
      </c>
      <c r="U1" s="27" t="s">
        <v>2777</v>
      </c>
      <c r="V1" s="27" t="s">
        <v>2778</v>
      </c>
      <c r="W1" s="27" t="s">
        <v>2779</v>
      </c>
      <c r="X1" s="30" t="s">
        <v>2780</v>
      </c>
      <c r="Y1" s="30" t="s">
        <v>2781</v>
      </c>
      <c r="Z1" s="30" t="s">
        <v>2782</v>
      </c>
      <c r="AA1" s="30" t="s">
        <v>2783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925</v>
      </c>
      <c r="B2" s="18" t="s">
        <v>925</v>
      </c>
      <c r="C2" s="18" t="s">
        <v>926</v>
      </c>
      <c r="D2" s="18" t="n">
        <v>2019</v>
      </c>
      <c r="E2" s="18" t="s">
        <v>2764</v>
      </c>
      <c r="F2" s="18" t="s">
        <v>912</v>
      </c>
      <c r="G2" s="18" t="s">
        <v>913</v>
      </c>
      <c r="H2" s="18" t="n">
        <v>29.7</v>
      </c>
      <c r="I2" s="18" t="n">
        <v>76.96</v>
      </c>
      <c r="J2" s="18" t="s">
        <v>83</v>
      </c>
      <c r="K2" s="18" t="n">
        <v>2013</v>
      </c>
      <c r="L2" s="18" t="s">
        <v>84</v>
      </c>
      <c r="M2" s="18" t="s">
        <v>85</v>
      </c>
      <c r="N2" s="18" t="s">
        <v>86</v>
      </c>
      <c r="O2" s="18" t="s">
        <v>1666</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2784</v>
      </c>
      <c r="AS2" s="18" t="s">
        <v>1913</v>
      </c>
      <c r="AT2" s="18" t="s">
        <v>2766</v>
      </c>
      <c r="AU2" s="18" t="s">
        <v>1915</v>
      </c>
      <c r="AV2" s="18" t="s">
        <v>2767</v>
      </c>
      <c r="AW2" s="32" t="s">
        <v>2785</v>
      </c>
      <c r="AX2" s="18" t="s">
        <v>932</v>
      </c>
      <c r="AY2" s="18" t="s">
        <v>2769</v>
      </c>
      <c r="BA2" s="33" t="s">
        <v>1164</v>
      </c>
    </row>
    <row r="3" customFormat="false" ht="14.25" hidden="false" customHeight="true" outlineLevel="0" collapsed="false">
      <c r="A3" s="18" t="s">
        <v>925</v>
      </c>
      <c r="B3" s="18" t="s">
        <v>925</v>
      </c>
      <c r="C3" s="18" t="s">
        <v>926</v>
      </c>
      <c r="D3" s="18" t="n">
        <v>2019</v>
      </c>
      <c r="E3" s="18" t="s">
        <v>2764</v>
      </c>
      <c r="F3" s="18" t="s">
        <v>912</v>
      </c>
      <c r="G3" s="18" t="s">
        <v>913</v>
      </c>
      <c r="H3" s="18" t="n">
        <v>29.7</v>
      </c>
      <c r="I3" s="18" t="n">
        <v>76.96</v>
      </c>
      <c r="J3" s="18" t="s">
        <v>83</v>
      </c>
      <c r="K3" s="18" t="n">
        <v>2013</v>
      </c>
      <c r="L3" s="18" t="s">
        <v>84</v>
      </c>
      <c r="M3" s="18" t="s">
        <v>85</v>
      </c>
      <c r="N3" s="18" t="s">
        <v>1673</v>
      </c>
      <c r="O3" s="18" t="s">
        <v>1674</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2784</v>
      </c>
      <c r="AS3" s="18" t="s">
        <v>1913</v>
      </c>
      <c r="AT3" s="18" t="s">
        <v>2766</v>
      </c>
      <c r="AU3" s="18" t="s">
        <v>1915</v>
      </c>
      <c r="AV3" s="18" t="s">
        <v>2770</v>
      </c>
      <c r="AW3" s="32" t="s">
        <v>2786</v>
      </c>
      <c r="AX3" s="18" t="s">
        <v>932</v>
      </c>
      <c r="AY3" s="18" t="s">
        <v>2769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2787</v>
      </c>
      <c r="Q1" s="27" t="s">
        <v>2788</v>
      </c>
      <c r="R1" s="27" t="s">
        <v>2789</v>
      </c>
      <c r="S1" s="27" t="s">
        <v>2790</v>
      </c>
      <c r="T1" s="27" t="s">
        <v>2791</v>
      </c>
      <c r="U1" s="27" t="s">
        <v>2792</v>
      </c>
      <c r="V1" s="27" t="s">
        <v>2793</v>
      </c>
      <c r="W1" s="27" t="s">
        <v>2794</v>
      </c>
      <c r="X1" s="30" t="s">
        <v>2795</v>
      </c>
      <c r="Y1" s="30" t="s">
        <v>2796</v>
      </c>
      <c r="Z1" s="30" t="s">
        <v>2797</v>
      </c>
      <c r="AA1" s="30" t="s">
        <v>2798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925</v>
      </c>
      <c r="B2" s="18" t="s">
        <v>925</v>
      </c>
      <c r="C2" s="18" t="s">
        <v>926</v>
      </c>
      <c r="D2" s="18" t="n">
        <v>2019</v>
      </c>
      <c r="E2" s="18" t="s">
        <v>2764</v>
      </c>
      <c r="F2" s="18" t="s">
        <v>912</v>
      </c>
      <c r="G2" s="18" t="s">
        <v>913</v>
      </c>
      <c r="H2" s="18" t="n">
        <v>29.7</v>
      </c>
      <c r="I2" s="18" t="n">
        <v>76.96</v>
      </c>
      <c r="J2" s="18" t="s">
        <v>83</v>
      </c>
      <c r="K2" s="18" t="n">
        <v>2013</v>
      </c>
      <c r="L2" s="18" t="s">
        <v>84</v>
      </c>
      <c r="M2" s="18" t="s">
        <v>85</v>
      </c>
      <c r="N2" s="18" t="s">
        <v>86</v>
      </c>
      <c r="O2" s="18" t="s">
        <v>1666</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2799</v>
      </c>
      <c r="AS2" s="18" t="s">
        <v>1913</v>
      </c>
      <c r="AT2" s="18" t="s">
        <v>2766</v>
      </c>
      <c r="AU2" s="18" t="s">
        <v>1915</v>
      </c>
      <c r="AV2" s="18" t="s">
        <v>2767</v>
      </c>
      <c r="AW2" s="32" t="s">
        <v>2800</v>
      </c>
      <c r="AX2" s="18" t="s">
        <v>932</v>
      </c>
      <c r="AY2" s="18" t="s">
        <v>2769</v>
      </c>
      <c r="BA2" s="33" t="s">
        <v>1166</v>
      </c>
    </row>
    <row r="3" customFormat="false" ht="14.25" hidden="false" customHeight="true" outlineLevel="0" collapsed="false">
      <c r="A3" s="18" t="s">
        <v>925</v>
      </c>
      <c r="B3" s="18" t="s">
        <v>925</v>
      </c>
      <c r="C3" s="18" t="s">
        <v>926</v>
      </c>
      <c r="D3" s="18" t="n">
        <v>2019</v>
      </c>
      <c r="E3" s="18" t="s">
        <v>2764</v>
      </c>
      <c r="F3" s="18" t="s">
        <v>912</v>
      </c>
      <c r="G3" s="18" t="s">
        <v>913</v>
      </c>
      <c r="H3" s="18" t="n">
        <v>29.7</v>
      </c>
      <c r="I3" s="18" t="n">
        <v>76.96</v>
      </c>
      <c r="J3" s="18" t="s">
        <v>83</v>
      </c>
      <c r="K3" s="18" t="n">
        <v>2013</v>
      </c>
      <c r="L3" s="18" t="s">
        <v>84</v>
      </c>
      <c r="M3" s="18" t="s">
        <v>85</v>
      </c>
      <c r="N3" s="18" t="s">
        <v>1673</v>
      </c>
      <c r="O3" s="18" t="s">
        <v>1674</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2799</v>
      </c>
      <c r="AS3" s="18" t="s">
        <v>1913</v>
      </c>
      <c r="AT3" s="18" t="s">
        <v>2766</v>
      </c>
      <c r="AU3" s="18" t="s">
        <v>1915</v>
      </c>
      <c r="AV3" s="18" t="s">
        <v>2770</v>
      </c>
      <c r="AW3" s="32" t="s">
        <v>2801</v>
      </c>
      <c r="AX3" s="18" t="s">
        <v>932</v>
      </c>
      <c r="AY3" s="18" t="s">
        <v>2769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2802</v>
      </c>
      <c r="Q1" s="27" t="s">
        <v>2803</v>
      </c>
      <c r="R1" s="27" t="s">
        <v>2804</v>
      </c>
      <c r="S1" s="27" t="s">
        <v>2805</v>
      </c>
      <c r="T1" s="27" t="s">
        <v>2806</v>
      </c>
      <c r="U1" s="27" t="s">
        <v>2807</v>
      </c>
      <c r="V1" s="27" t="s">
        <v>2808</v>
      </c>
      <c r="W1" s="27" t="s">
        <v>2809</v>
      </c>
      <c r="X1" s="30" t="s">
        <v>2810</v>
      </c>
      <c r="Y1" s="30" t="s">
        <v>2811</v>
      </c>
      <c r="Z1" s="30" t="s">
        <v>2812</v>
      </c>
      <c r="AA1" s="30" t="s">
        <v>2813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925</v>
      </c>
      <c r="B2" s="18" t="s">
        <v>925</v>
      </c>
      <c r="C2" s="18" t="s">
        <v>926</v>
      </c>
      <c r="D2" s="18" t="n">
        <v>2019</v>
      </c>
      <c r="E2" s="18" t="s">
        <v>2764</v>
      </c>
      <c r="F2" s="18" t="s">
        <v>912</v>
      </c>
      <c r="G2" s="18" t="s">
        <v>913</v>
      </c>
      <c r="H2" s="18" t="n">
        <v>29.7</v>
      </c>
      <c r="I2" s="18" t="n">
        <v>76.96</v>
      </c>
      <c r="J2" s="18" t="s">
        <v>83</v>
      </c>
      <c r="K2" s="18" t="n">
        <v>2013</v>
      </c>
      <c r="L2" s="18" t="s">
        <v>84</v>
      </c>
      <c r="M2" s="18" t="s">
        <v>85</v>
      </c>
      <c r="N2" s="18" t="s">
        <v>86</v>
      </c>
      <c r="O2" s="18" t="s">
        <v>1666</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2814</v>
      </c>
      <c r="AS2" s="18" t="s">
        <v>1913</v>
      </c>
      <c r="AT2" s="18" t="s">
        <v>2766</v>
      </c>
      <c r="AU2" s="18" t="s">
        <v>1915</v>
      </c>
      <c r="AV2" s="18" t="s">
        <v>2767</v>
      </c>
      <c r="AW2" s="32" t="s">
        <v>2815</v>
      </c>
      <c r="AX2" s="18" t="s">
        <v>932</v>
      </c>
      <c r="AY2" s="18" t="s">
        <v>2769</v>
      </c>
      <c r="BA2" s="33" t="s">
        <v>1168</v>
      </c>
    </row>
    <row r="3" customFormat="false" ht="14.25" hidden="false" customHeight="true" outlineLevel="0" collapsed="false">
      <c r="A3" s="18" t="s">
        <v>925</v>
      </c>
      <c r="B3" s="18" t="s">
        <v>925</v>
      </c>
      <c r="C3" s="18" t="s">
        <v>926</v>
      </c>
      <c r="D3" s="18" t="n">
        <v>2019</v>
      </c>
      <c r="E3" s="18" t="s">
        <v>2764</v>
      </c>
      <c r="F3" s="18" t="s">
        <v>912</v>
      </c>
      <c r="G3" s="18" t="s">
        <v>913</v>
      </c>
      <c r="H3" s="18" t="n">
        <v>29.7</v>
      </c>
      <c r="I3" s="18" t="n">
        <v>76.96</v>
      </c>
      <c r="J3" s="18" t="s">
        <v>83</v>
      </c>
      <c r="K3" s="18" t="n">
        <v>2013</v>
      </c>
      <c r="L3" s="18" t="s">
        <v>84</v>
      </c>
      <c r="M3" s="18" t="s">
        <v>85</v>
      </c>
      <c r="N3" s="18" t="s">
        <v>1673</v>
      </c>
      <c r="O3" s="18" t="s">
        <v>1674</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2814</v>
      </c>
      <c r="AS3" s="18" t="s">
        <v>1913</v>
      </c>
      <c r="AT3" s="18" t="s">
        <v>2766</v>
      </c>
      <c r="AU3" s="18" t="s">
        <v>1915</v>
      </c>
      <c r="AV3" s="18" t="s">
        <v>2770</v>
      </c>
      <c r="AW3" s="32" t="s">
        <v>2816</v>
      </c>
      <c r="AX3" s="18" t="s">
        <v>932</v>
      </c>
      <c r="AY3" s="18" t="s">
        <v>2769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2817</v>
      </c>
      <c r="Q1" s="27" t="s">
        <v>2818</v>
      </c>
      <c r="R1" s="27" t="s">
        <v>2819</v>
      </c>
      <c r="S1" s="27" t="s">
        <v>2820</v>
      </c>
      <c r="T1" s="27" t="s">
        <v>2821</v>
      </c>
      <c r="U1" s="27" t="s">
        <v>2822</v>
      </c>
      <c r="V1" s="27" t="s">
        <v>2823</v>
      </c>
      <c r="W1" s="27" t="s">
        <v>2824</v>
      </c>
      <c r="X1" s="30" t="s">
        <v>2825</v>
      </c>
      <c r="Y1" s="30" t="s">
        <v>2826</v>
      </c>
      <c r="Z1" s="30" t="s">
        <v>2827</v>
      </c>
      <c r="AA1" s="30" t="s">
        <v>2828</v>
      </c>
      <c r="AB1" s="27" t="s">
        <v>2829</v>
      </c>
      <c r="AC1" s="27" t="s">
        <v>2830</v>
      </c>
      <c r="AD1" s="27" t="s">
        <v>2831</v>
      </c>
      <c r="AE1" s="28" t="s">
        <v>35</v>
      </c>
      <c r="AF1" s="28" t="s">
        <v>33</v>
      </c>
      <c r="AG1" s="28" t="s">
        <v>37</v>
      </c>
      <c r="AH1" s="21" t="s">
        <v>73</v>
      </c>
      <c r="AI1" s="21" t="s">
        <v>796</v>
      </c>
      <c r="AJ1" s="21" t="s">
        <v>797</v>
      </c>
      <c r="AK1" s="21" t="s">
        <v>74</v>
      </c>
      <c r="AL1" s="21" t="s">
        <v>1659</v>
      </c>
      <c r="AM1" s="21" t="s">
        <v>1660</v>
      </c>
      <c r="AN1" s="21" t="s">
        <v>798</v>
      </c>
      <c r="AO1" s="21" t="s">
        <v>799</v>
      </c>
      <c r="AP1" s="21" t="s">
        <v>75</v>
      </c>
      <c r="AQ1" s="21" t="s">
        <v>794</v>
      </c>
      <c r="AR1" s="21" t="s">
        <v>795</v>
      </c>
      <c r="AS1" s="21" t="s">
        <v>792</v>
      </c>
      <c r="AT1" s="21" t="s">
        <v>793</v>
      </c>
      <c r="AU1" s="22" t="s">
        <v>76</v>
      </c>
      <c r="AV1" s="22" t="s">
        <v>77</v>
      </c>
      <c r="AW1" s="22" t="s">
        <v>1661</v>
      </c>
      <c r="AX1" s="22" t="s">
        <v>1662</v>
      </c>
      <c r="AY1" s="22" t="s">
        <v>78</v>
      </c>
      <c r="AZ1" s="22" t="s">
        <v>811</v>
      </c>
      <c r="BA1" s="22" t="s">
        <v>1663</v>
      </c>
      <c r="BB1" s="22" t="s">
        <v>1664</v>
      </c>
      <c r="BD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2832</v>
      </c>
      <c r="O2" s="18" t="s">
        <v>2833</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699</v>
      </c>
      <c r="AV2" s="18" t="s">
        <v>1667</v>
      </c>
      <c r="AW2" s="18" t="s">
        <v>1668</v>
      </c>
      <c r="AX2" s="18" t="s">
        <v>1669</v>
      </c>
      <c r="AY2" s="18" t="s">
        <v>1725</v>
      </c>
      <c r="AZ2" s="32" t="s">
        <v>2834</v>
      </c>
      <c r="BA2" s="18" t="s">
        <v>898</v>
      </c>
      <c r="BB2" s="18" t="s">
        <v>2835</v>
      </c>
      <c r="BD2" s="33" t="s">
        <v>1169</v>
      </c>
    </row>
    <row r="3" customFormat="false" ht="15" hidden="false" customHeight="true" outlineLevel="0" collapsed="false">
      <c r="A3" s="18" t="n">
        <v>168</v>
      </c>
      <c r="B3" s="18" t="n">
        <v>168</v>
      </c>
      <c r="C3" s="18" t="s">
        <v>883</v>
      </c>
      <c r="D3" s="18" t="n">
        <v>2020</v>
      </c>
      <c r="E3" s="18" t="s">
        <v>884</v>
      </c>
      <c r="F3" s="18" t="s">
        <v>887</v>
      </c>
      <c r="G3" s="18" t="s">
        <v>888</v>
      </c>
      <c r="H3" s="18" t="n">
        <v>30.933</v>
      </c>
      <c r="I3" s="18" t="n">
        <v>75.867</v>
      </c>
      <c r="J3" s="18" t="s">
        <v>891</v>
      </c>
      <c r="K3" s="18" t="n">
        <v>2016</v>
      </c>
      <c r="L3" s="18" t="s">
        <v>84</v>
      </c>
      <c r="M3" s="18" t="s">
        <v>85</v>
      </c>
      <c r="N3" s="18" t="s">
        <v>2836</v>
      </c>
      <c r="O3" s="18" t="s">
        <v>2837</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699</v>
      </c>
      <c r="AV3" s="18" t="s">
        <v>1667</v>
      </c>
      <c r="AW3" s="18" t="s">
        <v>1668</v>
      </c>
      <c r="AX3" s="18" t="s">
        <v>1669</v>
      </c>
      <c r="AY3" s="18" t="s">
        <v>2838</v>
      </c>
      <c r="AZ3" s="32" t="s">
        <v>2839</v>
      </c>
      <c r="BA3" s="18" t="s">
        <v>898</v>
      </c>
      <c r="BB3" s="18" t="s">
        <v>2840</v>
      </c>
    </row>
    <row r="4" customFormat="false" ht="15" hidden="false" customHeight="true" outlineLevel="0" collapsed="false">
      <c r="A4" s="5" t="s">
        <v>952</v>
      </c>
      <c r="B4" s="5" t="s">
        <v>952</v>
      </c>
      <c r="C4" s="5" t="s">
        <v>953</v>
      </c>
      <c r="D4" s="5" t="n">
        <v>2023</v>
      </c>
      <c r="E4" s="5" t="s">
        <v>954</v>
      </c>
      <c r="F4" s="5" t="s">
        <v>957</v>
      </c>
      <c r="G4" s="5" t="s">
        <v>958</v>
      </c>
      <c r="H4" s="5" t="n">
        <v>35.27</v>
      </c>
      <c r="I4" s="5" t="n">
        <v>119.38</v>
      </c>
      <c r="J4" s="5" t="s">
        <v>891</v>
      </c>
      <c r="K4" s="5" t="n">
        <v>2020</v>
      </c>
      <c r="L4" s="5" t="s">
        <v>842</v>
      </c>
      <c r="M4" s="5"/>
      <c r="N4" s="5" t="s">
        <v>2138</v>
      </c>
      <c r="O4" s="5" t="s">
        <v>2841</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699</v>
      </c>
      <c r="AV4" s="5" t="s">
        <v>1686</v>
      </c>
      <c r="AW4" s="5" t="s">
        <v>2842</v>
      </c>
      <c r="AX4" s="5" t="s">
        <v>1688</v>
      </c>
      <c r="AY4" s="5" t="s">
        <v>2843</v>
      </c>
      <c r="AZ4" s="23" t="s">
        <v>2844</v>
      </c>
      <c r="BA4" s="5" t="s">
        <v>968</v>
      </c>
      <c r="BB4" s="5" t="s">
        <v>2845</v>
      </c>
    </row>
    <row r="5" customFormat="false" ht="15" hidden="false" customHeight="true" outlineLevel="0" collapsed="false">
      <c r="A5" s="5" t="s">
        <v>952</v>
      </c>
      <c r="B5" s="5" t="s">
        <v>952</v>
      </c>
      <c r="C5" s="5" t="s">
        <v>953</v>
      </c>
      <c r="D5" s="5" t="n">
        <v>2023</v>
      </c>
      <c r="E5" s="5" t="s">
        <v>954</v>
      </c>
      <c r="F5" s="5" t="s">
        <v>957</v>
      </c>
      <c r="G5" s="5" t="s">
        <v>958</v>
      </c>
      <c r="H5" s="5" t="n">
        <v>35.27</v>
      </c>
      <c r="I5" s="5" t="n">
        <v>119.38</v>
      </c>
      <c r="J5" s="5" t="s">
        <v>891</v>
      </c>
      <c r="K5" s="5" t="n">
        <v>2020</v>
      </c>
      <c r="L5" s="5" t="s">
        <v>842</v>
      </c>
      <c r="M5" s="5"/>
      <c r="N5" s="5" t="s">
        <v>2832</v>
      </c>
      <c r="O5" s="5" t="s">
        <v>2846</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699</v>
      </c>
      <c r="AV5" s="5" t="s">
        <v>1686</v>
      </c>
      <c r="AW5" s="5" t="s">
        <v>2842</v>
      </c>
      <c r="AX5" s="5" t="s">
        <v>1688</v>
      </c>
      <c r="AY5" s="5" t="s">
        <v>2843</v>
      </c>
      <c r="AZ5" s="23" t="s">
        <v>2844</v>
      </c>
      <c r="BA5" s="5" t="s">
        <v>968</v>
      </c>
      <c r="BB5" s="5" t="s">
        <v>2845</v>
      </c>
    </row>
    <row r="6" customFormat="false" ht="15" hidden="false" customHeight="true" outlineLevel="0" collapsed="false">
      <c r="A6" s="5" t="s">
        <v>952</v>
      </c>
      <c r="B6" s="5" t="s">
        <v>952</v>
      </c>
      <c r="C6" s="5" t="s">
        <v>953</v>
      </c>
      <c r="D6" s="5" t="n">
        <v>2023</v>
      </c>
      <c r="E6" s="5" t="s">
        <v>954</v>
      </c>
      <c r="F6" s="5" t="s">
        <v>957</v>
      </c>
      <c r="G6" s="5" t="s">
        <v>958</v>
      </c>
      <c r="H6" s="5" t="n">
        <v>35.27</v>
      </c>
      <c r="I6" s="5" t="n">
        <v>119.38</v>
      </c>
      <c r="J6" s="5" t="s">
        <v>891</v>
      </c>
      <c r="K6" s="5" t="n">
        <v>2020</v>
      </c>
      <c r="L6" s="5" t="s">
        <v>842</v>
      </c>
      <c r="M6" s="5"/>
      <c r="N6" s="5" t="s">
        <v>2836</v>
      </c>
      <c r="O6" s="5" t="s">
        <v>2847</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699</v>
      </c>
      <c r="AV6" s="5" t="s">
        <v>1686</v>
      </c>
      <c r="AW6" s="5" t="s">
        <v>2842</v>
      </c>
      <c r="AX6" s="5" t="s">
        <v>1688</v>
      </c>
      <c r="AY6" s="5" t="s">
        <v>2843</v>
      </c>
      <c r="AZ6" s="23" t="s">
        <v>2844</v>
      </c>
      <c r="BA6" s="5" t="s">
        <v>968</v>
      </c>
      <c r="BB6" s="5" t="s">
        <v>2845</v>
      </c>
    </row>
    <row r="7" customFormat="false" ht="14.25" hidden="false" customHeight="true" outlineLevel="0" collapsed="false">
      <c r="A7" s="18" t="s">
        <v>925</v>
      </c>
      <c r="B7" s="18" t="s">
        <v>925</v>
      </c>
      <c r="C7" s="18" t="s">
        <v>926</v>
      </c>
      <c r="D7" s="18" t="n">
        <v>2019</v>
      </c>
      <c r="E7" s="18" t="s">
        <v>2764</v>
      </c>
      <c r="F7" s="18" t="s">
        <v>912</v>
      </c>
      <c r="G7" s="18" t="s">
        <v>913</v>
      </c>
      <c r="H7" s="18" t="n">
        <v>29.7</v>
      </c>
      <c r="I7" s="18" t="n">
        <v>76.96</v>
      </c>
      <c r="J7" s="18" t="s">
        <v>83</v>
      </c>
      <c r="K7" s="18" t="n">
        <v>2013</v>
      </c>
      <c r="L7" s="18" t="s">
        <v>84</v>
      </c>
      <c r="M7" s="18" t="s">
        <v>85</v>
      </c>
      <c r="N7" s="18" t="s">
        <v>2832</v>
      </c>
      <c r="O7" s="18" t="s">
        <v>2848</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699</v>
      </c>
      <c r="AV7" s="18" t="s">
        <v>1913</v>
      </c>
      <c r="AW7" s="18" t="s">
        <v>2766</v>
      </c>
      <c r="AX7" s="18" t="s">
        <v>1915</v>
      </c>
      <c r="AY7" s="18" t="s">
        <v>2849</v>
      </c>
      <c r="AZ7" s="32" t="s">
        <v>2850</v>
      </c>
      <c r="BA7" s="18" t="s">
        <v>932</v>
      </c>
      <c r="BB7" s="18" t="s">
        <v>2851</v>
      </c>
    </row>
    <row r="8" customFormat="false" ht="14.25" hidden="false" customHeight="true" outlineLevel="0" collapsed="false">
      <c r="A8" s="18" t="s">
        <v>925</v>
      </c>
      <c r="B8" s="18" t="s">
        <v>925</v>
      </c>
      <c r="C8" s="18" t="s">
        <v>926</v>
      </c>
      <c r="D8" s="18" t="n">
        <v>2019</v>
      </c>
      <c r="E8" s="18" t="s">
        <v>2764</v>
      </c>
      <c r="F8" s="18" t="s">
        <v>912</v>
      </c>
      <c r="G8" s="18" t="s">
        <v>913</v>
      </c>
      <c r="H8" s="18" t="n">
        <v>29.7</v>
      </c>
      <c r="I8" s="18" t="n">
        <v>76.96</v>
      </c>
      <c r="J8" s="18" t="s">
        <v>83</v>
      </c>
      <c r="K8" s="18" t="n">
        <v>2013</v>
      </c>
      <c r="L8" s="18" t="s">
        <v>84</v>
      </c>
      <c r="M8" s="18" t="s">
        <v>85</v>
      </c>
      <c r="N8" s="18" t="s">
        <v>2836</v>
      </c>
      <c r="O8" s="18" t="s">
        <v>2837</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699</v>
      </c>
      <c r="AV8" s="18" t="s">
        <v>1913</v>
      </c>
      <c r="AW8" s="18" t="s">
        <v>2766</v>
      </c>
      <c r="AX8" s="18" t="s">
        <v>1915</v>
      </c>
      <c r="AY8" s="18" t="s">
        <v>2852</v>
      </c>
      <c r="AZ8" s="32" t="s">
        <v>2853</v>
      </c>
      <c r="BA8" s="18" t="s">
        <v>932</v>
      </c>
      <c r="BB8" s="18" t="s">
        <v>2854</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2832</v>
      </c>
      <c r="O9" s="18" t="s">
        <v>2848</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699</v>
      </c>
      <c r="AV9" s="18" t="s">
        <v>1699</v>
      </c>
      <c r="AW9" s="18" t="s">
        <v>1700</v>
      </c>
      <c r="AX9" s="18" t="s">
        <v>1701</v>
      </c>
      <c r="AY9" s="18" t="s">
        <v>1670</v>
      </c>
      <c r="AZ9" s="32" t="s">
        <v>2855</v>
      </c>
      <c r="BA9" s="18" t="s">
        <v>949</v>
      </c>
      <c r="BB9" s="18" t="s">
        <v>2856</v>
      </c>
    </row>
    <row r="10" customFormat="false" ht="14.25" hidden="false" customHeight="true" outlineLevel="0" collapsed="false">
      <c r="A10" s="18" t="s">
        <v>935</v>
      </c>
      <c r="B10" s="18" t="s">
        <v>935</v>
      </c>
      <c r="C10" s="18" t="s">
        <v>936</v>
      </c>
      <c r="D10" s="18" t="n">
        <v>2020</v>
      </c>
      <c r="E10" s="18" t="s">
        <v>937</v>
      </c>
      <c r="F10" s="18" t="s">
        <v>836</v>
      </c>
      <c r="G10" s="18" t="s">
        <v>940</v>
      </c>
      <c r="H10" s="18" t="n">
        <v>28.4</v>
      </c>
      <c r="I10" s="18" t="n">
        <v>77.1</v>
      </c>
      <c r="J10" s="18" t="s">
        <v>83</v>
      </c>
      <c r="K10" s="18" t="s">
        <v>1698</v>
      </c>
      <c r="L10" s="18" t="s">
        <v>823</v>
      </c>
      <c r="M10" s="18" t="s">
        <v>85</v>
      </c>
      <c r="N10" s="18" t="s">
        <v>2832</v>
      </c>
      <c r="O10" s="18" t="s">
        <v>2848</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699</v>
      </c>
      <c r="AV10" s="18" t="s">
        <v>1705</v>
      </c>
      <c r="AW10" s="18" t="s">
        <v>1700</v>
      </c>
      <c r="AX10" s="18" t="s">
        <v>1701</v>
      </c>
      <c r="AY10" s="18" t="s">
        <v>1670</v>
      </c>
      <c r="AZ10" s="32" t="s">
        <v>2857</v>
      </c>
      <c r="BA10" s="18" t="s">
        <v>949</v>
      </c>
      <c r="BB10" s="18" t="s">
        <v>2856</v>
      </c>
    </row>
    <row r="11" customFormat="false" ht="14.25" hidden="false" customHeight="true" outlineLevel="0" collapsed="false">
      <c r="A11" s="18" t="s">
        <v>935</v>
      </c>
      <c r="B11" s="18" t="s">
        <v>935</v>
      </c>
      <c r="C11" s="18" t="s">
        <v>936</v>
      </c>
      <c r="D11" s="18" t="n">
        <v>2020</v>
      </c>
      <c r="E11" s="18" t="s">
        <v>937</v>
      </c>
      <c r="F11" s="18" t="s">
        <v>836</v>
      </c>
      <c r="G11" s="18" t="s">
        <v>940</v>
      </c>
      <c r="H11" s="18" t="n">
        <v>28.4</v>
      </c>
      <c r="I11" s="18" t="n">
        <v>77.1</v>
      </c>
      <c r="J11" s="18" t="s">
        <v>83</v>
      </c>
      <c r="K11" s="18" t="s">
        <v>1698</v>
      </c>
      <c r="L11" s="18" t="s">
        <v>823</v>
      </c>
      <c r="M11" s="18" t="s">
        <v>85</v>
      </c>
      <c r="N11" s="18" t="s">
        <v>2832</v>
      </c>
      <c r="O11" s="18" t="s">
        <v>2848</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699</v>
      </c>
      <c r="AV11" s="18" t="s">
        <v>1707</v>
      </c>
      <c r="AW11" s="18" t="s">
        <v>1700</v>
      </c>
      <c r="AX11" s="18" t="s">
        <v>1701</v>
      </c>
      <c r="AY11" s="18" t="s">
        <v>1670</v>
      </c>
      <c r="AZ11" s="32" t="s">
        <v>2858</v>
      </c>
      <c r="BA11" s="18" t="s">
        <v>949</v>
      </c>
      <c r="BB11" s="18" t="s">
        <v>2856</v>
      </c>
    </row>
    <row r="12" customFormat="false" ht="14.25" hidden="false" customHeight="true" outlineLevel="0" collapsed="false">
      <c r="A12" s="18" t="s">
        <v>935</v>
      </c>
      <c r="B12" s="18" t="s">
        <v>935</v>
      </c>
      <c r="C12" s="18" t="s">
        <v>936</v>
      </c>
      <c r="D12" s="18" t="n">
        <v>2020</v>
      </c>
      <c r="E12" s="18" t="s">
        <v>937</v>
      </c>
      <c r="F12" s="18" t="s">
        <v>836</v>
      </c>
      <c r="G12" s="18" t="s">
        <v>940</v>
      </c>
      <c r="H12" s="18" t="n">
        <v>28.4</v>
      </c>
      <c r="I12" s="18" t="n">
        <v>77.1</v>
      </c>
      <c r="J12" s="18" t="s">
        <v>83</v>
      </c>
      <c r="K12" s="18" t="s">
        <v>1698</v>
      </c>
      <c r="L12" s="18" t="s">
        <v>823</v>
      </c>
      <c r="M12" s="18" t="s">
        <v>85</v>
      </c>
      <c r="N12" s="18" t="s">
        <v>2832</v>
      </c>
      <c r="O12" s="18" t="s">
        <v>2848</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699</v>
      </c>
      <c r="AV12" s="18" t="s">
        <v>1709</v>
      </c>
      <c r="AW12" s="18" t="s">
        <v>1700</v>
      </c>
      <c r="AX12" s="18" t="s">
        <v>1701</v>
      </c>
      <c r="AY12" s="18" t="s">
        <v>1670</v>
      </c>
      <c r="AZ12" s="32" t="s">
        <v>2859</v>
      </c>
      <c r="BA12" s="18" t="s">
        <v>949</v>
      </c>
      <c r="BB12" s="18" t="s">
        <v>2856</v>
      </c>
    </row>
    <row r="13" customFormat="false" ht="14.25" hidden="false" customHeight="true" outlineLevel="0" collapsed="false">
      <c r="A13" s="18" t="s">
        <v>935</v>
      </c>
      <c r="B13" s="18" t="s">
        <v>935</v>
      </c>
      <c r="C13" s="18" t="s">
        <v>936</v>
      </c>
      <c r="D13" s="18" t="n">
        <v>2020</v>
      </c>
      <c r="E13" s="18" t="s">
        <v>937</v>
      </c>
      <c r="F13" s="18" t="s">
        <v>836</v>
      </c>
      <c r="G13" s="18" t="s">
        <v>940</v>
      </c>
      <c r="H13" s="18" t="n">
        <v>28.4</v>
      </c>
      <c r="I13" s="18" t="n">
        <v>77.1</v>
      </c>
      <c r="J13" s="18" t="s">
        <v>83</v>
      </c>
      <c r="K13" s="18" t="s">
        <v>1698</v>
      </c>
      <c r="L13" s="18" t="s">
        <v>823</v>
      </c>
      <c r="M13" s="18" t="s">
        <v>85</v>
      </c>
      <c r="N13" s="18" t="s">
        <v>2832</v>
      </c>
      <c r="O13" s="18" t="s">
        <v>2848</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699</v>
      </c>
      <c r="AV13" s="18" t="s">
        <v>1711</v>
      </c>
      <c r="AW13" s="18" t="s">
        <v>1700</v>
      </c>
      <c r="AX13" s="18" t="s">
        <v>1701</v>
      </c>
      <c r="AY13" s="18" t="s">
        <v>1670</v>
      </c>
      <c r="AZ13" s="32" t="s">
        <v>2860</v>
      </c>
      <c r="BA13" s="18" t="s">
        <v>949</v>
      </c>
      <c r="BB13" s="18" t="s">
        <v>2856</v>
      </c>
    </row>
    <row r="14" customFormat="false" ht="14.25" hidden="false" customHeight="true" outlineLevel="0" collapsed="false">
      <c r="A14" s="18" t="s">
        <v>935</v>
      </c>
      <c r="B14" s="18" t="s">
        <v>935</v>
      </c>
      <c r="C14" s="18" t="s">
        <v>936</v>
      </c>
      <c r="D14" s="18" t="n">
        <v>2020</v>
      </c>
      <c r="E14" s="18" t="s">
        <v>937</v>
      </c>
      <c r="F14" s="18" t="s">
        <v>836</v>
      </c>
      <c r="G14" s="18" t="s">
        <v>940</v>
      </c>
      <c r="H14" s="18" t="n">
        <v>28.4</v>
      </c>
      <c r="I14" s="18" t="n">
        <v>77.1</v>
      </c>
      <c r="J14" s="18" t="s">
        <v>83</v>
      </c>
      <c r="K14" s="18" t="s">
        <v>1698</v>
      </c>
      <c r="L14" s="18" t="s">
        <v>823</v>
      </c>
      <c r="M14" s="18" t="s">
        <v>85</v>
      </c>
      <c r="N14" s="18" t="s">
        <v>2832</v>
      </c>
      <c r="O14" s="18" t="s">
        <v>2848</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699</v>
      </c>
      <c r="AV14" s="18" t="s">
        <v>1713</v>
      </c>
      <c r="AW14" s="18" t="s">
        <v>1700</v>
      </c>
      <c r="AX14" s="18" t="s">
        <v>1701</v>
      </c>
      <c r="AY14" s="18" t="s">
        <v>1670</v>
      </c>
      <c r="AZ14" s="32" t="s">
        <v>2861</v>
      </c>
      <c r="BA14" s="18" t="s">
        <v>949</v>
      </c>
      <c r="BB14" s="18" t="s">
        <v>2856</v>
      </c>
    </row>
    <row r="15" customFormat="false" ht="14.25" hidden="false" customHeight="true" outlineLevel="0" collapsed="false">
      <c r="A15" s="18" t="s">
        <v>935</v>
      </c>
      <c r="B15" s="18" t="s">
        <v>935</v>
      </c>
      <c r="C15" s="18" t="s">
        <v>936</v>
      </c>
      <c r="D15" s="18" t="n">
        <v>2020</v>
      </c>
      <c r="E15" s="18" t="s">
        <v>937</v>
      </c>
      <c r="F15" s="18" t="s">
        <v>836</v>
      </c>
      <c r="G15" s="18" t="s">
        <v>940</v>
      </c>
      <c r="H15" s="18" t="n">
        <v>28.4</v>
      </c>
      <c r="I15" s="18" t="n">
        <v>77.1</v>
      </c>
      <c r="J15" s="18" t="s">
        <v>83</v>
      </c>
      <c r="K15" s="18" t="s">
        <v>1698</v>
      </c>
      <c r="L15" s="18" t="s">
        <v>823</v>
      </c>
      <c r="M15" s="18" t="s">
        <v>85</v>
      </c>
      <c r="N15" s="18" t="s">
        <v>2832</v>
      </c>
      <c r="O15" s="18" t="s">
        <v>2848</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699</v>
      </c>
      <c r="AV15" s="18" t="s">
        <v>1715</v>
      </c>
      <c r="AW15" s="18" t="s">
        <v>1700</v>
      </c>
      <c r="AX15" s="18" t="s">
        <v>1701</v>
      </c>
      <c r="AY15" s="18" t="s">
        <v>1670</v>
      </c>
      <c r="AZ15" s="32" t="s">
        <v>2862</v>
      </c>
      <c r="BA15" s="18" t="s">
        <v>949</v>
      </c>
      <c r="BB15" s="18" t="s">
        <v>2856</v>
      </c>
    </row>
    <row r="16" customFormat="false" ht="14.25" hidden="false" customHeight="true" outlineLevel="0" collapsed="false">
      <c r="A16" s="18" t="s">
        <v>935</v>
      </c>
      <c r="B16" s="18" t="s">
        <v>935</v>
      </c>
      <c r="C16" s="18" t="s">
        <v>936</v>
      </c>
      <c r="D16" s="18" t="n">
        <v>2020</v>
      </c>
      <c r="E16" s="18" t="s">
        <v>937</v>
      </c>
      <c r="F16" s="18" t="s">
        <v>836</v>
      </c>
      <c r="G16" s="18" t="s">
        <v>940</v>
      </c>
      <c r="H16" s="18" t="n">
        <v>28.4</v>
      </c>
      <c r="I16" s="18" t="n">
        <v>77.1</v>
      </c>
      <c r="J16" s="18" t="s">
        <v>83</v>
      </c>
      <c r="K16" s="18" t="s">
        <v>1698</v>
      </c>
      <c r="L16" s="18" t="s">
        <v>823</v>
      </c>
      <c r="M16" s="18" t="s">
        <v>85</v>
      </c>
      <c r="N16" s="18" t="s">
        <v>2832</v>
      </c>
      <c r="O16" s="18" t="s">
        <v>2848</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699</v>
      </c>
      <c r="AV16" s="18" t="s">
        <v>1717</v>
      </c>
      <c r="AW16" s="18" t="s">
        <v>1700</v>
      </c>
      <c r="AX16" s="18" t="s">
        <v>1701</v>
      </c>
      <c r="AY16" s="18" t="s">
        <v>1670</v>
      </c>
      <c r="AZ16" s="32" t="s">
        <v>2863</v>
      </c>
      <c r="BA16" s="18" t="s">
        <v>949</v>
      </c>
      <c r="BB16" s="18" t="s">
        <v>2856</v>
      </c>
    </row>
    <row r="17" customFormat="false" ht="14.25" hidden="false" customHeight="false" outlineLevel="0" collapsed="false">
      <c r="A17" s="24" t="s">
        <v>988</v>
      </c>
      <c r="B17" s="24" t="s">
        <v>988</v>
      </c>
      <c r="C17" s="24" t="s">
        <v>989</v>
      </c>
      <c r="D17" s="24" t="n">
        <v>2011</v>
      </c>
      <c r="E17" s="24" t="s">
        <v>990</v>
      </c>
      <c r="F17" s="24" t="s">
        <v>857</v>
      </c>
      <c r="G17" s="24" t="s">
        <v>993</v>
      </c>
      <c r="H17" s="24" t="n">
        <v>29.017</v>
      </c>
      <c r="I17" s="24" t="n">
        <v>77.75</v>
      </c>
      <c r="J17" s="24" t="s">
        <v>83</v>
      </c>
      <c r="K17" s="24" t="s">
        <v>1931</v>
      </c>
      <c r="L17" s="24" t="s">
        <v>84</v>
      </c>
      <c r="M17" s="24" t="s">
        <v>85</v>
      </c>
      <c r="N17" s="24" t="s">
        <v>2832</v>
      </c>
      <c r="O17" s="24" t="s">
        <v>2833</v>
      </c>
      <c r="P17" s="24"/>
      <c r="Q17" s="24" t="n">
        <f aca="false">ROUND('SOC(active C pool)'!Q30*AVERAGE(BD!Q23,BD!Q25,BD!Q27)*15*0.1,2)</f>
        <v>13.2</v>
      </c>
      <c r="R17" s="24" t="n">
        <f aca="false">ROUND('SOC(active C pool)'!R30*AVERAGE(BD!R23,BD!R25,BD!R27)*15*0.1,2)</f>
        <v>16.15</v>
      </c>
      <c r="S17" s="24"/>
      <c r="T17" s="24"/>
      <c r="U17" s="24" t="n">
        <f aca="false">ROUND('SOC(active C pool)'!U30*AVERAGE(BD!U23,BD!U25,BD!U27)*15*0.1,2)</f>
        <v>13.95</v>
      </c>
      <c r="V17" s="24"/>
      <c r="W17" s="24"/>
      <c r="X17" s="24"/>
      <c r="Y17" s="24" t="n">
        <f aca="false">ROUND('SOC(active C pool)'!Y30*AVERAGE(BD!Y23,BD!Y25,BD!Y27)*15*0.1,2)</f>
        <v>13.31</v>
      </c>
      <c r="Z17" s="24"/>
      <c r="AA17" s="24"/>
      <c r="AB17" s="24"/>
      <c r="AC17" s="24"/>
      <c r="AD17" s="24"/>
      <c r="AE17" s="24" t="n">
        <v>2</v>
      </c>
      <c r="AF17" s="24" t="n">
        <v>3</v>
      </c>
      <c r="AG17" s="24" t="n">
        <f aca="false">IF(AND(N(AE17)&gt;0,N(AF17)&gt;0),SQRT(2*AE17/AF17),"")</f>
        <v>1.15470053837925</v>
      </c>
      <c r="AH17" s="24" t="n">
        <v>19</v>
      </c>
      <c r="AI17" s="24" t="n">
        <v>2</v>
      </c>
      <c r="AJ17" s="24" t="n">
        <v>43</v>
      </c>
      <c r="AK17" s="24" t="n">
        <v>800</v>
      </c>
      <c r="AL17" s="24" t="n">
        <v>29.017</v>
      </c>
      <c r="AM17" s="24" t="n">
        <v>7</v>
      </c>
      <c r="AN17" s="24"/>
      <c r="AO17" s="24"/>
      <c r="AP17" s="24" t="n">
        <v>8.1</v>
      </c>
      <c r="AQ17" s="24"/>
      <c r="AR17" s="24"/>
      <c r="AS17" s="24" t="n">
        <v>55</v>
      </c>
      <c r="AT17" s="24" t="n">
        <v>26</v>
      </c>
      <c r="AU17" s="24" t="s">
        <v>699</v>
      </c>
      <c r="AV17" s="24" t="s">
        <v>1722</v>
      </c>
      <c r="AW17" s="24" t="s">
        <v>2549</v>
      </c>
      <c r="AX17" s="24" t="s">
        <v>1724</v>
      </c>
      <c r="AY17" s="24" t="s">
        <v>2864</v>
      </c>
      <c r="AZ17" s="25" t="s">
        <v>2865</v>
      </c>
      <c r="BA17" s="24" t="s">
        <v>1008</v>
      </c>
      <c r="BB17" s="24" t="s">
        <v>2866</v>
      </c>
    </row>
    <row r="18" customFormat="false" ht="14.25" hidden="false" customHeight="false" outlineLevel="0" collapsed="false">
      <c r="A18" s="24" t="s">
        <v>988</v>
      </c>
      <c r="B18" s="24" t="s">
        <v>988</v>
      </c>
      <c r="C18" s="24" t="s">
        <v>989</v>
      </c>
      <c r="D18" s="24" t="n">
        <v>2011</v>
      </c>
      <c r="E18" s="24" t="s">
        <v>990</v>
      </c>
      <c r="F18" s="24" t="s">
        <v>857</v>
      </c>
      <c r="G18" s="24" t="s">
        <v>993</v>
      </c>
      <c r="H18" s="24" t="n">
        <v>29.017</v>
      </c>
      <c r="I18" s="24" t="n">
        <v>77.75</v>
      </c>
      <c r="J18" s="24" t="s">
        <v>83</v>
      </c>
      <c r="K18" s="24" t="s">
        <v>1931</v>
      </c>
      <c r="L18" s="24" t="s">
        <v>84</v>
      </c>
      <c r="M18" s="24" t="s">
        <v>85</v>
      </c>
      <c r="N18" s="24" t="s">
        <v>2832</v>
      </c>
      <c r="O18" s="24" t="s">
        <v>2833</v>
      </c>
      <c r="P18" s="24"/>
      <c r="Q18" s="24" t="n">
        <f aca="false">ROUND('SOC(active C pool)'!Q31*AVERAGE(BD!Q24,BD!Q26,BD!Q28)*15*0.1,2)</f>
        <v>13.2</v>
      </c>
      <c r="R18" s="24" t="n">
        <f aca="false">ROUND('SOC(active C pool)'!R31*AVERAGE(BD!R24,BD!R26,BD!R28)*15*0.1,2)</f>
        <v>14.97</v>
      </c>
      <c r="S18" s="24"/>
      <c r="T18" s="24"/>
      <c r="U18" s="24" t="n">
        <f aca="false">ROUND('SOC(active C pool)'!U31*AVERAGE(BD!U24,BD!U26,BD!U28)*15*0.1,2)</f>
        <v>13.57</v>
      </c>
      <c r="V18" s="24"/>
      <c r="W18" s="24"/>
      <c r="X18" s="24"/>
      <c r="Y18" s="24" t="n">
        <f aca="false">ROUND('SOC(active C pool)'!Y31*AVERAGE(BD!Y24,BD!Y26,BD!Y28)*15*0.1,2)</f>
        <v>13.31</v>
      </c>
      <c r="Z18" s="24"/>
      <c r="AA18" s="24"/>
      <c r="AB18" s="24"/>
      <c r="AC18" s="24"/>
      <c r="AD18" s="24"/>
      <c r="AE18" s="24" t="n">
        <v>2</v>
      </c>
      <c r="AF18" s="24" t="n">
        <v>3</v>
      </c>
      <c r="AG18" s="24" t="n">
        <f aca="false">IF(AND(N(AE18)&gt;0,N(AF18)&gt;0),SQRT(2*AE18/AF18),"")</f>
        <v>1.15470053837925</v>
      </c>
      <c r="AH18" s="24" t="n">
        <v>19</v>
      </c>
      <c r="AI18" s="24" t="n">
        <v>2</v>
      </c>
      <c r="AJ18" s="24" t="n">
        <v>43</v>
      </c>
      <c r="AK18" s="24" t="n">
        <v>800</v>
      </c>
      <c r="AL18" s="24" t="n">
        <v>29.017</v>
      </c>
      <c r="AM18" s="24" t="n">
        <v>7</v>
      </c>
      <c r="AN18" s="24"/>
      <c r="AO18" s="24"/>
      <c r="AP18" s="24" t="n">
        <v>8.1</v>
      </c>
      <c r="AQ18" s="24"/>
      <c r="AR18" s="24"/>
      <c r="AS18" s="24" t="n">
        <v>55</v>
      </c>
      <c r="AT18" s="24" t="n">
        <v>26</v>
      </c>
      <c r="AU18" s="24" t="s">
        <v>699</v>
      </c>
      <c r="AV18" s="24" t="s">
        <v>1722</v>
      </c>
      <c r="AW18" s="24" t="s">
        <v>2549</v>
      </c>
      <c r="AX18" s="24" t="s">
        <v>1724</v>
      </c>
      <c r="AY18" s="24" t="s">
        <v>2864</v>
      </c>
      <c r="AZ18" s="25" t="s">
        <v>2867</v>
      </c>
      <c r="BA18" s="24" t="s">
        <v>1008</v>
      </c>
      <c r="BB18" s="24" t="s">
        <v>2866</v>
      </c>
    </row>
    <row r="19" customFormat="false" ht="14.25" hidden="false" customHeight="false" outlineLevel="0" collapsed="false">
      <c r="A19" s="24" t="s">
        <v>1011</v>
      </c>
      <c r="B19" s="24" t="s">
        <v>1011</v>
      </c>
      <c r="C19" s="24" t="s">
        <v>1012</v>
      </c>
      <c r="D19" s="24" t="n">
        <v>2022</v>
      </c>
      <c r="E19" s="24" t="s">
        <v>813</v>
      </c>
      <c r="F19" s="24" t="s">
        <v>1015</v>
      </c>
      <c r="G19" s="24" t="s">
        <v>1016</v>
      </c>
      <c r="H19" s="24" t="n">
        <v>24.724</v>
      </c>
      <c r="I19" s="24" t="n">
        <v>90.437</v>
      </c>
      <c r="J19" s="24" t="s">
        <v>83</v>
      </c>
      <c r="K19" s="24" t="s">
        <v>1734</v>
      </c>
      <c r="L19" s="24" t="s">
        <v>84</v>
      </c>
      <c r="M19" s="24" t="s">
        <v>85</v>
      </c>
      <c r="N19" s="24" t="s">
        <v>2832</v>
      </c>
      <c r="O19" s="24" t="s">
        <v>2833</v>
      </c>
      <c r="P19" s="24"/>
      <c r="Q19" s="24"/>
      <c r="R19" s="24"/>
      <c r="S19" s="24"/>
      <c r="T19" s="24" t="n">
        <v>27.3</v>
      </c>
      <c r="U19" s="24"/>
      <c r="V19" s="24" t="n">
        <v>21.5</v>
      </c>
      <c r="W19" s="24"/>
      <c r="X19" s="24"/>
      <c r="Y19" s="24"/>
      <c r="Z19" s="24"/>
      <c r="AA19" s="24"/>
      <c r="AB19" s="24" t="n">
        <f aca="false">ROUND(13.2*1.58*15*0.1,2)</f>
        <v>31.28</v>
      </c>
      <c r="AC19" s="24"/>
      <c r="AD19" s="24"/>
      <c r="AE19" s="24" t="n">
        <v>2</v>
      </c>
      <c r="AF19" s="24" t="n">
        <v>3</v>
      </c>
      <c r="AG19" s="24" t="n">
        <f aca="false">IF(AND(N(AE19)&gt;0,N(AF19)&gt;0),SQRT(2*AE19/AF19),"")</f>
        <v>1.15470053837925</v>
      </c>
      <c r="AH19" s="24" t="n">
        <v>13</v>
      </c>
      <c r="AI19" s="24"/>
      <c r="AJ19" s="24"/>
      <c r="AK19" s="24" t="n">
        <v>2400</v>
      </c>
      <c r="AL19" s="24" t="n">
        <v>24.724</v>
      </c>
      <c r="AM19" s="24" t="n">
        <v>8</v>
      </c>
      <c r="AN19" s="24"/>
      <c r="AO19" s="24"/>
      <c r="AP19" s="24" t="n">
        <v>6.92</v>
      </c>
      <c r="AQ19" s="24" t="n">
        <v>13.2</v>
      </c>
      <c r="AR19" s="24" t="n">
        <v>1.58</v>
      </c>
      <c r="AS19" s="24" t="n">
        <v>11</v>
      </c>
      <c r="AT19" s="24" t="n">
        <v>76</v>
      </c>
      <c r="AU19" s="24" t="s">
        <v>699</v>
      </c>
      <c r="AV19" s="24" t="s">
        <v>1735</v>
      </c>
      <c r="AW19" s="24" t="s">
        <v>1736</v>
      </c>
      <c r="AX19" s="24" t="s">
        <v>1737</v>
      </c>
      <c r="AY19" s="24" t="s">
        <v>1738</v>
      </c>
      <c r="AZ19" s="25" t="s">
        <v>2868</v>
      </c>
      <c r="BA19" s="24" t="s">
        <v>1030</v>
      </c>
      <c r="BB19" s="24" t="s">
        <v>2869</v>
      </c>
    </row>
    <row r="20" customFormat="false" ht="14.25" hidden="false" customHeight="false" outlineLevel="0" collapsed="false">
      <c r="A20" s="24" t="s">
        <v>1011</v>
      </c>
      <c r="B20" s="24" t="s">
        <v>1011</v>
      </c>
      <c r="C20" s="24" t="s">
        <v>1012</v>
      </c>
      <c r="D20" s="24" t="n">
        <v>2022</v>
      </c>
      <c r="E20" s="24" t="s">
        <v>813</v>
      </c>
      <c r="F20" s="24" t="s">
        <v>1015</v>
      </c>
      <c r="G20" s="24" t="s">
        <v>1016</v>
      </c>
      <c r="H20" s="24" t="n">
        <v>24.724</v>
      </c>
      <c r="I20" s="24" t="n">
        <v>90.437</v>
      </c>
      <c r="J20" s="24" t="s">
        <v>83</v>
      </c>
      <c r="K20" s="24" t="s">
        <v>1734</v>
      </c>
      <c r="L20" s="24" t="s">
        <v>84</v>
      </c>
      <c r="M20" s="24" t="s">
        <v>85</v>
      </c>
      <c r="N20" s="24" t="s">
        <v>2832</v>
      </c>
      <c r="O20" s="24" t="s">
        <v>2833</v>
      </c>
      <c r="P20" s="24"/>
      <c r="Q20" s="24"/>
      <c r="R20" s="24"/>
      <c r="S20" s="24"/>
      <c r="T20" s="24" t="n">
        <v>30.5</v>
      </c>
      <c r="U20" s="24"/>
      <c r="V20" s="24" t="n">
        <v>26.9</v>
      </c>
      <c r="W20" s="24"/>
      <c r="X20" s="24"/>
      <c r="Y20" s="24"/>
      <c r="Z20" s="24"/>
      <c r="AA20" s="24"/>
      <c r="AB20" s="24" t="n">
        <f aca="false">ROUND(13.2*1.58*15*0.1,2)</f>
        <v>31.28</v>
      </c>
      <c r="AC20" s="24"/>
      <c r="AD20" s="24"/>
      <c r="AE20" s="24" t="n">
        <v>2</v>
      </c>
      <c r="AF20" s="24" t="n">
        <v>3</v>
      </c>
      <c r="AG20" s="24" t="n">
        <f aca="false">IF(AND(N(AE20)&gt;0,N(AF20)&gt;0),SQRT(2*AE20/AF20),"")</f>
        <v>1.15470053837925</v>
      </c>
      <c r="AH20" s="24" t="n">
        <v>13</v>
      </c>
      <c r="AI20" s="24"/>
      <c r="AJ20" s="24"/>
      <c r="AK20" s="24" t="n">
        <v>2400</v>
      </c>
      <c r="AL20" s="24" t="n">
        <v>24.724</v>
      </c>
      <c r="AM20" s="24" t="n">
        <v>8</v>
      </c>
      <c r="AN20" s="24"/>
      <c r="AO20" s="24"/>
      <c r="AP20" s="24" t="n">
        <v>6.92</v>
      </c>
      <c r="AQ20" s="24" t="n">
        <v>13.2</v>
      </c>
      <c r="AR20" s="24" t="n">
        <v>1.58</v>
      </c>
      <c r="AS20" s="24" t="n">
        <v>11</v>
      </c>
      <c r="AT20" s="24" t="n">
        <v>76</v>
      </c>
      <c r="AU20" s="24" t="s">
        <v>699</v>
      </c>
      <c r="AV20" s="24" t="s">
        <v>1735</v>
      </c>
      <c r="AW20" s="24" t="s">
        <v>1736</v>
      </c>
      <c r="AX20" s="24" t="s">
        <v>1737</v>
      </c>
      <c r="AY20" s="24" t="s">
        <v>1738</v>
      </c>
      <c r="AZ20" s="25" t="s">
        <v>2870</v>
      </c>
      <c r="BA20" s="24" t="s">
        <v>1030</v>
      </c>
      <c r="BB20" s="24" t="s">
        <v>2869</v>
      </c>
    </row>
    <row r="21" customFormat="false" ht="14.25" hidden="false" customHeight="false" outlineLevel="0" collapsed="false">
      <c r="A21" s="24" t="s">
        <v>1034</v>
      </c>
      <c r="B21" s="24" t="s">
        <v>1034</v>
      </c>
      <c r="C21" s="24" t="s">
        <v>1035</v>
      </c>
      <c r="D21" s="24" t="n">
        <v>2022</v>
      </c>
      <c r="E21" s="24" t="s">
        <v>80</v>
      </c>
      <c r="F21" s="24" t="s">
        <v>912</v>
      </c>
      <c r="G21" s="24" t="s">
        <v>913</v>
      </c>
      <c r="H21" s="24" t="n">
        <v>29.706</v>
      </c>
      <c r="I21" s="24" t="n">
        <v>76.956</v>
      </c>
      <c r="J21" s="24" t="s">
        <v>83</v>
      </c>
      <c r="K21" s="24" t="n">
        <v>2019</v>
      </c>
      <c r="L21" s="24" t="s">
        <v>84</v>
      </c>
      <c r="M21" s="24" t="s">
        <v>85</v>
      </c>
      <c r="N21" s="24" t="s">
        <v>2138</v>
      </c>
      <c r="O21" s="24" t="s">
        <v>2871</v>
      </c>
      <c r="P21" s="24" t="n">
        <f aca="false">7.33</f>
        <v>7.33</v>
      </c>
      <c r="Q21" s="24" t="n">
        <f aca="false">3.8</f>
        <v>3.8</v>
      </c>
      <c r="R21" s="24"/>
      <c r="S21" s="24"/>
      <c r="T21" s="24"/>
      <c r="U21" s="24"/>
      <c r="V21" s="24"/>
      <c r="W21" s="24"/>
      <c r="X21" s="24" t="n">
        <f aca="false">5.91</f>
        <v>5.91</v>
      </c>
      <c r="Y21" s="24"/>
      <c r="Z21" s="24"/>
      <c r="AA21" s="24"/>
      <c r="AB21" s="24"/>
      <c r="AC21" s="24"/>
      <c r="AD21" s="24"/>
      <c r="AE21" s="24" t="n">
        <v>1</v>
      </c>
      <c r="AF21" s="24" t="n">
        <v>3</v>
      </c>
      <c r="AG21" s="24" t="n">
        <f aca="false">IF(AND(N(AE21)&gt;0,N(AF21)&gt;0),SQRT(2*AE21/AF21),"")</f>
        <v>0.816496580927726</v>
      </c>
      <c r="AH21" s="24"/>
      <c r="AI21" s="24"/>
      <c r="AJ21" s="24"/>
      <c r="AK21" s="24" t="n">
        <v>670</v>
      </c>
      <c r="AL21" s="24" t="n">
        <v>29.706</v>
      </c>
      <c r="AM21" s="24" t="n">
        <v>10</v>
      </c>
      <c r="AN21" s="24"/>
      <c r="AO21" s="24"/>
      <c r="AP21" s="24"/>
      <c r="AQ21" s="24"/>
      <c r="AR21" s="24"/>
      <c r="AS21" s="24"/>
      <c r="AT21" s="24"/>
      <c r="AU21" s="24" t="s">
        <v>699</v>
      </c>
      <c r="AV21" s="24" t="s">
        <v>1742</v>
      </c>
      <c r="AW21" s="24" t="s">
        <v>1743</v>
      </c>
      <c r="AX21" s="24" t="s">
        <v>1744</v>
      </c>
      <c r="AY21" s="24" t="s">
        <v>2872</v>
      </c>
      <c r="AZ21" s="25" t="s">
        <v>2873</v>
      </c>
      <c r="BA21" s="24" t="s">
        <v>1046</v>
      </c>
      <c r="BB21" s="24" t="s">
        <v>2874</v>
      </c>
    </row>
    <row r="22" customFormat="false" ht="14.25" hidden="false" customHeight="false" outlineLevel="0" collapsed="false">
      <c r="A22" s="24" t="s">
        <v>1034</v>
      </c>
      <c r="B22" s="24" t="s">
        <v>1034</v>
      </c>
      <c r="C22" s="24" t="s">
        <v>1035</v>
      </c>
      <c r="D22" s="24" t="n">
        <v>2022</v>
      </c>
      <c r="E22" s="24" t="s">
        <v>80</v>
      </c>
      <c r="F22" s="24" t="s">
        <v>912</v>
      </c>
      <c r="G22" s="24" t="s">
        <v>913</v>
      </c>
      <c r="H22" s="24" t="n">
        <v>29.706</v>
      </c>
      <c r="I22" s="24" t="n">
        <v>76.956</v>
      </c>
      <c r="J22" s="24" t="s">
        <v>83</v>
      </c>
      <c r="K22" s="24" t="n">
        <v>2019</v>
      </c>
      <c r="L22" s="24" t="s">
        <v>84</v>
      </c>
      <c r="M22" s="24" t="s">
        <v>85</v>
      </c>
      <c r="N22" s="24" t="s">
        <v>2832</v>
      </c>
      <c r="O22" s="24" t="s">
        <v>2875</v>
      </c>
      <c r="P22" s="24" t="n">
        <f aca="false">7.33+12.52</f>
        <v>19.85</v>
      </c>
      <c r="Q22" s="24" t="n">
        <f aca="false">3.8+11.34</f>
        <v>15.14</v>
      </c>
      <c r="R22" s="24"/>
      <c r="S22" s="24"/>
      <c r="T22" s="24"/>
      <c r="U22" s="24"/>
      <c r="V22" s="24"/>
      <c r="W22" s="24"/>
      <c r="X22" s="24" t="n">
        <f aca="false">5.91+10.6</f>
        <v>16.51</v>
      </c>
      <c r="Y22" s="24"/>
      <c r="Z22" s="24"/>
      <c r="AA22" s="24"/>
      <c r="AB22" s="24"/>
      <c r="AC22" s="24"/>
      <c r="AD22" s="24"/>
      <c r="AE22" s="24" t="n">
        <v>1</v>
      </c>
      <c r="AF22" s="24" t="n">
        <v>3</v>
      </c>
      <c r="AG22" s="24" t="n">
        <f aca="false">IF(AND(N(AE22)&gt;0,N(AF22)&gt;0),SQRT(2*AE22/AF22),"")</f>
        <v>0.816496580927726</v>
      </c>
      <c r="AH22" s="24"/>
      <c r="AI22" s="24"/>
      <c r="AJ22" s="24"/>
      <c r="AK22" s="24" t="n">
        <v>670</v>
      </c>
      <c r="AL22" s="24" t="n">
        <v>29.706</v>
      </c>
      <c r="AM22" s="24" t="n">
        <v>10</v>
      </c>
      <c r="AN22" s="24"/>
      <c r="AO22" s="24"/>
      <c r="AP22" s="24"/>
      <c r="AQ22" s="24"/>
      <c r="AR22" s="24"/>
      <c r="AS22" s="24"/>
      <c r="AT22" s="24"/>
      <c r="AU22" s="24" t="s">
        <v>699</v>
      </c>
      <c r="AV22" s="24" t="s">
        <v>1742</v>
      </c>
      <c r="AW22" s="24" t="s">
        <v>1743</v>
      </c>
      <c r="AX22" s="24" t="s">
        <v>1744</v>
      </c>
      <c r="AY22" s="24" t="s">
        <v>2872</v>
      </c>
      <c r="AZ22" s="25" t="s">
        <v>2873</v>
      </c>
      <c r="BA22" s="24" t="s">
        <v>1046</v>
      </c>
      <c r="BB22" s="24" t="s">
        <v>2874</v>
      </c>
    </row>
    <row r="23" customFormat="false" ht="14.25" hidden="false" customHeight="false" outlineLevel="0" collapsed="false">
      <c r="A23" s="24" t="s">
        <v>1034</v>
      </c>
      <c r="B23" s="24" t="s">
        <v>1034</v>
      </c>
      <c r="C23" s="24" t="s">
        <v>1035</v>
      </c>
      <c r="D23" s="24" t="n">
        <v>2022</v>
      </c>
      <c r="E23" s="24" t="s">
        <v>80</v>
      </c>
      <c r="F23" s="24" t="s">
        <v>912</v>
      </c>
      <c r="G23" s="24" t="s">
        <v>913</v>
      </c>
      <c r="H23" s="24" t="n">
        <v>29.706</v>
      </c>
      <c r="I23" s="24" t="n">
        <v>76.956</v>
      </c>
      <c r="J23" s="24" t="s">
        <v>83</v>
      </c>
      <c r="K23" s="24" t="n">
        <v>2019</v>
      </c>
      <c r="L23" s="24" t="s">
        <v>84</v>
      </c>
      <c r="M23" s="24" t="s">
        <v>85</v>
      </c>
      <c r="N23" s="24" t="s">
        <v>2836</v>
      </c>
      <c r="O23" s="24" t="s">
        <v>2876</v>
      </c>
      <c r="P23" s="24" t="n">
        <f aca="false">7.33+12.52+12.33</f>
        <v>32.18</v>
      </c>
      <c r="Q23" s="24" t="n">
        <f aca="false">3.8+11.34+16.26</f>
        <v>31.4</v>
      </c>
      <c r="R23" s="24"/>
      <c r="S23" s="24"/>
      <c r="T23" s="24"/>
      <c r="U23" s="24"/>
      <c r="V23" s="24"/>
      <c r="W23" s="24"/>
      <c r="X23" s="24" t="n">
        <f aca="false">5.91+10.6+10.61</f>
        <v>27.12</v>
      </c>
      <c r="Y23" s="24"/>
      <c r="Z23" s="24"/>
      <c r="AA23" s="24"/>
      <c r="AB23" s="24"/>
      <c r="AC23" s="24"/>
      <c r="AD23" s="24"/>
      <c r="AE23" s="24" t="n">
        <v>1</v>
      </c>
      <c r="AF23" s="24" t="n">
        <v>3</v>
      </c>
      <c r="AG23" s="24" t="n">
        <f aca="false">IF(AND(N(AE23)&gt;0,N(AF23)&gt;0),SQRT(2*AE23/AF23),"")</f>
        <v>0.816496580927726</v>
      </c>
      <c r="AH23" s="24"/>
      <c r="AI23" s="24"/>
      <c r="AJ23" s="24"/>
      <c r="AK23" s="24" t="n">
        <v>670</v>
      </c>
      <c r="AL23" s="24" t="n">
        <v>29.706</v>
      </c>
      <c r="AM23" s="24" t="n">
        <v>10</v>
      </c>
      <c r="AN23" s="24"/>
      <c r="AO23" s="24"/>
      <c r="AP23" s="24"/>
      <c r="AQ23" s="24"/>
      <c r="AR23" s="24"/>
      <c r="AS23" s="24"/>
      <c r="AT23" s="24"/>
      <c r="AU23" s="24" t="s">
        <v>699</v>
      </c>
      <c r="AV23" s="24" t="s">
        <v>1742</v>
      </c>
      <c r="AW23" s="24" t="s">
        <v>1743</v>
      </c>
      <c r="AX23" s="24" t="s">
        <v>1744</v>
      </c>
      <c r="AY23" s="24" t="s">
        <v>2872</v>
      </c>
      <c r="AZ23" s="25" t="s">
        <v>2873</v>
      </c>
      <c r="BA23" s="24" t="s">
        <v>1046</v>
      </c>
      <c r="BB23" s="24" t="s">
        <v>2874</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2877</v>
      </c>
      <c r="Q1" s="27" t="s">
        <v>2878</v>
      </c>
      <c r="R1" s="27" t="s">
        <v>2879</v>
      </c>
      <c r="S1" s="27" t="s">
        <v>2880</v>
      </c>
      <c r="T1" s="27" t="s">
        <v>2881</v>
      </c>
      <c r="U1" s="27" t="s">
        <v>2882</v>
      </c>
      <c r="V1" s="27" t="s">
        <v>2883</v>
      </c>
      <c r="W1" s="27" t="s">
        <v>2884</v>
      </c>
      <c r="X1" s="30" t="s">
        <v>2885</v>
      </c>
      <c r="Y1" s="30" t="s">
        <v>2886</v>
      </c>
      <c r="Z1" s="30" t="s">
        <v>2887</v>
      </c>
      <c r="AA1" s="30" t="s">
        <v>2888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s">
        <v>952</v>
      </c>
      <c r="B2" s="5" t="s">
        <v>952</v>
      </c>
      <c r="C2" s="5" t="s">
        <v>953</v>
      </c>
      <c r="D2" s="5" t="n">
        <v>2023</v>
      </c>
      <c r="E2" s="5" t="s">
        <v>954</v>
      </c>
      <c r="F2" s="5" t="s">
        <v>957</v>
      </c>
      <c r="G2" s="5" t="s">
        <v>958</v>
      </c>
      <c r="H2" s="5" t="n">
        <v>35.27</v>
      </c>
      <c r="I2" s="5" t="n">
        <v>119.38</v>
      </c>
      <c r="J2" s="5" t="s">
        <v>891</v>
      </c>
      <c r="K2" s="5" t="n">
        <v>2020</v>
      </c>
      <c r="L2" s="5" t="s">
        <v>842</v>
      </c>
      <c r="M2" s="5"/>
      <c r="N2" s="5" t="s">
        <v>2836</v>
      </c>
      <c r="O2" s="5" t="s">
        <v>2889</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2890</v>
      </c>
      <c r="AS2" s="5" t="s">
        <v>1686</v>
      </c>
      <c r="AT2" s="5"/>
      <c r="AU2" s="5" t="s">
        <v>1688</v>
      </c>
      <c r="AV2" s="5" t="s">
        <v>2891</v>
      </c>
      <c r="AW2" s="23" t="s">
        <v>2892</v>
      </c>
      <c r="AX2" s="5" t="s">
        <v>968</v>
      </c>
      <c r="AY2" s="5" t="s">
        <v>2893</v>
      </c>
      <c r="BA2" s="33" t="s">
        <v>1172</v>
      </c>
    </row>
    <row r="3" customFormat="false" ht="15" hidden="false" customHeight="true" outlineLevel="0" collapsed="false">
      <c r="A3" s="24" t="s">
        <v>1011</v>
      </c>
      <c r="B3" s="24" t="s">
        <v>1011</v>
      </c>
      <c r="C3" s="24" t="s">
        <v>1012</v>
      </c>
      <c r="D3" s="24" t="n">
        <v>2022</v>
      </c>
      <c r="E3" s="24" t="s">
        <v>813</v>
      </c>
      <c r="F3" s="24" t="s">
        <v>1015</v>
      </c>
      <c r="G3" s="24" t="s">
        <v>1016</v>
      </c>
      <c r="H3" s="24" t="n">
        <v>24.724</v>
      </c>
      <c r="I3" s="24" t="n">
        <v>90.437</v>
      </c>
      <c r="J3" s="24" t="s">
        <v>83</v>
      </c>
      <c r="K3" s="24" t="s">
        <v>1734</v>
      </c>
      <c r="L3" s="24" t="s">
        <v>84</v>
      </c>
      <c r="M3" s="24" t="s">
        <v>85</v>
      </c>
      <c r="N3" s="24" t="s">
        <v>2832</v>
      </c>
      <c r="O3" s="24" t="s">
        <v>1666</v>
      </c>
      <c r="P3" s="24"/>
      <c r="Q3" s="24"/>
      <c r="R3" s="24"/>
      <c r="S3" s="24"/>
      <c r="T3" s="24" t="n">
        <f aca="false">ROUND(('stock-SOC'!T19-'stock-SOC'!AB19)/8,3)</f>
        <v>-0.498</v>
      </c>
      <c r="U3" s="24"/>
      <c r="V3" s="24" t="n">
        <f aca="false">ROUND(('stock-SOC'!V19-'stock-SOC'!AB19)/8,3)</f>
        <v>-1.223</v>
      </c>
      <c r="W3" s="24"/>
      <c r="X3" s="24"/>
      <c r="Y3" s="24"/>
      <c r="Z3" s="24"/>
      <c r="AA3" s="24"/>
      <c r="AB3" s="24" t="n">
        <v>2</v>
      </c>
      <c r="AC3" s="24" t="n">
        <v>3</v>
      </c>
      <c r="AD3" s="24" t="n">
        <f aca="false">IF(AND(N(AB3)&gt;0,N(AC3)&gt;0),SQRT(2*AB3/AC3),"")</f>
        <v>1.15470053837925</v>
      </c>
      <c r="AE3" s="24" t="n">
        <v>13</v>
      </c>
      <c r="AF3" s="24"/>
      <c r="AG3" s="24"/>
      <c r="AH3" s="24" t="n">
        <v>2400</v>
      </c>
      <c r="AI3" s="24" t="n">
        <v>24.724</v>
      </c>
      <c r="AJ3" s="24" t="n">
        <v>8</v>
      </c>
      <c r="AK3" s="24"/>
      <c r="AL3" s="24"/>
      <c r="AM3" s="24" t="n">
        <v>6.92</v>
      </c>
      <c r="AN3" s="24" t="n">
        <v>13.2</v>
      </c>
      <c r="AO3" s="24" t="n">
        <v>1.58</v>
      </c>
      <c r="AP3" s="24" t="n">
        <v>11</v>
      </c>
      <c r="AQ3" s="24" t="n">
        <v>76</v>
      </c>
      <c r="AR3" s="24" t="s">
        <v>2890</v>
      </c>
      <c r="AS3" s="24" t="s">
        <v>1735</v>
      </c>
      <c r="AT3" s="24" t="s">
        <v>1736</v>
      </c>
      <c r="AU3" s="24" t="s">
        <v>1737</v>
      </c>
      <c r="AV3" s="24" t="s">
        <v>2891</v>
      </c>
      <c r="AW3" s="25" t="s">
        <v>2894</v>
      </c>
      <c r="AX3" s="24" t="s">
        <v>1030</v>
      </c>
      <c r="AY3" s="24" t="s">
        <v>2895</v>
      </c>
    </row>
    <row r="4" customFormat="false" ht="15" hidden="false" customHeight="true" outlineLevel="0" collapsed="false">
      <c r="A4" s="24" t="s">
        <v>1011</v>
      </c>
      <c r="B4" s="24" t="s">
        <v>1011</v>
      </c>
      <c r="C4" s="24" t="s">
        <v>1012</v>
      </c>
      <c r="D4" s="24" t="n">
        <v>2022</v>
      </c>
      <c r="E4" s="24" t="s">
        <v>813</v>
      </c>
      <c r="F4" s="24" t="s">
        <v>1015</v>
      </c>
      <c r="G4" s="24" t="s">
        <v>1016</v>
      </c>
      <c r="H4" s="24" t="n">
        <v>24.724</v>
      </c>
      <c r="I4" s="24" t="n">
        <v>90.437</v>
      </c>
      <c r="J4" s="24" t="s">
        <v>83</v>
      </c>
      <c r="K4" s="24" t="s">
        <v>1734</v>
      </c>
      <c r="L4" s="24" t="s">
        <v>84</v>
      </c>
      <c r="M4" s="24" t="s">
        <v>85</v>
      </c>
      <c r="N4" s="24" t="s">
        <v>2832</v>
      </c>
      <c r="O4" s="24" t="s">
        <v>1666</v>
      </c>
      <c r="P4" s="24"/>
      <c r="Q4" s="24"/>
      <c r="R4" s="24"/>
      <c r="S4" s="24"/>
      <c r="T4" s="24" t="n">
        <f aca="false">ROUND(('stock-SOC'!T20-'stock-SOC'!AB20)/8,3)</f>
        <v>-0.098</v>
      </c>
      <c r="U4" s="24"/>
      <c r="V4" s="24" t="n">
        <f aca="false">ROUND(('stock-SOC'!V20-'stock-SOC'!AB20)/8,3)</f>
        <v>-0.548</v>
      </c>
      <c r="W4" s="24"/>
      <c r="X4" s="24"/>
      <c r="Y4" s="24"/>
      <c r="Z4" s="24"/>
      <c r="AA4" s="24"/>
      <c r="AB4" s="24" t="n">
        <v>2</v>
      </c>
      <c r="AC4" s="24" t="n">
        <v>3</v>
      </c>
      <c r="AD4" s="24" t="n">
        <f aca="false">IF(AND(N(AB4)&gt;0,N(AC4)&gt;0),SQRT(2*AB4/AC4),"")</f>
        <v>1.15470053837925</v>
      </c>
      <c r="AE4" s="24" t="n">
        <v>13</v>
      </c>
      <c r="AF4" s="24"/>
      <c r="AG4" s="24"/>
      <c r="AH4" s="24" t="n">
        <v>2400</v>
      </c>
      <c r="AI4" s="24" t="n">
        <v>24.724</v>
      </c>
      <c r="AJ4" s="24" t="n">
        <v>8</v>
      </c>
      <c r="AK4" s="24"/>
      <c r="AL4" s="24"/>
      <c r="AM4" s="24" t="n">
        <v>6.92</v>
      </c>
      <c r="AN4" s="24" t="n">
        <v>13.2</v>
      </c>
      <c r="AO4" s="24" t="n">
        <v>1.58</v>
      </c>
      <c r="AP4" s="24" t="n">
        <v>11</v>
      </c>
      <c r="AQ4" s="24" t="n">
        <v>76</v>
      </c>
      <c r="AR4" s="24" t="s">
        <v>2890</v>
      </c>
      <c r="AS4" s="24" t="s">
        <v>1735</v>
      </c>
      <c r="AT4" s="24" t="s">
        <v>1736</v>
      </c>
      <c r="AU4" s="24" t="s">
        <v>1737</v>
      </c>
      <c r="AV4" s="24" t="s">
        <v>2891</v>
      </c>
      <c r="AW4" s="25" t="s">
        <v>2896</v>
      </c>
      <c r="AX4" s="24" t="s">
        <v>1030</v>
      </c>
      <c r="AY4" s="24" t="s">
        <v>2895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2897</v>
      </c>
      <c r="Q1" s="27" t="s">
        <v>2898</v>
      </c>
      <c r="R1" s="27" t="s">
        <v>2899</v>
      </c>
      <c r="S1" s="27" t="s">
        <v>2900</v>
      </c>
      <c r="T1" s="27" t="s">
        <v>2901</v>
      </c>
      <c r="U1" s="27" t="s">
        <v>2902</v>
      </c>
      <c r="V1" s="27" t="s">
        <v>2903</v>
      </c>
      <c r="W1" s="27" t="s">
        <v>2904</v>
      </c>
      <c r="X1" s="30" t="s">
        <v>2905</v>
      </c>
      <c r="Y1" s="30" t="s">
        <v>2906</v>
      </c>
      <c r="Z1" s="30" t="s">
        <v>2907</v>
      </c>
      <c r="AA1" s="30" t="s">
        <v>2908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2909</v>
      </c>
      <c r="Q1" s="27" t="s">
        <v>2910</v>
      </c>
      <c r="R1" s="27" t="s">
        <v>2911</v>
      </c>
      <c r="S1" s="27" t="s">
        <v>2912</v>
      </c>
      <c r="T1" s="27" t="s">
        <v>2913</v>
      </c>
      <c r="U1" s="27" t="s">
        <v>2914</v>
      </c>
      <c r="V1" s="27" t="s">
        <v>2915</v>
      </c>
      <c r="W1" s="27" t="s">
        <v>2916</v>
      </c>
      <c r="X1" s="30" t="s">
        <v>2917</v>
      </c>
      <c r="Y1" s="30" t="s">
        <v>2918</v>
      </c>
      <c r="Z1" s="30" t="s">
        <v>2919</v>
      </c>
      <c r="AA1" s="30" t="s">
        <v>2920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2921</v>
      </c>
      <c r="Q1" s="27" t="s">
        <v>2922</v>
      </c>
      <c r="R1" s="27" t="s">
        <v>2923</v>
      </c>
      <c r="S1" s="27" t="s">
        <v>2924</v>
      </c>
      <c r="T1" s="27" t="s">
        <v>2925</v>
      </c>
      <c r="U1" s="27" t="s">
        <v>2926</v>
      </c>
      <c r="V1" s="27" t="s">
        <v>2927</v>
      </c>
      <c r="W1" s="27" t="s">
        <v>2928</v>
      </c>
      <c r="X1" s="30" t="s">
        <v>2929</v>
      </c>
      <c r="Y1" s="30" t="s">
        <v>2930</v>
      </c>
      <c r="Z1" s="30" t="s">
        <v>2931</v>
      </c>
      <c r="AA1" s="30" t="s">
        <v>2932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2933</v>
      </c>
      <c r="Q1" s="27" t="s">
        <v>2934</v>
      </c>
      <c r="R1" s="27" t="s">
        <v>2935</v>
      </c>
      <c r="S1" s="27" t="s">
        <v>2936</v>
      </c>
      <c r="T1" s="27" t="s">
        <v>2937</v>
      </c>
      <c r="U1" s="27" t="s">
        <v>2938</v>
      </c>
      <c r="V1" s="27" t="s">
        <v>2939</v>
      </c>
      <c r="W1" s="27" t="s">
        <v>2940</v>
      </c>
      <c r="X1" s="30" t="s">
        <v>2941</v>
      </c>
      <c r="Y1" s="30" t="s">
        <v>2942</v>
      </c>
      <c r="Z1" s="30" t="s">
        <v>2943</v>
      </c>
      <c r="AA1" s="30" t="s">
        <v>2944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1181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2945</v>
      </c>
      <c r="Q1" s="27" t="s">
        <v>2946</v>
      </c>
      <c r="R1" s="27" t="s">
        <v>2947</v>
      </c>
      <c r="S1" s="27" t="s">
        <v>2948</v>
      </c>
      <c r="T1" s="27" t="s">
        <v>2949</v>
      </c>
      <c r="U1" s="27" t="s">
        <v>2950</v>
      </c>
      <c r="V1" s="27" t="s">
        <v>2951</v>
      </c>
      <c r="W1" s="27" t="s">
        <v>2952</v>
      </c>
      <c r="X1" s="30" t="s">
        <v>2953</v>
      </c>
      <c r="Y1" s="30" t="s">
        <v>2954</v>
      </c>
      <c r="Z1" s="30" t="s">
        <v>2955</v>
      </c>
      <c r="AA1" s="30" t="s">
        <v>2956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1893</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2957</v>
      </c>
      <c r="AS2" s="18" t="s">
        <v>1667</v>
      </c>
      <c r="AT2" s="18" t="s">
        <v>1668</v>
      </c>
      <c r="AU2" s="18" t="s">
        <v>1669</v>
      </c>
      <c r="AV2" s="18" t="s">
        <v>2958</v>
      </c>
      <c r="AW2" s="32" t="s">
        <v>2959</v>
      </c>
      <c r="AX2" s="18" t="s">
        <v>898</v>
      </c>
      <c r="AY2" s="18" t="s">
        <v>2960</v>
      </c>
      <c r="BA2" s="33" t="s">
        <v>1183</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2496</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2961</v>
      </c>
      <c r="AS3" s="5" t="s">
        <v>1676</v>
      </c>
      <c r="AT3" s="5" t="s">
        <v>2962</v>
      </c>
      <c r="AU3" s="5" t="s">
        <v>1678</v>
      </c>
      <c r="AV3" s="5" t="s">
        <v>2958</v>
      </c>
      <c r="AW3" s="23" t="s">
        <v>2963</v>
      </c>
      <c r="AX3" s="5" t="s">
        <v>850</v>
      </c>
      <c r="AY3" s="5" t="s">
        <v>2964</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2496</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2961</v>
      </c>
      <c r="AS4" s="5" t="s">
        <v>1682</v>
      </c>
      <c r="AT4" s="5" t="s">
        <v>2962</v>
      </c>
      <c r="AU4" s="5" t="s">
        <v>1678</v>
      </c>
      <c r="AV4" s="5" t="s">
        <v>2958</v>
      </c>
      <c r="AW4" s="23" t="s">
        <v>2965</v>
      </c>
      <c r="AX4" s="5" t="s">
        <v>850</v>
      </c>
      <c r="AY4" s="5" t="s">
        <v>2964</v>
      </c>
    </row>
    <row r="5" customFormat="false" ht="15" hidden="false" customHeight="true" outlineLevel="0" collapsed="false">
      <c r="A5" s="18" t="s">
        <v>925</v>
      </c>
      <c r="B5" s="18" t="s">
        <v>925</v>
      </c>
      <c r="C5" s="18" t="s">
        <v>926</v>
      </c>
      <c r="D5" s="18" t="n">
        <v>2019</v>
      </c>
      <c r="E5" s="18" t="s">
        <v>2764</v>
      </c>
      <c r="F5" s="18" t="s">
        <v>912</v>
      </c>
      <c r="G5" s="18" t="s">
        <v>913</v>
      </c>
      <c r="H5" s="18" t="n">
        <v>29.7</v>
      </c>
      <c r="I5" s="18" t="n">
        <v>76.96</v>
      </c>
      <c r="J5" s="18" t="s">
        <v>83</v>
      </c>
      <c r="K5" s="18" t="n">
        <v>2013</v>
      </c>
      <c r="L5" s="18" t="s">
        <v>84</v>
      </c>
      <c r="M5" s="18" t="s">
        <v>85</v>
      </c>
      <c r="N5" s="18" t="s">
        <v>86</v>
      </c>
      <c r="O5" s="18" t="s">
        <v>1666</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2966</v>
      </c>
      <c r="AS5" s="18" t="s">
        <v>1913</v>
      </c>
      <c r="AT5" s="18" t="s">
        <v>2766</v>
      </c>
      <c r="AU5" s="18" t="s">
        <v>1915</v>
      </c>
      <c r="AV5" s="18" t="s">
        <v>1670</v>
      </c>
      <c r="AW5" s="32" t="s">
        <v>2967</v>
      </c>
      <c r="AX5" s="18" t="s">
        <v>932</v>
      </c>
      <c r="AY5" s="18" t="s">
        <v>2968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2969</v>
      </c>
      <c r="Q1" s="27" t="s">
        <v>2970</v>
      </c>
      <c r="R1" s="27" t="s">
        <v>2971</v>
      </c>
      <c r="S1" s="27" t="s">
        <v>2972</v>
      </c>
      <c r="T1" s="27" t="s">
        <v>2973</v>
      </c>
      <c r="U1" s="27" t="s">
        <v>2974</v>
      </c>
      <c r="V1" s="27" t="s">
        <v>2975</v>
      </c>
      <c r="W1" s="27" t="s">
        <v>2976</v>
      </c>
      <c r="X1" s="30" t="s">
        <v>2977</v>
      </c>
      <c r="Y1" s="30" t="s">
        <v>2978</v>
      </c>
      <c r="Z1" s="30" t="s">
        <v>2979</v>
      </c>
      <c r="AA1" s="30" t="s">
        <v>2980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1186</v>
      </c>
      <c r="AS2" s="18" t="s">
        <v>1699</v>
      </c>
      <c r="AT2" s="18" t="s">
        <v>1700</v>
      </c>
      <c r="AU2" s="18" t="s">
        <v>1701</v>
      </c>
      <c r="AV2" s="18" t="s">
        <v>1670</v>
      </c>
      <c r="AW2" s="32" t="s">
        <v>2981</v>
      </c>
      <c r="AX2" s="18" t="s">
        <v>949</v>
      </c>
      <c r="AY2" s="18" t="s">
        <v>2982</v>
      </c>
      <c r="BA2" s="33" t="s">
        <v>1186</v>
      </c>
    </row>
    <row r="3" customFormat="false" ht="1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1186</v>
      </c>
      <c r="AS3" s="18" t="s">
        <v>1705</v>
      </c>
      <c r="AT3" s="18" t="s">
        <v>1700</v>
      </c>
      <c r="AU3" s="18" t="s">
        <v>1701</v>
      </c>
      <c r="AV3" s="18" t="s">
        <v>1670</v>
      </c>
      <c r="AW3" s="32" t="s">
        <v>2983</v>
      </c>
      <c r="AX3" s="18" t="s">
        <v>949</v>
      </c>
      <c r="AY3" s="18" t="s">
        <v>2982</v>
      </c>
    </row>
    <row r="4" customFormat="false" ht="1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1186</v>
      </c>
      <c r="AS4" s="18" t="s">
        <v>1707</v>
      </c>
      <c r="AT4" s="18" t="s">
        <v>1700</v>
      </c>
      <c r="AU4" s="18" t="s">
        <v>1701</v>
      </c>
      <c r="AV4" s="18" t="s">
        <v>1670</v>
      </c>
      <c r="AW4" s="32" t="s">
        <v>2984</v>
      </c>
      <c r="AX4" s="18" t="s">
        <v>949</v>
      </c>
      <c r="AY4" s="18" t="s">
        <v>2982</v>
      </c>
    </row>
    <row r="5" customFormat="false" ht="1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1186</v>
      </c>
      <c r="AS5" s="18" t="s">
        <v>1709</v>
      </c>
      <c r="AT5" s="18" t="s">
        <v>1700</v>
      </c>
      <c r="AU5" s="18" t="s">
        <v>1701</v>
      </c>
      <c r="AV5" s="18" t="s">
        <v>1670</v>
      </c>
      <c r="AW5" s="32" t="s">
        <v>2985</v>
      </c>
      <c r="AX5" s="18" t="s">
        <v>949</v>
      </c>
      <c r="AY5" s="18" t="s">
        <v>2982</v>
      </c>
    </row>
    <row r="6" customFormat="false" ht="1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1186</v>
      </c>
      <c r="AS6" s="18" t="s">
        <v>1711</v>
      </c>
      <c r="AT6" s="18" t="s">
        <v>1700</v>
      </c>
      <c r="AU6" s="18" t="s">
        <v>1701</v>
      </c>
      <c r="AV6" s="18" t="s">
        <v>1670</v>
      </c>
      <c r="AW6" s="32" t="s">
        <v>2986</v>
      </c>
      <c r="AX6" s="18" t="s">
        <v>949</v>
      </c>
      <c r="AY6" s="18" t="s">
        <v>2982</v>
      </c>
    </row>
    <row r="7" customFormat="false" ht="1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1186</v>
      </c>
      <c r="AS7" s="18" t="s">
        <v>1713</v>
      </c>
      <c r="AT7" s="18" t="s">
        <v>1700</v>
      </c>
      <c r="AU7" s="18" t="s">
        <v>1701</v>
      </c>
      <c r="AV7" s="18" t="s">
        <v>1670</v>
      </c>
      <c r="AW7" s="32" t="s">
        <v>2987</v>
      </c>
      <c r="AX7" s="18" t="s">
        <v>949</v>
      </c>
      <c r="AY7" s="18" t="s">
        <v>2982</v>
      </c>
    </row>
    <row r="8" customFormat="false" ht="1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1186</v>
      </c>
      <c r="AS8" s="18" t="s">
        <v>1715</v>
      </c>
      <c r="AT8" s="18" t="s">
        <v>1700</v>
      </c>
      <c r="AU8" s="18" t="s">
        <v>1701</v>
      </c>
      <c r="AV8" s="18" t="s">
        <v>1670</v>
      </c>
      <c r="AW8" s="32" t="s">
        <v>2988</v>
      </c>
      <c r="AX8" s="18" t="s">
        <v>949</v>
      </c>
      <c r="AY8" s="18" t="s">
        <v>2982</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1186</v>
      </c>
      <c r="AS9" s="18" t="s">
        <v>1717</v>
      </c>
      <c r="AT9" s="18" t="s">
        <v>1700</v>
      </c>
      <c r="AU9" s="18" t="s">
        <v>1701</v>
      </c>
      <c r="AV9" s="18" t="s">
        <v>1670</v>
      </c>
      <c r="AW9" s="32" t="s">
        <v>2989</v>
      </c>
      <c r="AX9" s="18" t="s">
        <v>949</v>
      </c>
      <c r="AY9" s="18" t="s">
        <v>2982</v>
      </c>
    </row>
    <row r="10" customFormat="false" ht="14.25" hidden="false" customHeight="fals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1720</v>
      </c>
      <c r="P10" s="24" t="n">
        <v>7.29</v>
      </c>
      <c r="Q10" s="24" t="n">
        <v>7.57</v>
      </c>
      <c r="R10" s="24"/>
      <c r="S10" s="24"/>
      <c r="T10" s="24"/>
      <c r="U10" s="24"/>
      <c r="V10" s="24"/>
      <c r="W10" s="24"/>
      <c r="X10" s="24" t="n">
        <v>7.13</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2990</v>
      </c>
      <c r="AS10" s="24" t="s">
        <v>1742</v>
      </c>
      <c r="AT10" s="24" t="s">
        <v>1743</v>
      </c>
      <c r="AU10" s="24" t="s">
        <v>1744</v>
      </c>
      <c r="AV10" s="24" t="s">
        <v>91</v>
      </c>
      <c r="AW10" s="25" t="s">
        <v>2991</v>
      </c>
      <c r="AX10" s="24" t="s">
        <v>1046</v>
      </c>
      <c r="AY10" s="24" t="s">
        <v>2992</v>
      </c>
    </row>
    <row r="11" customFormat="false" ht="14.25" hidden="false" customHeight="fals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86</v>
      </c>
      <c r="O11" s="24" t="s">
        <v>1747</v>
      </c>
      <c r="P11" s="24" t="n">
        <v>7.46</v>
      </c>
      <c r="Q11" s="24" t="n">
        <v>7.7</v>
      </c>
      <c r="R11" s="24"/>
      <c r="S11" s="24"/>
      <c r="T11" s="24"/>
      <c r="U11" s="24"/>
      <c r="V11" s="24"/>
      <c r="W11" s="24"/>
      <c r="X11" s="24" t="n">
        <v>7.05</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2990</v>
      </c>
      <c r="AS11" s="24" t="s">
        <v>1742</v>
      </c>
      <c r="AT11" s="24" t="s">
        <v>1743</v>
      </c>
      <c r="AU11" s="24" t="s">
        <v>1744</v>
      </c>
      <c r="AV11" s="24" t="s">
        <v>91</v>
      </c>
      <c r="AW11" s="25" t="s">
        <v>2993</v>
      </c>
      <c r="AX11" s="24" t="s">
        <v>1046</v>
      </c>
      <c r="AY11" s="24" t="s">
        <v>2992</v>
      </c>
    </row>
    <row r="12" customFormat="false" ht="14.25" hidden="false" customHeight="false" outlineLevel="0" collapsed="false">
      <c r="A12" s="24" t="s">
        <v>1034</v>
      </c>
      <c r="B12" s="24" t="s">
        <v>1034</v>
      </c>
      <c r="C12" s="24" t="s">
        <v>1035</v>
      </c>
      <c r="D12" s="24" t="n">
        <v>2022</v>
      </c>
      <c r="E12" s="24" t="s">
        <v>80</v>
      </c>
      <c r="F12" s="24" t="s">
        <v>912</v>
      </c>
      <c r="G12" s="24" t="s">
        <v>913</v>
      </c>
      <c r="H12" s="24" t="n">
        <v>29.706</v>
      </c>
      <c r="I12" s="24" t="n">
        <v>76.956</v>
      </c>
      <c r="J12" s="24" t="s">
        <v>83</v>
      </c>
      <c r="K12" s="24" t="n">
        <v>2019</v>
      </c>
      <c r="L12" s="24" t="s">
        <v>84</v>
      </c>
      <c r="M12" s="24" t="s">
        <v>85</v>
      </c>
      <c r="N12" s="24" t="s">
        <v>1673</v>
      </c>
      <c r="O12" s="24" t="s">
        <v>1674</v>
      </c>
      <c r="P12" s="24" t="n">
        <v>7.75</v>
      </c>
      <c r="Q12" s="24" t="n">
        <v>7.84</v>
      </c>
      <c r="R12" s="24"/>
      <c r="S12" s="24"/>
      <c r="T12" s="24"/>
      <c r="U12" s="24"/>
      <c r="V12" s="24"/>
      <c r="W12" s="24"/>
      <c r="X12" s="24" t="n">
        <v>7.68</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2990</v>
      </c>
      <c r="AS12" s="24" t="s">
        <v>1742</v>
      </c>
      <c r="AT12" s="24" t="s">
        <v>1743</v>
      </c>
      <c r="AU12" s="24" t="s">
        <v>1744</v>
      </c>
      <c r="AV12" s="24" t="s">
        <v>91</v>
      </c>
      <c r="AW12" s="25" t="s">
        <v>2994</v>
      </c>
      <c r="AX12" s="24" t="s">
        <v>1046</v>
      </c>
      <c r="AY12" s="24" t="s">
        <v>2992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2995</v>
      </c>
      <c r="Q1" s="27" t="s">
        <v>2996</v>
      </c>
      <c r="R1" s="27" t="s">
        <v>2997</v>
      </c>
      <c r="S1" s="27" t="s">
        <v>2998</v>
      </c>
      <c r="T1" s="27" t="s">
        <v>2999</v>
      </c>
      <c r="U1" s="27" t="s">
        <v>3000</v>
      </c>
      <c r="V1" s="27" t="s">
        <v>3001</v>
      </c>
      <c r="W1" s="27" t="s">
        <v>3002</v>
      </c>
      <c r="X1" s="30" t="s">
        <v>3003</v>
      </c>
      <c r="Y1" s="30" t="s">
        <v>3004</v>
      </c>
      <c r="Z1" s="30" t="s">
        <v>3005</v>
      </c>
      <c r="AA1" s="30" t="s">
        <v>3006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3007</v>
      </c>
      <c r="AS2" s="18" t="s">
        <v>1699</v>
      </c>
      <c r="AT2" s="18" t="s">
        <v>1700</v>
      </c>
      <c r="AU2" s="18" t="s">
        <v>1701</v>
      </c>
      <c r="AV2" s="18" t="s">
        <v>1670</v>
      </c>
      <c r="AW2" s="32" t="s">
        <v>3008</v>
      </c>
      <c r="AX2" s="18" t="s">
        <v>949</v>
      </c>
      <c r="AY2" s="18" t="s">
        <v>2982</v>
      </c>
      <c r="BA2" s="33" t="s">
        <v>1189</v>
      </c>
    </row>
    <row r="3" customFormat="false" ht="1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3007</v>
      </c>
      <c r="AS3" s="18" t="s">
        <v>1705</v>
      </c>
      <c r="AT3" s="18" t="s">
        <v>1700</v>
      </c>
      <c r="AU3" s="18" t="s">
        <v>1701</v>
      </c>
      <c r="AV3" s="18" t="s">
        <v>1670</v>
      </c>
      <c r="AW3" s="32" t="s">
        <v>3009</v>
      </c>
      <c r="AX3" s="18" t="s">
        <v>949</v>
      </c>
      <c r="AY3" s="18" t="s">
        <v>2982</v>
      </c>
    </row>
    <row r="4" customFormat="false" ht="1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3007</v>
      </c>
      <c r="AS4" s="18" t="s">
        <v>1707</v>
      </c>
      <c r="AT4" s="18" t="s">
        <v>1700</v>
      </c>
      <c r="AU4" s="18" t="s">
        <v>1701</v>
      </c>
      <c r="AV4" s="18" t="s">
        <v>1670</v>
      </c>
      <c r="AW4" s="32" t="s">
        <v>3010</v>
      </c>
      <c r="AX4" s="18" t="s">
        <v>949</v>
      </c>
      <c r="AY4" s="18" t="s">
        <v>2982</v>
      </c>
    </row>
    <row r="5" customFormat="false" ht="14.2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3007</v>
      </c>
      <c r="AS5" s="18" t="s">
        <v>1709</v>
      </c>
      <c r="AT5" s="18" t="s">
        <v>1700</v>
      </c>
      <c r="AU5" s="18" t="s">
        <v>1701</v>
      </c>
      <c r="AV5" s="18" t="s">
        <v>1670</v>
      </c>
      <c r="AW5" s="32" t="s">
        <v>3011</v>
      </c>
      <c r="AX5" s="18" t="s">
        <v>949</v>
      </c>
      <c r="AY5" s="18" t="s">
        <v>2982</v>
      </c>
    </row>
    <row r="6" customFormat="false" ht="14.2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3007</v>
      </c>
      <c r="AS6" s="18" t="s">
        <v>1711</v>
      </c>
      <c r="AT6" s="18" t="s">
        <v>1700</v>
      </c>
      <c r="AU6" s="18" t="s">
        <v>1701</v>
      </c>
      <c r="AV6" s="18" t="s">
        <v>1670</v>
      </c>
      <c r="AW6" s="32" t="s">
        <v>3012</v>
      </c>
      <c r="AX6" s="18" t="s">
        <v>949</v>
      </c>
      <c r="AY6" s="18" t="s">
        <v>2982</v>
      </c>
    </row>
    <row r="7" customFormat="false" ht="14.2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3007</v>
      </c>
      <c r="AS7" s="18" t="s">
        <v>1713</v>
      </c>
      <c r="AT7" s="18" t="s">
        <v>1700</v>
      </c>
      <c r="AU7" s="18" t="s">
        <v>1701</v>
      </c>
      <c r="AV7" s="18" t="s">
        <v>1670</v>
      </c>
      <c r="AW7" s="32" t="s">
        <v>3013</v>
      </c>
      <c r="AX7" s="18" t="s">
        <v>949</v>
      </c>
      <c r="AY7" s="18" t="s">
        <v>2982</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3007</v>
      </c>
      <c r="AS8" s="18" t="s">
        <v>1715</v>
      </c>
      <c r="AT8" s="18" t="s">
        <v>1700</v>
      </c>
      <c r="AU8" s="18" t="s">
        <v>1701</v>
      </c>
      <c r="AV8" s="18" t="s">
        <v>1670</v>
      </c>
      <c r="AW8" s="32" t="s">
        <v>3014</v>
      </c>
      <c r="AX8" s="18" t="s">
        <v>949</v>
      </c>
      <c r="AY8" s="18" t="s">
        <v>2982</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3007</v>
      </c>
      <c r="AS9" s="18" t="s">
        <v>1717</v>
      </c>
      <c r="AT9" s="18" t="s">
        <v>1700</v>
      </c>
      <c r="AU9" s="18" t="s">
        <v>1701</v>
      </c>
      <c r="AV9" s="18" t="s">
        <v>1670</v>
      </c>
      <c r="AW9" s="32" t="s">
        <v>3015</v>
      </c>
      <c r="AX9" s="18" t="s">
        <v>949</v>
      </c>
      <c r="AY9" s="18" t="s">
        <v>2982</v>
      </c>
    </row>
    <row r="10" customFormat="false" ht="14.25" hidden="false" customHeight="fals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1720</v>
      </c>
      <c r="P10" s="24" t="n">
        <v>0.33</v>
      </c>
      <c r="Q10" s="24" t="n">
        <v>0.31</v>
      </c>
      <c r="R10" s="24"/>
      <c r="S10" s="24"/>
      <c r="T10" s="24"/>
      <c r="U10" s="24"/>
      <c r="V10" s="24"/>
      <c r="W10" s="24"/>
      <c r="X10" s="24" t="n">
        <v>0.35</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3016</v>
      </c>
      <c r="AS10" s="24" t="s">
        <v>1742</v>
      </c>
      <c r="AT10" s="24" t="s">
        <v>1743</v>
      </c>
      <c r="AU10" s="24" t="s">
        <v>1744</v>
      </c>
      <c r="AV10" s="24" t="s">
        <v>91</v>
      </c>
      <c r="AW10" s="25" t="s">
        <v>3017</v>
      </c>
      <c r="AX10" s="24" t="s">
        <v>1046</v>
      </c>
      <c r="AY10" s="24" t="s">
        <v>3018</v>
      </c>
    </row>
    <row r="11" customFormat="false" ht="14.25" hidden="false" customHeight="fals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86</v>
      </c>
      <c r="O11" s="24" t="s">
        <v>1747</v>
      </c>
      <c r="P11" s="24" t="n">
        <v>0.29</v>
      </c>
      <c r="Q11" s="24" t="n">
        <v>0.26</v>
      </c>
      <c r="R11" s="24"/>
      <c r="S11" s="24"/>
      <c r="T11" s="24"/>
      <c r="U11" s="24"/>
      <c r="V11" s="24"/>
      <c r="W11" s="24"/>
      <c r="X11" s="24" t="n">
        <v>0.32</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3016</v>
      </c>
      <c r="AS11" s="24" t="s">
        <v>1742</v>
      </c>
      <c r="AT11" s="24" t="s">
        <v>1743</v>
      </c>
      <c r="AU11" s="24" t="s">
        <v>1744</v>
      </c>
      <c r="AV11" s="24" t="s">
        <v>91</v>
      </c>
      <c r="AW11" s="25" t="s">
        <v>3019</v>
      </c>
      <c r="AX11" s="24" t="s">
        <v>1046</v>
      </c>
      <c r="AY11" s="24" t="s">
        <v>3018</v>
      </c>
    </row>
    <row r="12" customFormat="false" ht="14.25" hidden="false" customHeight="false" outlineLevel="0" collapsed="false">
      <c r="A12" s="24" t="s">
        <v>1034</v>
      </c>
      <c r="B12" s="24" t="s">
        <v>1034</v>
      </c>
      <c r="C12" s="24" t="s">
        <v>1035</v>
      </c>
      <c r="D12" s="24" t="n">
        <v>2022</v>
      </c>
      <c r="E12" s="24" t="s">
        <v>80</v>
      </c>
      <c r="F12" s="24" t="s">
        <v>912</v>
      </c>
      <c r="G12" s="24" t="s">
        <v>913</v>
      </c>
      <c r="H12" s="24" t="n">
        <v>29.706</v>
      </c>
      <c r="I12" s="24" t="n">
        <v>76.956</v>
      </c>
      <c r="J12" s="24" t="s">
        <v>83</v>
      </c>
      <c r="K12" s="24" t="n">
        <v>2019</v>
      </c>
      <c r="L12" s="24" t="s">
        <v>84</v>
      </c>
      <c r="M12" s="24" t="s">
        <v>85</v>
      </c>
      <c r="N12" s="24" t="s">
        <v>1673</v>
      </c>
      <c r="O12" s="24" t="s">
        <v>1674</v>
      </c>
      <c r="P12" s="24" t="n">
        <v>0.29</v>
      </c>
      <c r="Q12" s="24" t="n">
        <v>0.29</v>
      </c>
      <c r="R12" s="24"/>
      <c r="S12" s="24"/>
      <c r="T12" s="24"/>
      <c r="U12" s="24"/>
      <c r="V12" s="24"/>
      <c r="W12" s="24"/>
      <c r="X12" s="24" t="n">
        <v>0.32</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3016</v>
      </c>
      <c r="AS12" s="24" t="s">
        <v>1742</v>
      </c>
      <c r="AT12" s="24" t="s">
        <v>1743</v>
      </c>
      <c r="AU12" s="24" t="s">
        <v>1744</v>
      </c>
      <c r="AV12" s="24" t="s">
        <v>91</v>
      </c>
      <c r="AW12" s="25" t="s">
        <v>3020</v>
      </c>
      <c r="AX12" s="24" t="s">
        <v>1046</v>
      </c>
      <c r="AY12" s="24" t="s">
        <v>3018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3021</v>
      </c>
      <c r="Q1" s="27" t="s">
        <v>3022</v>
      </c>
      <c r="R1" s="27" t="s">
        <v>3023</v>
      </c>
      <c r="S1" s="27" t="s">
        <v>3024</v>
      </c>
      <c r="T1" s="27" t="s">
        <v>3025</v>
      </c>
      <c r="U1" s="27" t="s">
        <v>3026</v>
      </c>
      <c r="V1" s="27" t="s">
        <v>3027</v>
      </c>
      <c r="W1" s="27" t="s">
        <v>3028</v>
      </c>
      <c r="X1" s="30" t="s">
        <v>3029</v>
      </c>
      <c r="Y1" s="30" t="s">
        <v>3030</v>
      </c>
      <c r="Z1" s="30" t="s">
        <v>3031</v>
      </c>
      <c r="AA1" s="30" t="s">
        <v>3032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1191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3033</v>
      </c>
      <c r="Q1" s="27" t="s">
        <v>3034</v>
      </c>
      <c r="R1" s="27" t="s">
        <v>3035</v>
      </c>
      <c r="S1" s="27" t="s">
        <v>3036</v>
      </c>
      <c r="T1" s="27" t="s">
        <v>3037</v>
      </c>
      <c r="U1" s="27" t="s">
        <v>3038</v>
      </c>
      <c r="V1" s="27" t="s">
        <v>3039</v>
      </c>
      <c r="W1" s="27" t="s">
        <v>3040</v>
      </c>
      <c r="X1" s="30" t="s">
        <v>3041</v>
      </c>
      <c r="Y1" s="30" t="s">
        <v>3042</v>
      </c>
      <c r="Z1" s="30" t="s">
        <v>3043</v>
      </c>
      <c r="AA1" s="30" t="s">
        <v>3044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164</v>
      </c>
      <c r="B2" s="5" t="n">
        <v>164</v>
      </c>
      <c r="C2" s="5" t="s">
        <v>812</v>
      </c>
      <c r="D2" s="5" t="n">
        <v>2000</v>
      </c>
      <c r="E2" s="5" t="s">
        <v>813</v>
      </c>
      <c r="F2" s="5" t="s">
        <v>887</v>
      </c>
      <c r="G2" s="5" t="s">
        <v>2504</v>
      </c>
      <c r="H2" s="5" t="n">
        <v>30.933</v>
      </c>
      <c r="I2" s="5" t="n">
        <v>75.867</v>
      </c>
      <c r="J2" s="5" t="s">
        <v>891</v>
      </c>
      <c r="K2" s="5" t="s">
        <v>2505</v>
      </c>
      <c r="L2" s="5" t="s">
        <v>823</v>
      </c>
      <c r="M2" s="5" t="s">
        <v>85</v>
      </c>
      <c r="N2" s="5" t="s">
        <v>86</v>
      </c>
      <c r="O2" s="5" t="s">
        <v>1666</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3045</v>
      </c>
      <c r="AS2" s="5" t="s">
        <v>2506</v>
      </c>
      <c r="AT2" s="5" t="s">
        <v>2507</v>
      </c>
      <c r="AU2" s="5" t="s">
        <v>2508</v>
      </c>
      <c r="AV2" s="5" t="s">
        <v>3046</v>
      </c>
      <c r="AW2" s="23" t="s">
        <v>3047</v>
      </c>
      <c r="AX2" s="5" t="s">
        <v>828</v>
      </c>
      <c r="AY2" s="5" t="s">
        <v>3048</v>
      </c>
      <c r="BA2" s="33" t="s">
        <v>1193</v>
      </c>
    </row>
    <row r="3" customFormat="false" ht="15" hidden="false" customHeight="true" outlineLevel="0" collapsed="false">
      <c r="A3" s="5" t="n">
        <v>164</v>
      </c>
      <c r="B3" s="5" t="n">
        <v>164</v>
      </c>
      <c r="C3" s="5" t="s">
        <v>812</v>
      </c>
      <c r="D3" s="5" t="n">
        <v>2000</v>
      </c>
      <c r="E3" s="5" t="s">
        <v>813</v>
      </c>
      <c r="F3" s="5" t="s">
        <v>857</v>
      </c>
      <c r="G3" s="5" t="s">
        <v>2518</v>
      </c>
      <c r="H3" s="5" t="n">
        <v>26.067</v>
      </c>
      <c r="I3" s="5" t="n">
        <v>82.133</v>
      </c>
      <c r="J3" s="5" t="s">
        <v>83</v>
      </c>
      <c r="K3" s="5" t="s">
        <v>2505</v>
      </c>
      <c r="L3" s="5" t="s">
        <v>823</v>
      </c>
      <c r="M3" s="5" t="s">
        <v>85</v>
      </c>
      <c r="N3" s="5" t="s">
        <v>86</v>
      </c>
      <c r="O3" s="5" t="s">
        <v>1666</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3045</v>
      </c>
      <c r="AS3" s="5" t="s">
        <v>2506</v>
      </c>
      <c r="AT3" s="5" t="s">
        <v>2507</v>
      </c>
      <c r="AU3" s="5" t="s">
        <v>2519</v>
      </c>
      <c r="AV3" s="5" t="s">
        <v>3046</v>
      </c>
      <c r="AW3" s="23" t="s">
        <v>3049</v>
      </c>
      <c r="AX3" s="5" t="s">
        <v>828</v>
      </c>
      <c r="AY3" s="5" t="s">
        <v>3048</v>
      </c>
    </row>
    <row r="4" customFormat="false" ht="15" hidden="false" customHeight="true" outlineLevel="0" collapsed="false">
      <c r="A4" s="5" t="n">
        <v>164</v>
      </c>
      <c r="B4" s="5" t="n">
        <v>164</v>
      </c>
      <c r="C4" s="5" t="s">
        <v>812</v>
      </c>
      <c r="D4" s="5" t="n">
        <v>2000</v>
      </c>
      <c r="E4" s="5" t="s">
        <v>813</v>
      </c>
      <c r="F4" s="5" t="s">
        <v>1621</v>
      </c>
      <c r="G4" s="5" t="s">
        <v>2525</v>
      </c>
      <c r="H4" s="5" t="n">
        <v>23</v>
      </c>
      <c r="I4" s="5" t="n">
        <v>89</v>
      </c>
      <c r="J4" s="5" t="s">
        <v>83</v>
      </c>
      <c r="K4" s="5" t="s">
        <v>2526</v>
      </c>
      <c r="L4" s="5" t="s">
        <v>823</v>
      </c>
      <c r="M4" s="5"/>
      <c r="N4" s="5" t="s">
        <v>86</v>
      </c>
      <c r="O4" s="5" t="s">
        <v>1666</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3045</v>
      </c>
      <c r="AS4" s="5" t="s">
        <v>2506</v>
      </c>
      <c r="AT4" s="5" t="s">
        <v>2527</v>
      </c>
      <c r="AU4" s="5" t="s">
        <v>2528</v>
      </c>
      <c r="AV4" s="5" t="s">
        <v>3046</v>
      </c>
      <c r="AW4" s="23" t="s">
        <v>3050</v>
      </c>
      <c r="AX4" s="5" t="s">
        <v>828</v>
      </c>
      <c r="AY4" s="5" t="s">
        <v>3048</v>
      </c>
    </row>
    <row r="5" customFormat="false" ht="14.25" hidden="false" customHeight="true" outlineLevel="0" collapsed="false">
      <c r="A5" s="5" t="n">
        <v>164</v>
      </c>
      <c r="B5" s="5" t="n">
        <v>164</v>
      </c>
      <c r="C5" s="5" t="s">
        <v>812</v>
      </c>
      <c r="D5" s="5" t="n">
        <v>2000</v>
      </c>
      <c r="E5" s="5" t="s">
        <v>813</v>
      </c>
      <c r="F5" s="5" t="s">
        <v>1626</v>
      </c>
      <c r="G5" s="5" t="s">
        <v>2530</v>
      </c>
      <c r="H5" s="5" t="n">
        <v>23.167</v>
      </c>
      <c r="I5" s="5" t="n">
        <v>79.95</v>
      </c>
      <c r="J5" s="5" t="s">
        <v>83</v>
      </c>
      <c r="K5" s="5" t="s">
        <v>2505</v>
      </c>
      <c r="L5" s="5" t="s">
        <v>823</v>
      </c>
      <c r="M5" s="5" t="s">
        <v>2522</v>
      </c>
      <c r="N5" s="5" t="s">
        <v>86</v>
      </c>
      <c r="O5" s="5" t="s">
        <v>1666</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3045</v>
      </c>
      <c r="AS5" s="5" t="s">
        <v>2506</v>
      </c>
      <c r="AT5" s="5" t="s">
        <v>2507</v>
      </c>
      <c r="AU5" s="5" t="s">
        <v>2531</v>
      </c>
      <c r="AV5" s="5" t="s">
        <v>3046</v>
      </c>
      <c r="AW5" s="23" t="s">
        <v>3051</v>
      </c>
      <c r="AX5" s="5" t="s">
        <v>828</v>
      </c>
      <c r="AY5" s="5" t="s">
        <v>3048</v>
      </c>
    </row>
    <row r="6" customFormat="false" ht="14.25" hidden="false" customHeight="true" outlineLevel="0" collapsed="false">
      <c r="A6" s="5" t="s">
        <v>952</v>
      </c>
      <c r="B6" s="5" t="s">
        <v>952</v>
      </c>
      <c r="C6" s="5" t="s">
        <v>953</v>
      </c>
      <c r="D6" s="5" t="n">
        <v>2023</v>
      </c>
      <c r="E6" s="5" t="s">
        <v>954</v>
      </c>
      <c r="F6" s="5" t="s">
        <v>957</v>
      </c>
      <c r="G6" s="5" t="s">
        <v>958</v>
      </c>
      <c r="H6" s="5" t="n">
        <v>35.27</v>
      </c>
      <c r="I6" s="5" t="n">
        <v>119.38</v>
      </c>
      <c r="J6" s="5" t="s">
        <v>891</v>
      </c>
      <c r="K6" s="5" t="n">
        <v>2020</v>
      </c>
      <c r="L6" s="5" t="s">
        <v>842</v>
      </c>
      <c r="M6" s="5"/>
      <c r="N6" s="5" t="s">
        <v>86</v>
      </c>
      <c r="O6" s="5" t="s">
        <v>1685</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3052</v>
      </c>
      <c r="AS6" s="5" t="s">
        <v>1686</v>
      </c>
      <c r="AT6" s="5" t="s">
        <v>1908</v>
      </c>
      <c r="AU6" s="5" t="s">
        <v>1688</v>
      </c>
      <c r="AV6" s="5" t="s">
        <v>1994</v>
      </c>
      <c r="AW6" s="23" t="s">
        <v>3053</v>
      </c>
      <c r="AX6" s="5" t="s">
        <v>968</v>
      </c>
      <c r="AY6" s="5" t="s">
        <v>3054</v>
      </c>
    </row>
    <row r="7" customFormat="false" ht="14.25" hidden="false" customHeight="true" outlineLevel="0" collapsed="false">
      <c r="A7" s="5" t="s">
        <v>952</v>
      </c>
      <c r="B7" s="5" t="s">
        <v>952</v>
      </c>
      <c r="C7" s="5" t="s">
        <v>953</v>
      </c>
      <c r="D7" s="5" t="n">
        <v>2023</v>
      </c>
      <c r="E7" s="5" t="s">
        <v>954</v>
      </c>
      <c r="F7" s="5" t="s">
        <v>957</v>
      </c>
      <c r="G7" s="5" t="s">
        <v>958</v>
      </c>
      <c r="H7" s="5" t="n">
        <v>35.27</v>
      </c>
      <c r="I7" s="5" t="n">
        <v>119.38</v>
      </c>
      <c r="J7" s="5" t="s">
        <v>891</v>
      </c>
      <c r="K7" s="5" t="n">
        <v>2020</v>
      </c>
      <c r="L7" s="5" t="s">
        <v>842</v>
      </c>
      <c r="M7" s="5"/>
      <c r="N7" s="5" t="s">
        <v>1673</v>
      </c>
      <c r="O7" s="5" t="s">
        <v>1694</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3052</v>
      </c>
      <c r="AS7" s="5" t="s">
        <v>1686</v>
      </c>
      <c r="AT7" s="5" t="s">
        <v>1908</v>
      </c>
      <c r="AU7" s="5" t="s">
        <v>1688</v>
      </c>
      <c r="AV7" s="5" t="s">
        <v>1994</v>
      </c>
      <c r="AW7" s="23" t="s">
        <v>3055</v>
      </c>
      <c r="AX7" s="5" t="s">
        <v>968</v>
      </c>
      <c r="AY7" s="5" t="s">
        <v>3054</v>
      </c>
    </row>
    <row r="8" customFormat="false" ht="14.25" hidden="false" customHeight="true" outlineLevel="0" collapsed="false">
      <c r="A8" s="5" t="s">
        <v>952</v>
      </c>
      <c r="B8" s="5" t="s">
        <v>952</v>
      </c>
      <c r="C8" s="5" t="s">
        <v>953</v>
      </c>
      <c r="D8" s="5" t="n">
        <v>2023</v>
      </c>
      <c r="E8" s="5" t="s">
        <v>954</v>
      </c>
      <c r="F8" s="5" t="s">
        <v>957</v>
      </c>
      <c r="G8" s="5" t="s">
        <v>958</v>
      </c>
      <c r="H8" s="5" t="n">
        <v>35.27</v>
      </c>
      <c r="I8" s="5" t="n">
        <v>119.38</v>
      </c>
      <c r="J8" s="5" t="s">
        <v>891</v>
      </c>
      <c r="K8" s="5" t="n">
        <v>2020</v>
      </c>
      <c r="L8" s="5" t="s">
        <v>842</v>
      </c>
      <c r="M8" s="5"/>
      <c r="N8" s="5" t="s">
        <v>1673</v>
      </c>
      <c r="O8" s="5" t="s">
        <v>1696</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3052</v>
      </c>
      <c r="AS8" s="5" t="s">
        <v>1686</v>
      </c>
      <c r="AT8" s="5" t="s">
        <v>1908</v>
      </c>
      <c r="AU8" s="5" t="s">
        <v>1688</v>
      </c>
      <c r="AV8" s="5" t="s">
        <v>1994</v>
      </c>
      <c r="AW8" s="23" t="s">
        <v>3056</v>
      </c>
      <c r="AX8" s="5" t="s">
        <v>968</v>
      </c>
      <c r="AY8" s="5" t="s">
        <v>3054</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3057</v>
      </c>
      <c r="AS9" s="18" t="s">
        <v>1699</v>
      </c>
      <c r="AT9" s="18" t="s">
        <v>1700</v>
      </c>
      <c r="AU9" s="18" t="s">
        <v>1701</v>
      </c>
      <c r="AV9" s="18" t="s">
        <v>1670</v>
      </c>
      <c r="AW9" s="32" t="s">
        <v>3058</v>
      </c>
      <c r="AX9" s="18" t="s">
        <v>949</v>
      </c>
      <c r="AY9" s="18" t="s">
        <v>3059</v>
      </c>
    </row>
    <row r="10" customFormat="false" ht="14.25" hidden="false" customHeight="true" outlineLevel="0" collapsed="false">
      <c r="A10" s="18" t="s">
        <v>935</v>
      </c>
      <c r="B10" s="18" t="s">
        <v>935</v>
      </c>
      <c r="C10" s="18" t="s">
        <v>936</v>
      </c>
      <c r="D10" s="18" t="n">
        <v>2020</v>
      </c>
      <c r="E10" s="18" t="s">
        <v>937</v>
      </c>
      <c r="F10" s="18" t="s">
        <v>836</v>
      </c>
      <c r="G10" s="18" t="s">
        <v>940</v>
      </c>
      <c r="H10" s="18" t="n">
        <v>28.4</v>
      </c>
      <c r="I10" s="18" t="n">
        <v>77.1</v>
      </c>
      <c r="J10" s="18" t="s">
        <v>83</v>
      </c>
      <c r="K10" s="18" t="s">
        <v>1698</v>
      </c>
      <c r="L10" s="18" t="s">
        <v>823</v>
      </c>
      <c r="M10" s="18" t="s">
        <v>85</v>
      </c>
      <c r="N10" s="18" t="s">
        <v>86</v>
      </c>
      <c r="O10" s="18" t="s">
        <v>1666</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3057</v>
      </c>
      <c r="AS10" s="18" t="s">
        <v>1705</v>
      </c>
      <c r="AT10" s="18" t="s">
        <v>1700</v>
      </c>
      <c r="AU10" s="18" t="s">
        <v>1701</v>
      </c>
      <c r="AV10" s="18" t="s">
        <v>1670</v>
      </c>
      <c r="AW10" s="32" t="s">
        <v>3060</v>
      </c>
      <c r="AX10" s="18" t="s">
        <v>949</v>
      </c>
      <c r="AY10" s="18" t="s">
        <v>3059</v>
      </c>
    </row>
    <row r="11" customFormat="false" ht="14.25" hidden="false" customHeight="true" outlineLevel="0" collapsed="false">
      <c r="A11" s="18" t="s">
        <v>935</v>
      </c>
      <c r="B11" s="18" t="s">
        <v>935</v>
      </c>
      <c r="C11" s="18" t="s">
        <v>936</v>
      </c>
      <c r="D11" s="18" t="n">
        <v>2020</v>
      </c>
      <c r="E11" s="18" t="s">
        <v>937</v>
      </c>
      <c r="F11" s="18" t="s">
        <v>836</v>
      </c>
      <c r="G11" s="18" t="s">
        <v>940</v>
      </c>
      <c r="H11" s="18" t="n">
        <v>28.4</v>
      </c>
      <c r="I11" s="18" t="n">
        <v>77.1</v>
      </c>
      <c r="J11" s="18" t="s">
        <v>83</v>
      </c>
      <c r="K11" s="18" t="s">
        <v>1698</v>
      </c>
      <c r="L11" s="18" t="s">
        <v>823</v>
      </c>
      <c r="M11" s="18" t="s">
        <v>85</v>
      </c>
      <c r="N11" s="18" t="s">
        <v>86</v>
      </c>
      <c r="O11" s="18" t="s">
        <v>1666</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3057</v>
      </c>
      <c r="AS11" s="18" t="s">
        <v>1707</v>
      </c>
      <c r="AT11" s="18" t="s">
        <v>1700</v>
      </c>
      <c r="AU11" s="18" t="s">
        <v>1701</v>
      </c>
      <c r="AV11" s="18" t="s">
        <v>1670</v>
      </c>
      <c r="AW11" s="32" t="s">
        <v>3061</v>
      </c>
      <c r="AX11" s="18" t="s">
        <v>949</v>
      </c>
      <c r="AY11" s="18" t="s">
        <v>3059</v>
      </c>
    </row>
    <row r="12" customFormat="false" ht="14.25" hidden="false" customHeight="true" outlineLevel="0" collapsed="false">
      <c r="A12" s="18" t="s">
        <v>935</v>
      </c>
      <c r="B12" s="18" t="s">
        <v>935</v>
      </c>
      <c r="C12" s="18" t="s">
        <v>936</v>
      </c>
      <c r="D12" s="18" t="n">
        <v>2020</v>
      </c>
      <c r="E12" s="18" t="s">
        <v>937</v>
      </c>
      <c r="F12" s="18" t="s">
        <v>836</v>
      </c>
      <c r="G12" s="18" t="s">
        <v>940</v>
      </c>
      <c r="H12" s="18" t="n">
        <v>28.4</v>
      </c>
      <c r="I12" s="18" t="n">
        <v>77.1</v>
      </c>
      <c r="J12" s="18" t="s">
        <v>83</v>
      </c>
      <c r="K12" s="18" t="s">
        <v>1698</v>
      </c>
      <c r="L12" s="18" t="s">
        <v>823</v>
      </c>
      <c r="M12" s="18" t="s">
        <v>85</v>
      </c>
      <c r="N12" s="18" t="s">
        <v>86</v>
      </c>
      <c r="O12" s="18" t="s">
        <v>1666</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3057</v>
      </c>
      <c r="AS12" s="18" t="s">
        <v>1709</v>
      </c>
      <c r="AT12" s="18" t="s">
        <v>1700</v>
      </c>
      <c r="AU12" s="18" t="s">
        <v>1701</v>
      </c>
      <c r="AV12" s="18" t="s">
        <v>1670</v>
      </c>
      <c r="AW12" s="32" t="s">
        <v>3062</v>
      </c>
      <c r="AX12" s="18" t="s">
        <v>949</v>
      </c>
      <c r="AY12" s="18" t="s">
        <v>3059</v>
      </c>
    </row>
    <row r="13" customFormat="false" ht="14.25" hidden="false" customHeight="true" outlineLevel="0" collapsed="false">
      <c r="A13" s="18" t="s">
        <v>935</v>
      </c>
      <c r="B13" s="18" t="s">
        <v>935</v>
      </c>
      <c r="C13" s="18" t="s">
        <v>936</v>
      </c>
      <c r="D13" s="18" t="n">
        <v>2020</v>
      </c>
      <c r="E13" s="18" t="s">
        <v>937</v>
      </c>
      <c r="F13" s="18" t="s">
        <v>836</v>
      </c>
      <c r="G13" s="18" t="s">
        <v>940</v>
      </c>
      <c r="H13" s="18" t="n">
        <v>28.4</v>
      </c>
      <c r="I13" s="18" t="n">
        <v>77.1</v>
      </c>
      <c r="J13" s="18" t="s">
        <v>83</v>
      </c>
      <c r="K13" s="18" t="s">
        <v>1698</v>
      </c>
      <c r="L13" s="18" t="s">
        <v>823</v>
      </c>
      <c r="M13" s="18" t="s">
        <v>85</v>
      </c>
      <c r="N13" s="18" t="s">
        <v>86</v>
      </c>
      <c r="O13" s="18" t="s">
        <v>1666</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3057</v>
      </c>
      <c r="AS13" s="18" t="s">
        <v>1711</v>
      </c>
      <c r="AT13" s="18" t="s">
        <v>1700</v>
      </c>
      <c r="AU13" s="18" t="s">
        <v>1701</v>
      </c>
      <c r="AV13" s="18" t="s">
        <v>1670</v>
      </c>
      <c r="AW13" s="32" t="s">
        <v>3063</v>
      </c>
      <c r="AX13" s="18" t="s">
        <v>949</v>
      </c>
      <c r="AY13" s="18" t="s">
        <v>3059</v>
      </c>
    </row>
    <row r="14" customFormat="false" ht="14.25" hidden="false" customHeight="true" outlineLevel="0" collapsed="false">
      <c r="A14" s="18" t="s">
        <v>935</v>
      </c>
      <c r="B14" s="18" t="s">
        <v>935</v>
      </c>
      <c r="C14" s="18" t="s">
        <v>936</v>
      </c>
      <c r="D14" s="18" t="n">
        <v>2020</v>
      </c>
      <c r="E14" s="18" t="s">
        <v>937</v>
      </c>
      <c r="F14" s="18" t="s">
        <v>836</v>
      </c>
      <c r="G14" s="18" t="s">
        <v>940</v>
      </c>
      <c r="H14" s="18" t="n">
        <v>28.4</v>
      </c>
      <c r="I14" s="18" t="n">
        <v>77.1</v>
      </c>
      <c r="J14" s="18" t="s">
        <v>83</v>
      </c>
      <c r="K14" s="18" t="s">
        <v>1698</v>
      </c>
      <c r="L14" s="18" t="s">
        <v>823</v>
      </c>
      <c r="M14" s="18" t="s">
        <v>85</v>
      </c>
      <c r="N14" s="18" t="s">
        <v>86</v>
      </c>
      <c r="O14" s="18" t="s">
        <v>1666</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3057</v>
      </c>
      <c r="AS14" s="18" t="s">
        <v>1713</v>
      </c>
      <c r="AT14" s="18" t="s">
        <v>1700</v>
      </c>
      <c r="AU14" s="18" t="s">
        <v>1701</v>
      </c>
      <c r="AV14" s="18" t="s">
        <v>1670</v>
      </c>
      <c r="AW14" s="32" t="s">
        <v>3064</v>
      </c>
      <c r="AX14" s="18" t="s">
        <v>949</v>
      </c>
      <c r="AY14" s="18" t="s">
        <v>3059</v>
      </c>
    </row>
    <row r="15" customFormat="false" ht="14.25" hidden="false" customHeight="true" outlineLevel="0" collapsed="false">
      <c r="A15" s="18" t="s">
        <v>935</v>
      </c>
      <c r="B15" s="18" t="s">
        <v>935</v>
      </c>
      <c r="C15" s="18" t="s">
        <v>936</v>
      </c>
      <c r="D15" s="18" t="n">
        <v>2020</v>
      </c>
      <c r="E15" s="18" t="s">
        <v>937</v>
      </c>
      <c r="F15" s="18" t="s">
        <v>836</v>
      </c>
      <c r="G15" s="18" t="s">
        <v>940</v>
      </c>
      <c r="H15" s="18" t="n">
        <v>28.4</v>
      </c>
      <c r="I15" s="18" t="n">
        <v>77.1</v>
      </c>
      <c r="J15" s="18" t="s">
        <v>83</v>
      </c>
      <c r="K15" s="18" t="s">
        <v>1698</v>
      </c>
      <c r="L15" s="18" t="s">
        <v>823</v>
      </c>
      <c r="M15" s="18" t="s">
        <v>85</v>
      </c>
      <c r="N15" s="18" t="s">
        <v>86</v>
      </c>
      <c r="O15" s="18" t="s">
        <v>1666</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3057</v>
      </c>
      <c r="AS15" s="18" t="s">
        <v>1715</v>
      </c>
      <c r="AT15" s="18" t="s">
        <v>1700</v>
      </c>
      <c r="AU15" s="18" t="s">
        <v>1701</v>
      </c>
      <c r="AV15" s="18" t="s">
        <v>1670</v>
      </c>
      <c r="AW15" s="32" t="s">
        <v>3065</v>
      </c>
      <c r="AX15" s="18" t="s">
        <v>949</v>
      </c>
      <c r="AY15" s="18" t="s">
        <v>3059</v>
      </c>
    </row>
    <row r="16" customFormat="false" ht="14.25" hidden="false" customHeight="true" outlineLevel="0" collapsed="false">
      <c r="A16" s="18" t="s">
        <v>935</v>
      </c>
      <c r="B16" s="18" t="s">
        <v>935</v>
      </c>
      <c r="C16" s="18" t="s">
        <v>936</v>
      </c>
      <c r="D16" s="18" t="n">
        <v>2020</v>
      </c>
      <c r="E16" s="18" t="s">
        <v>937</v>
      </c>
      <c r="F16" s="18" t="s">
        <v>836</v>
      </c>
      <c r="G16" s="18" t="s">
        <v>940</v>
      </c>
      <c r="H16" s="18" t="n">
        <v>28.4</v>
      </c>
      <c r="I16" s="18" t="n">
        <v>77.1</v>
      </c>
      <c r="J16" s="18" t="s">
        <v>83</v>
      </c>
      <c r="K16" s="18" t="s">
        <v>1698</v>
      </c>
      <c r="L16" s="18" t="s">
        <v>823</v>
      </c>
      <c r="M16" s="18" t="s">
        <v>85</v>
      </c>
      <c r="N16" s="18" t="s">
        <v>86</v>
      </c>
      <c r="O16" s="18" t="s">
        <v>1666</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3057</v>
      </c>
      <c r="AS16" s="18" t="s">
        <v>1717</v>
      </c>
      <c r="AT16" s="18" t="s">
        <v>1700</v>
      </c>
      <c r="AU16" s="18" t="s">
        <v>1701</v>
      </c>
      <c r="AV16" s="18" t="s">
        <v>1670</v>
      </c>
      <c r="AW16" s="32" t="s">
        <v>3066</v>
      </c>
      <c r="AX16" s="18" t="s">
        <v>949</v>
      </c>
      <c r="AY16" s="18" t="s">
        <v>3059</v>
      </c>
    </row>
    <row r="17" customFormat="false" ht="14.25" hidden="false" customHeight="false" outlineLevel="0" collapsed="false">
      <c r="A17" s="24" t="s">
        <v>1034</v>
      </c>
      <c r="B17" s="24" t="s">
        <v>1034</v>
      </c>
      <c r="C17" s="24" t="s">
        <v>1035</v>
      </c>
      <c r="D17" s="24" t="n">
        <v>2022</v>
      </c>
      <c r="E17" s="24" t="s">
        <v>80</v>
      </c>
      <c r="F17" s="24" t="s">
        <v>912</v>
      </c>
      <c r="G17" s="24" t="s">
        <v>913</v>
      </c>
      <c r="H17" s="24" t="n">
        <v>29.706</v>
      </c>
      <c r="I17" s="24" t="n">
        <v>76.956</v>
      </c>
      <c r="J17" s="24" t="s">
        <v>83</v>
      </c>
      <c r="K17" s="24" t="n">
        <v>2019</v>
      </c>
      <c r="L17" s="24" t="s">
        <v>84</v>
      </c>
      <c r="M17" s="24" t="s">
        <v>85</v>
      </c>
      <c r="N17" s="24" t="s">
        <v>86</v>
      </c>
      <c r="O17" s="24" t="s">
        <v>1720</v>
      </c>
      <c r="P17" s="24" t="n">
        <v>123</v>
      </c>
      <c r="Q17" s="24" t="n">
        <v>127</v>
      </c>
      <c r="R17" s="24"/>
      <c r="S17" s="24"/>
      <c r="T17" s="24"/>
      <c r="U17" s="24"/>
      <c r="V17" s="24"/>
      <c r="W17" s="24"/>
      <c r="X17" s="24" t="n">
        <v>133</v>
      </c>
      <c r="Y17" s="24"/>
      <c r="Z17" s="24"/>
      <c r="AA17" s="24"/>
      <c r="AB17" s="24" t="n">
        <v>2</v>
      </c>
      <c r="AC17" s="24" t="n">
        <v>3</v>
      </c>
      <c r="AD17" s="24" t="n">
        <f aca="false">IF(AND(N(AB17)&gt;0,N(AC17)&gt;0),SQRT(2*AB17/AC17),"")</f>
        <v>1.15470053837925</v>
      </c>
      <c r="AE17" s="24"/>
      <c r="AF17" s="24"/>
      <c r="AG17" s="24"/>
      <c r="AH17" s="24" t="n">
        <v>670</v>
      </c>
      <c r="AI17" s="24" t="n">
        <v>29.706</v>
      </c>
      <c r="AJ17" s="24" t="n">
        <v>10</v>
      </c>
      <c r="AK17" s="24"/>
      <c r="AL17" s="24"/>
      <c r="AM17" s="24"/>
      <c r="AN17" s="24"/>
      <c r="AO17" s="24"/>
      <c r="AP17" s="24"/>
      <c r="AQ17" s="24"/>
      <c r="AR17" s="24" t="s">
        <v>3067</v>
      </c>
      <c r="AS17" s="24" t="s">
        <v>1742</v>
      </c>
      <c r="AT17" s="24" t="s">
        <v>1743</v>
      </c>
      <c r="AU17" s="24" t="s">
        <v>1744</v>
      </c>
      <c r="AV17" s="24" t="s">
        <v>1702</v>
      </c>
      <c r="AW17" s="25" t="s">
        <v>3068</v>
      </c>
      <c r="AX17" s="24" t="s">
        <v>1046</v>
      </c>
      <c r="AY17" s="24" t="s">
        <v>3069</v>
      </c>
    </row>
    <row r="18" customFormat="false" ht="14.25" hidden="false" customHeight="false" outlineLevel="0" collapsed="false">
      <c r="A18" s="24" t="s">
        <v>1034</v>
      </c>
      <c r="B18" s="24" t="s">
        <v>1034</v>
      </c>
      <c r="C18" s="24" t="s">
        <v>1035</v>
      </c>
      <c r="D18" s="24" t="n">
        <v>2022</v>
      </c>
      <c r="E18" s="24" t="s">
        <v>80</v>
      </c>
      <c r="F18" s="24" t="s">
        <v>912</v>
      </c>
      <c r="G18" s="24" t="s">
        <v>913</v>
      </c>
      <c r="H18" s="24" t="n">
        <v>29.706</v>
      </c>
      <c r="I18" s="24" t="n">
        <v>76.956</v>
      </c>
      <c r="J18" s="24" t="s">
        <v>83</v>
      </c>
      <c r="K18" s="24" t="n">
        <v>2019</v>
      </c>
      <c r="L18" s="24" t="s">
        <v>84</v>
      </c>
      <c r="M18" s="24" t="s">
        <v>85</v>
      </c>
      <c r="N18" s="24" t="s">
        <v>86</v>
      </c>
      <c r="O18" s="24" t="s">
        <v>1747</v>
      </c>
      <c r="P18" s="24" t="n">
        <v>139</v>
      </c>
      <c r="Q18" s="24" t="n">
        <v>123</v>
      </c>
      <c r="R18" s="24"/>
      <c r="S18" s="24"/>
      <c r="T18" s="24"/>
      <c r="U18" s="24"/>
      <c r="V18" s="24"/>
      <c r="W18" s="24"/>
      <c r="X18" s="24" t="n">
        <v>127</v>
      </c>
      <c r="Y18" s="24"/>
      <c r="Z18" s="24"/>
      <c r="AA18" s="24"/>
      <c r="AB18" s="24" t="n">
        <v>2</v>
      </c>
      <c r="AC18" s="24" t="n">
        <v>3</v>
      </c>
      <c r="AD18" s="24" t="n">
        <f aca="false">IF(AND(N(AB18)&gt;0,N(AC18)&gt;0),SQRT(2*AB18/AC18),"")</f>
        <v>1.15470053837925</v>
      </c>
      <c r="AE18" s="24"/>
      <c r="AF18" s="24"/>
      <c r="AG18" s="24"/>
      <c r="AH18" s="24" t="n">
        <v>670</v>
      </c>
      <c r="AI18" s="24" t="n">
        <v>29.706</v>
      </c>
      <c r="AJ18" s="24" t="n">
        <v>10</v>
      </c>
      <c r="AK18" s="24"/>
      <c r="AL18" s="24"/>
      <c r="AM18" s="24"/>
      <c r="AN18" s="24"/>
      <c r="AO18" s="24"/>
      <c r="AP18" s="24"/>
      <c r="AQ18" s="24"/>
      <c r="AR18" s="24" t="s">
        <v>3067</v>
      </c>
      <c r="AS18" s="24" t="s">
        <v>1742</v>
      </c>
      <c r="AT18" s="24" t="s">
        <v>1743</v>
      </c>
      <c r="AU18" s="24" t="s">
        <v>1744</v>
      </c>
      <c r="AV18" s="24" t="s">
        <v>1702</v>
      </c>
      <c r="AW18" s="25" t="s">
        <v>3070</v>
      </c>
      <c r="AX18" s="24" t="s">
        <v>1046</v>
      </c>
      <c r="AY18" s="24" t="s">
        <v>3069</v>
      </c>
    </row>
    <row r="19" customFormat="false" ht="14.25" hidden="false" customHeight="false" outlineLevel="0" collapsed="false">
      <c r="A19" s="24" t="s">
        <v>1034</v>
      </c>
      <c r="B19" s="24" t="s">
        <v>1034</v>
      </c>
      <c r="C19" s="24" t="s">
        <v>1035</v>
      </c>
      <c r="D19" s="24" t="n">
        <v>2022</v>
      </c>
      <c r="E19" s="24" t="s">
        <v>80</v>
      </c>
      <c r="F19" s="24" t="s">
        <v>912</v>
      </c>
      <c r="G19" s="24" t="s">
        <v>913</v>
      </c>
      <c r="H19" s="24" t="n">
        <v>29.706</v>
      </c>
      <c r="I19" s="24" t="n">
        <v>76.956</v>
      </c>
      <c r="J19" s="24" t="s">
        <v>83</v>
      </c>
      <c r="K19" s="24" t="n">
        <v>2019</v>
      </c>
      <c r="L19" s="24" t="s">
        <v>84</v>
      </c>
      <c r="M19" s="24" t="s">
        <v>85</v>
      </c>
      <c r="N19" s="24" t="s">
        <v>1673</v>
      </c>
      <c r="O19" s="24" t="s">
        <v>1674</v>
      </c>
      <c r="P19" s="24" t="n">
        <v>118</v>
      </c>
      <c r="Q19" s="24" t="n">
        <v>101</v>
      </c>
      <c r="R19" s="24"/>
      <c r="S19" s="24"/>
      <c r="T19" s="24"/>
      <c r="U19" s="24"/>
      <c r="V19" s="24"/>
      <c r="W19" s="24"/>
      <c r="X19" s="24" t="n">
        <v>111</v>
      </c>
      <c r="Y19" s="24"/>
      <c r="Z19" s="24"/>
      <c r="AA19" s="24"/>
      <c r="AB19" s="24" t="n">
        <v>1</v>
      </c>
      <c r="AC19" s="24" t="n">
        <v>3</v>
      </c>
      <c r="AD19" s="24" t="n">
        <f aca="false">IF(AND(N(AB19)&gt;0,N(AC19)&gt;0),SQRT(2*AB19/AC19),"")</f>
        <v>0.816496580927726</v>
      </c>
      <c r="AE19" s="24"/>
      <c r="AF19" s="24"/>
      <c r="AG19" s="24"/>
      <c r="AH19" s="24" t="n">
        <v>670</v>
      </c>
      <c r="AI19" s="24" t="n">
        <v>29.706</v>
      </c>
      <c r="AJ19" s="24" t="n">
        <v>10</v>
      </c>
      <c r="AK19" s="24"/>
      <c r="AL19" s="24"/>
      <c r="AM19" s="24"/>
      <c r="AN19" s="24"/>
      <c r="AO19" s="24"/>
      <c r="AP19" s="24"/>
      <c r="AQ19" s="24"/>
      <c r="AR19" s="24" t="s">
        <v>3067</v>
      </c>
      <c r="AS19" s="24" t="s">
        <v>1742</v>
      </c>
      <c r="AT19" s="24" t="s">
        <v>1743</v>
      </c>
      <c r="AU19" s="24" t="s">
        <v>1744</v>
      </c>
      <c r="AV19" s="24" t="s">
        <v>1702</v>
      </c>
      <c r="AW19" s="25" t="s">
        <v>3071</v>
      </c>
      <c r="AX19" s="24" t="s">
        <v>1046</v>
      </c>
      <c r="AY19" s="24" t="s">
        <v>3069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3072</v>
      </c>
      <c r="Q1" s="27" t="s">
        <v>3073</v>
      </c>
      <c r="R1" s="27" t="s">
        <v>3074</v>
      </c>
      <c r="S1" s="27" t="s">
        <v>3075</v>
      </c>
      <c r="T1" s="27" t="s">
        <v>3076</v>
      </c>
      <c r="U1" s="27" t="s">
        <v>3077</v>
      </c>
      <c r="V1" s="27" t="s">
        <v>3078</v>
      </c>
      <c r="W1" s="27" t="s">
        <v>3079</v>
      </c>
      <c r="X1" s="30" t="s">
        <v>3080</v>
      </c>
      <c r="Y1" s="30" t="s">
        <v>3081</v>
      </c>
      <c r="Z1" s="30" t="s">
        <v>3082</v>
      </c>
      <c r="AA1" s="30" t="s">
        <v>3083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2029</v>
      </c>
      <c r="L2" s="5" t="s">
        <v>842</v>
      </c>
      <c r="M2" s="5" t="s">
        <v>85</v>
      </c>
      <c r="N2" s="5" t="s">
        <v>86</v>
      </c>
      <c r="O2" s="5" t="s">
        <v>2496</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3084</v>
      </c>
      <c r="AS2" s="5" t="s">
        <v>1676</v>
      </c>
      <c r="AT2" s="5" t="s">
        <v>2497</v>
      </c>
      <c r="AU2" s="5" t="s">
        <v>1678</v>
      </c>
      <c r="AV2" s="5" t="s">
        <v>1738</v>
      </c>
      <c r="AW2" s="23" t="s">
        <v>3085</v>
      </c>
      <c r="AX2" s="5" t="s">
        <v>850</v>
      </c>
      <c r="AY2" s="5" t="s">
        <v>3086</v>
      </c>
      <c r="BA2" s="36" t="s">
        <v>1196</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2029</v>
      </c>
      <c r="L3" s="5" t="s">
        <v>842</v>
      </c>
      <c r="M3" s="5" t="s">
        <v>85</v>
      </c>
      <c r="N3" s="5" t="s">
        <v>86</v>
      </c>
      <c r="O3" s="5" t="s">
        <v>2496</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3084</v>
      </c>
      <c r="AS3" s="5" t="s">
        <v>1682</v>
      </c>
      <c r="AT3" s="5" t="s">
        <v>2500</v>
      </c>
      <c r="AU3" s="5" t="s">
        <v>1678</v>
      </c>
      <c r="AV3" s="5" t="s">
        <v>1738</v>
      </c>
      <c r="AW3" s="23" t="s">
        <v>3087</v>
      </c>
      <c r="AX3" s="5" t="s">
        <v>850</v>
      </c>
      <c r="AY3" s="5" t="s">
        <v>3086</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2496</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3084</v>
      </c>
      <c r="AS4" s="5" t="s">
        <v>1676</v>
      </c>
      <c r="AT4" s="5" t="s">
        <v>2502</v>
      </c>
      <c r="AU4" s="5" t="s">
        <v>1678</v>
      </c>
      <c r="AV4" s="5" t="s">
        <v>1738</v>
      </c>
      <c r="AW4" s="23" t="s">
        <v>3088</v>
      </c>
      <c r="AX4" s="5" t="s">
        <v>850</v>
      </c>
      <c r="AY4" s="5" t="s">
        <v>3086</v>
      </c>
    </row>
    <row r="5" customFormat="false" ht="15" hidden="false" customHeight="true" outlineLevel="0" collapsed="false">
      <c r="A5" s="5" t="n">
        <v>165</v>
      </c>
      <c r="B5" s="5" t="n">
        <v>165</v>
      </c>
      <c r="C5" s="5" t="s">
        <v>832</v>
      </c>
      <c r="D5" s="5" t="n">
        <v>2012</v>
      </c>
      <c r="E5" s="5" t="s">
        <v>833</v>
      </c>
      <c r="F5" s="5" t="s">
        <v>836</v>
      </c>
      <c r="G5" s="5" t="s">
        <v>837</v>
      </c>
      <c r="H5" s="5" t="n">
        <v>28.633</v>
      </c>
      <c r="I5" s="5" t="n">
        <v>77.183</v>
      </c>
      <c r="J5" s="5" t="s">
        <v>83</v>
      </c>
      <c r="K5" s="5" t="s">
        <v>1675</v>
      </c>
      <c r="L5" s="5" t="s">
        <v>842</v>
      </c>
      <c r="M5" s="5" t="s">
        <v>85</v>
      </c>
      <c r="N5" s="5" t="s">
        <v>86</v>
      </c>
      <c r="O5" s="5" t="s">
        <v>2496</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3084</v>
      </c>
      <c r="AS5" s="5" t="s">
        <v>1682</v>
      </c>
      <c r="AT5" s="5" t="s">
        <v>2503</v>
      </c>
      <c r="AU5" s="5" t="s">
        <v>1678</v>
      </c>
      <c r="AV5" s="5" t="s">
        <v>1738</v>
      </c>
      <c r="AW5" s="23" t="s">
        <v>3089</v>
      </c>
      <c r="AX5" s="5" t="s">
        <v>850</v>
      </c>
      <c r="AY5" s="5" t="s">
        <v>3086</v>
      </c>
    </row>
    <row r="6" customFormat="false" ht="14.25" hidden="false" customHeight="true" outlineLevel="0" collapsed="false">
      <c r="A6" s="5" t="n">
        <v>164</v>
      </c>
      <c r="B6" s="5" t="n">
        <v>164</v>
      </c>
      <c r="C6" s="5" t="s">
        <v>812</v>
      </c>
      <c r="D6" s="5" t="n">
        <v>2000</v>
      </c>
      <c r="E6" s="5" t="s">
        <v>813</v>
      </c>
      <c r="F6" s="5" t="s">
        <v>887</v>
      </c>
      <c r="G6" s="5" t="s">
        <v>2504</v>
      </c>
      <c r="H6" s="5" t="n">
        <v>30.933</v>
      </c>
      <c r="I6" s="5" t="n">
        <v>75.867</v>
      </c>
      <c r="J6" s="5" t="s">
        <v>891</v>
      </c>
      <c r="K6" s="5" t="s">
        <v>2505</v>
      </c>
      <c r="L6" s="5" t="s">
        <v>823</v>
      </c>
      <c r="M6" s="5" t="s">
        <v>85</v>
      </c>
      <c r="N6" s="5" t="s">
        <v>86</v>
      </c>
      <c r="O6" s="5" t="s">
        <v>1666</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3090</v>
      </c>
      <c r="AS6" s="5" t="s">
        <v>2506</v>
      </c>
      <c r="AT6" s="5" t="s">
        <v>2507</v>
      </c>
      <c r="AU6" s="5" t="s">
        <v>2508</v>
      </c>
      <c r="AV6" s="5" t="s">
        <v>3091</v>
      </c>
      <c r="AW6" s="23" t="s">
        <v>3092</v>
      </c>
      <c r="AX6" s="5" t="s">
        <v>828</v>
      </c>
      <c r="AY6" s="5" t="s">
        <v>3093</v>
      </c>
    </row>
    <row r="7" customFormat="false" ht="14.25" hidden="false" customHeight="true" outlineLevel="0" collapsed="false">
      <c r="A7" s="5" t="n">
        <v>164</v>
      </c>
      <c r="B7" s="5" t="n">
        <v>164</v>
      </c>
      <c r="C7" s="5" t="s">
        <v>812</v>
      </c>
      <c r="D7" s="5" t="n">
        <v>2000</v>
      </c>
      <c r="E7" s="5" t="s">
        <v>813</v>
      </c>
      <c r="F7" s="5" t="s">
        <v>1605</v>
      </c>
      <c r="G7" s="5" t="s">
        <v>2512</v>
      </c>
      <c r="H7" s="5" t="n">
        <v>29</v>
      </c>
      <c r="I7" s="5" t="n">
        <v>79.083</v>
      </c>
      <c r="J7" s="5" t="s">
        <v>83</v>
      </c>
      <c r="K7" s="5" t="s">
        <v>2505</v>
      </c>
      <c r="L7" s="5" t="s">
        <v>823</v>
      </c>
      <c r="M7" s="5" t="s">
        <v>85</v>
      </c>
      <c r="N7" s="5" t="s">
        <v>86</v>
      </c>
      <c r="O7" s="5" t="s">
        <v>1666</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3090</v>
      </c>
      <c r="AS7" s="5" t="s">
        <v>2506</v>
      </c>
      <c r="AT7" s="5" t="s">
        <v>2507</v>
      </c>
      <c r="AU7" s="5" t="s">
        <v>2513</v>
      </c>
      <c r="AV7" s="5" t="s">
        <v>3091</v>
      </c>
      <c r="AW7" s="23" t="s">
        <v>3094</v>
      </c>
      <c r="AX7" s="5" t="s">
        <v>828</v>
      </c>
      <c r="AY7" s="5" t="s">
        <v>3093</v>
      </c>
    </row>
    <row r="8" customFormat="false" ht="14.25" hidden="false" customHeight="true" outlineLevel="0" collapsed="false">
      <c r="A8" s="5" t="n">
        <v>164</v>
      </c>
      <c r="B8" s="5" t="n">
        <v>164</v>
      </c>
      <c r="C8" s="5" t="s">
        <v>812</v>
      </c>
      <c r="D8" s="5" t="n">
        <v>2000</v>
      </c>
      <c r="E8" s="5" t="s">
        <v>813</v>
      </c>
      <c r="F8" s="5" t="s">
        <v>857</v>
      </c>
      <c r="G8" s="5" t="s">
        <v>2515</v>
      </c>
      <c r="H8" s="5" t="n">
        <v>26.967</v>
      </c>
      <c r="I8" s="5" t="n">
        <v>80.567</v>
      </c>
      <c r="J8" s="5" t="s">
        <v>83</v>
      </c>
      <c r="K8" s="5" t="s">
        <v>2505</v>
      </c>
      <c r="L8" s="5" t="s">
        <v>823</v>
      </c>
      <c r="M8" s="5"/>
      <c r="N8" s="5" t="s">
        <v>86</v>
      </c>
      <c r="O8" s="5" t="s">
        <v>1666</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3090</v>
      </c>
      <c r="AS8" s="5" t="s">
        <v>2506</v>
      </c>
      <c r="AT8" s="5" t="s">
        <v>2507</v>
      </c>
      <c r="AU8" s="5" t="s">
        <v>2516</v>
      </c>
      <c r="AV8" s="5" t="s">
        <v>3091</v>
      </c>
      <c r="AW8" s="23" t="s">
        <v>3095</v>
      </c>
      <c r="AX8" s="5" t="s">
        <v>828</v>
      </c>
      <c r="AY8" s="5" t="s">
        <v>3093</v>
      </c>
    </row>
    <row r="9" customFormat="false" ht="14.25" hidden="false" customHeight="true" outlineLevel="0" collapsed="false">
      <c r="A9" s="5" t="n">
        <v>164</v>
      </c>
      <c r="B9" s="5" t="n">
        <v>164</v>
      </c>
      <c r="C9" s="5" t="s">
        <v>812</v>
      </c>
      <c r="D9" s="5" t="n">
        <v>2000</v>
      </c>
      <c r="E9" s="5" t="s">
        <v>813</v>
      </c>
      <c r="F9" s="5" t="s">
        <v>857</v>
      </c>
      <c r="G9" s="5" t="s">
        <v>2518</v>
      </c>
      <c r="H9" s="5" t="n">
        <v>26.067</v>
      </c>
      <c r="I9" s="5" t="n">
        <v>82.133</v>
      </c>
      <c r="J9" s="5" t="s">
        <v>83</v>
      </c>
      <c r="K9" s="5" t="s">
        <v>2505</v>
      </c>
      <c r="L9" s="5" t="s">
        <v>823</v>
      </c>
      <c r="M9" s="5" t="s">
        <v>85</v>
      </c>
      <c r="N9" s="5" t="s">
        <v>86</v>
      </c>
      <c r="O9" s="5" t="s">
        <v>1666</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3090</v>
      </c>
      <c r="AS9" s="5" t="s">
        <v>2506</v>
      </c>
      <c r="AT9" s="5" t="s">
        <v>2507</v>
      </c>
      <c r="AU9" s="5" t="s">
        <v>2519</v>
      </c>
      <c r="AV9" s="5" t="s">
        <v>3091</v>
      </c>
      <c r="AW9" s="23" t="s">
        <v>3096</v>
      </c>
      <c r="AX9" s="5" t="s">
        <v>828</v>
      </c>
      <c r="AY9" s="5" t="s">
        <v>3093</v>
      </c>
    </row>
    <row r="10" customFormat="false" ht="14.25" hidden="false" customHeight="true" outlineLevel="0" collapsed="false">
      <c r="A10" s="5" t="n">
        <v>164</v>
      </c>
      <c r="B10" s="5" t="n">
        <v>164</v>
      </c>
      <c r="C10" s="5" t="s">
        <v>812</v>
      </c>
      <c r="D10" s="5" t="n">
        <v>2000</v>
      </c>
      <c r="E10" s="5" t="s">
        <v>813</v>
      </c>
      <c r="F10" s="5" t="s">
        <v>1617</v>
      </c>
      <c r="G10" s="5" t="s">
        <v>2521</v>
      </c>
      <c r="H10" s="5" t="n">
        <v>25.233</v>
      </c>
      <c r="I10" s="5" t="n">
        <v>87.067</v>
      </c>
      <c r="J10" s="5" t="s">
        <v>83</v>
      </c>
      <c r="K10" s="5" t="s">
        <v>2505</v>
      </c>
      <c r="L10" s="5" t="s">
        <v>823</v>
      </c>
      <c r="M10" s="5" t="s">
        <v>2522</v>
      </c>
      <c r="N10" s="5" t="s">
        <v>86</v>
      </c>
      <c r="O10" s="5" t="s">
        <v>1666</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3090</v>
      </c>
      <c r="AS10" s="5" t="s">
        <v>2506</v>
      </c>
      <c r="AT10" s="5" t="s">
        <v>2507</v>
      </c>
      <c r="AU10" s="5" t="s">
        <v>2523</v>
      </c>
      <c r="AV10" s="5" t="s">
        <v>3091</v>
      </c>
      <c r="AW10" s="23" t="s">
        <v>3097</v>
      </c>
      <c r="AX10" s="5" t="s">
        <v>828</v>
      </c>
      <c r="AY10" s="5" t="s">
        <v>3093</v>
      </c>
    </row>
    <row r="11" customFormat="false" ht="14.25" hidden="false" customHeight="true" outlineLevel="0" collapsed="false">
      <c r="A11" s="5" t="n">
        <v>164</v>
      </c>
      <c r="B11" s="5" t="n">
        <v>164</v>
      </c>
      <c r="C11" s="5" t="s">
        <v>812</v>
      </c>
      <c r="D11" s="5" t="n">
        <v>2000</v>
      </c>
      <c r="E11" s="5" t="s">
        <v>813</v>
      </c>
      <c r="F11" s="5" t="s">
        <v>1621</v>
      </c>
      <c r="G11" s="5" t="s">
        <v>2525</v>
      </c>
      <c r="H11" s="5" t="n">
        <v>23</v>
      </c>
      <c r="I11" s="5" t="n">
        <v>89</v>
      </c>
      <c r="J11" s="5" t="s">
        <v>83</v>
      </c>
      <c r="K11" s="5" t="s">
        <v>2526</v>
      </c>
      <c r="L11" s="5" t="s">
        <v>823</v>
      </c>
      <c r="M11" s="5"/>
      <c r="N11" s="5" t="s">
        <v>86</v>
      </c>
      <c r="O11" s="5" t="s">
        <v>1666</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3090</v>
      </c>
      <c r="AS11" s="5" t="s">
        <v>2506</v>
      </c>
      <c r="AT11" s="5" t="s">
        <v>2527</v>
      </c>
      <c r="AU11" s="5" t="s">
        <v>2528</v>
      </c>
      <c r="AV11" s="5" t="s">
        <v>3091</v>
      </c>
      <c r="AW11" s="23" t="s">
        <v>3098</v>
      </c>
      <c r="AX11" s="5" t="s">
        <v>828</v>
      </c>
      <c r="AY11" s="5" t="s">
        <v>3093</v>
      </c>
    </row>
    <row r="12" customFormat="false" ht="14.25" hidden="false" customHeight="true" outlineLevel="0" collapsed="false">
      <c r="A12" s="5" t="n">
        <v>164</v>
      </c>
      <c r="B12" s="5" t="n">
        <v>164</v>
      </c>
      <c r="C12" s="5" t="s">
        <v>812</v>
      </c>
      <c r="D12" s="5" t="n">
        <v>2000</v>
      </c>
      <c r="E12" s="5" t="s">
        <v>813</v>
      </c>
      <c r="F12" s="5" t="s">
        <v>1626</v>
      </c>
      <c r="G12" s="5" t="s">
        <v>2530</v>
      </c>
      <c r="H12" s="5" t="n">
        <v>23.167</v>
      </c>
      <c r="I12" s="5" t="n">
        <v>79.95</v>
      </c>
      <c r="J12" s="5" t="s">
        <v>83</v>
      </c>
      <c r="K12" s="5" t="s">
        <v>2505</v>
      </c>
      <c r="L12" s="5" t="s">
        <v>823</v>
      </c>
      <c r="M12" s="5" t="s">
        <v>2522</v>
      </c>
      <c r="N12" s="5" t="s">
        <v>86</v>
      </c>
      <c r="O12" s="5" t="s">
        <v>1666</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3090</v>
      </c>
      <c r="AS12" s="5" t="s">
        <v>2506</v>
      </c>
      <c r="AT12" s="5" t="s">
        <v>2507</v>
      </c>
      <c r="AU12" s="5" t="s">
        <v>2531</v>
      </c>
      <c r="AV12" s="5" t="s">
        <v>3091</v>
      </c>
      <c r="AW12" s="23" t="s">
        <v>3099</v>
      </c>
      <c r="AX12" s="5" t="s">
        <v>828</v>
      </c>
      <c r="AY12" s="5" t="s">
        <v>3093</v>
      </c>
    </row>
    <row r="13" customFormat="false" ht="14.25" hidden="false" customHeight="true" outlineLevel="0" collapsed="false">
      <c r="A13" s="5" t="s">
        <v>952</v>
      </c>
      <c r="B13" s="5" t="s">
        <v>952</v>
      </c>
      <c r="C13" s="5" t="s">
        <v>953</v>
      </c>
      <c r="D13" s="5" t="n">
        <v>2023</v>
      </c>
      <c r="E13" s="5" t="s">
        <v>954</v>
      </c>
      <c r="F13" s="5" t="s">
        <v>957</v>
      </c>
      <c r="G13" s="5" t="s">
        <v>958</v>
      </c>
      <c r="H13" s="5" t="n">
        <v>35.27</v>
      </c>
      <c r="I13" s="5" t="n">
        <v>119.38</v>
      </c>
      <c r="J13" s="5" t="s">
        <v>891</v>
      </c>
      <c r="K13" s="5" t="n">
        <v>2020</v>
      </c>
      <c r="L13" s="5" t="s">
        <v>842</v>
      </c>
      <c r="M13" s="5"/>
      <c r="N13" s="5" t="s">
        <v>86</v>
      </c>
      <c r="O13" s="5" t="s">
        <v>1685</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3100</v>
      </c>
      <c r="AS13" s="5" t="s">
        <v>1686</v>
      </c>
      <c r="AT13" s="5" t="s">
        <v>1908</v>
      </c>
      <c r="AU13" s="5" t="s">
        <v>1688</v>
      </c>
      <c r="AV13" s="5" t="s">
        <v>1994</v>
      </c>
      <c r="AW13" s="23" t="s">
        <v>3101</v>
      </c>
      <c r="AX13" s="5" t="s">
        <v>968</v>
      </c>
      <c r="AY13" s="5" t="s">
        <v>3102</v>
      </c>
    </row>
    <row r="14" customFormat="false" ht="14.25" hidden="false" customHeight="true" outlineLevel="0" collapsed="false">
      <c r="A14" s="5" t="s">
        <v>952</v>
      </c>
      <c r="B14" s="5" t="s">
        <v>952</v>
      </c>
      <c r="C14" s="5" t="s">
        <v>953</v>
      </c>
      <c r="D14" s="5" t="n">
        <v>2023</v>
      </c>
      <c r="E14" s="5" t="s">
        <v>954</v>
      </c>
      <c r="F14" s="5" t="s">
        <v>957</v>
      </c>
      <c r="G14" s="5" t="s">
        <v>958</v>
      </c>
      <c r="H14" s="5" t="n">
        <v>35.27</v>
      </c>
      <c r="I14" s="5" t="n">
        <v>119.38</v>
      </c>
      <c r="J14" s="5" t="s">
        <v>891</v>
      </c>
      <c r="K14" s="5" t="n">
        <v>2020</v>
      </c>
      <c r="L14" s="5" t="s">
        <v>842</v>
      </c>
      <c r="M14" s="5"/>
      <c r="N14" s="5" t="s">
        <v>1673</v>
      </c>
      <c r="O14" s="5" t="s">
        <v>1694</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3100</v>
      </c>
      <c r="AS14" s="5" t="s">
        <v>1686</v>
      </c>
      <c r="AT14" s="5" t="s">
        <v>1908</v>
      </c>
      <c r="AU14" s="5" t="s">
        <v>1688</v>
      </c>
      <c r="AV14" s="5" t="s">
        <v>1994</v>
      </c>
      <c r="AW14" s="23" t="s">
        <v>3103</v>
      </c>
      <c r="AX14" s="5" t="s">
        <v>968</v>
      </c>
      <c r="AY14" s="5" t="s">
        <v>3102</v>
      </c>
    </row>
    <row r="15" customFormat="false" ht="14.25" hidden="false" customHeight="true" outlineLevel="0" collapsed="false">
      <c r="A15" s="5" t="s">
        <v>952</v>
      </c>
      <c r="B15" s="5" t="s">
        <v>952</v>
      </c>
      <c r="C15" s="5" t="s">
        <v>953</v>
      </c>
      <c r="D15" s="5" t="n">
        <v>2023</v>
      </c>
      <c r="E15" s="5" t="s">
        <v>954</v>
      </c>
      <c r="F15" s="5" t="s">
        <v>957</v>
      </c>
      <c r="G15" s="5" t="s">
        <v>958</v>
      </c>
      <c r="H15" s="5" t="n">
        <v>35.27</v>
      </c>
      <c r="I15" s="5" t="n">
        <v>119.38</v>
      </c>
      <c r="J15" s="5" t="s">
        <v>891</v>
      </c>
      <c r="K15" s="5" t="n">
        <v>2020</v>
      </c>
      <c r="L15" s="5" t="s">
        <v>842</v>
      </c>
      <c r="M15" s="5"/>
      <c r="N15" s="5" t="s">
        <v>1673</v>
      </c>
      <c r="O15" s="5" t="s">
        <v>1696</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3100</v>
      </c>
      <c r="AS15" s="5" t="s">
        <v>1686</v>
      </c>
      <c r="AT15" s="5" t="s">
        <v>1908</v>
      </c>
      <c r="AU15" s="5" t="s">
        <v>1688</v>
      </c>
      <c r="AV15" s="5" t="s">
        <v>1994</v>
      </c>
      <c r="AW15" s="23" t="s">
        <v>3104</v>
      </c>
      <c r="AX15" s="5" t="s">
        <v>968</v>
      </c>
      <c r="AY15" s="5" t="s">
        <v>3102</v>
      </c>
    </row>
    <row r="16" customFormat="false" ht="14.25" hidden="false" customHeight="true" outlineLevel="0" collapsed="false">
      <c r="A16" s="18" t="s">
        <v>935</v>
      </c>
      <c r="B16" s="18" t="s">
        <v>935</v>
      </c>
      <c r="C16" s="18" t="s">
        <v>936</v>
      </c>
      <c r="D16" s="18" t="n">
        <v>2020</v>
      </c>
      <c r="E16" s="18" t="s">
        <v>937</v>
      </c>
      <c r="F16" s="18" t="s">
        <v>836</v>
      </c>
      <c r="G16" s="18" t="s">
        <v>940</v>
      </c>
      <c r="H16" s="18" t="n">
        <v>28.4</v>
      </c>
      <c r="I16" s="18" t="n">
        <v>77.1</v>
      </c>
      <c r="J16" s="18" t="s">
        <v>83</v>
      </c>
      <c r="K16" s="18" t="s">
        <v>1698</v>
      </c>
      <c r="L16" s="18" t="s">
        <v>823</v>
      </c>
      <c r="M16" s="18" t="s">
        <v>85</v>
      </c>
      <c r="N16" s="18" t="s">
        <v>86</v>
      </c>
      <c r="O16" s="18" t="s">
        <v>1666</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3105</v>
      </c>
      <c r="AS16" s="18" t="s">
        <v>1699</v>
      </c>
      <c r="AT16" s="18" t="s">
        <v>1700</v>
      </c>
      <c r="AU16" s="18" t="s">
        <v>1701</v>
      </c>
      <c r="AV16" s="18" t="s">
        <v>3106</v>
      </c>
      <c r="AW16" s="32" t="s">
        <v>3107</v>
      </c>
      <c r="AX16" s="18" t="s">
        <v>949</v>
      </c>
      <c r="AY16" s="18" t="s">
        <v>3108</v>
      </c>
    </row>
    <row r="17" customFormat="false" ht="14.25" hidden="false" customHeight="true" outlineLevel="0" collapsed="false">
      <c r="A17" s="18" t="s">
        <v>935</v>
      </c>
      <c r="B17" s="18" t="s">
        <v>935</v>
      </c>
      <c r="C17" s="18" t="s">
        <v>936</v>
      </c>
      <c r="D17" s="18" t="n">
        <v>2020</v>
      </c>
      <c r="E17" s="18" t="s">
        <v>937</v>
      </c>
      <c r="F17" s="18" t="s">
        <v>836</v>
      </c>
      <c r="G17" s="18" t="s">
        <v>940</v>
      </c>
      <c r="H17" s="18" t="n">
        <v>28.4</v>
      </c>
      <c r="I17" s="18" t="n">
        <v>77.1</v>
      </c>
      <c r="J17" s="18" t="s">
        <v>83</v>
      </c>
      <c r="K17" s="18" t="s">
        <v>1698</v>
      </c>
      <c r="L17" s="18" t="s">
        <v>823</v>
      </c>
      <c r="M17" s="18" t="s">
        <v>85</v>
      </c>
      <c r="N17" s="18" t="s">
        <v>86</v>
      </c>
      <c r="O17" s="18" t="s">
        <v>1666</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3105</v>
      </c>
      <c r="AS17" s="18" t="s">
        <v>1705</v>
      </c>
      <c r="AT17" s="18" t="s">
        <v>1700</v>
      </c>
      <c r="AU17" s="18" t="s">
        <v>1701</v>
      </c>
      <c r="AV17" s="18" t="s">
        <v>3106</v>
      </c>
      <c r="AW17" s="32" t="s">
        <v>3109</v>
      </c>
      <c r="AX17" s="18" t="s">
        <v>949</v>
      </c>
      <c r="AY17" s="18" t="s">
        <v>3108</v>
      </c>
    </row>
    <row r="18" customFormat="false" ht="14.25" hidden="false" customHeight="true" outlineLevel="0" collapsed="false">
      <c r="A18" s="18" t="s">
        <v>935</v>
      </c>
      <c r="B18" s="18" t="s">
        <v>935</v>
      </c>
      <c r="C18" s="18" t="s">
        <v>936</v>
      </c>
      <c r="D18" s="18" t="n">
        <v>2020</v>
      </c>
      <c r="E18" s="18" t="s">
        <v>937</v>
      </c>
      <c r="F18" s="18" t="s">
        <v>836</v>
      </c>
      <c r="G18" s="18" t="s">
        <v>940</v>
      </c>
      <c r="H18" s="18" t="n">
        <v>28.4</v>
      </c>
      <c r="I18" s="18" t="n">
        <v>77.1</v>
      </c>
      <c r="J18" s="18" t="s">
        <v>83</v>
      </c>
      <c r="K18" s="18" t="s">
        <v>1698</v>
      </c>
      <c r="L18" s="18" t="s">
        <v>823</v>
      </c>
      <c r="M18" s="18" t="s">
        <v>85</v>
      </c>
      <c r="N18" s="18" t="s">
        <v>86</v>
      </c>
      <c r="O18" s="18" t="s">
        <v>1666</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3105</v>
      </c>
      <c r="AS18" s="18" t="s">
        <v>1707</v>
      </c>
      <c r="AT18" s="18" t="s">
        <v>1700</v>
      </c>
      <c r="AU18" s="18" t="s">
        <v>1701</v>
      </c>
      <c r="AV18" s="18" t="s">
        <v>3106</v>
      </c>
      <c r="AW18" s="32" t="s">
        <v>3110</v>
      </c>
      <c r="AX18" s="18" t="s">
        <v>949</v>
      </c>
      <c r="AY18" s="18" t="s">
        <v>3108</v>
      </c>
    </row>
    <row r="19" customFormat="false" ht="14.25" hidden="false" customHeight="true" outlineLevel="0" collapsed="false">
      <c r="A19" s="18" t="s">
        <v>935</v>
      </c>
      <c r="B19" s="18" t="s">
        <v>935</v>
      </c>
      <c r="C19" s="18" t="s">
        <v>936</v>
      </c>
      <c r="D19" s="18" t="n">
        <v>2020</v>
      </c>
      <c r="E19" s="18" t="s">
        <v>937</v>
      </c>
      <c r="F19" s="18" t="s">
        <v>836</v>
      </c>
      <c r="G19" s="18" t="s">
        <v>940</v>
      </c>
      <c r="H19" s="18" t="n">
        <v>28.4</v>
      </c>
      <c r="I19" s="18" t="n">
        <v>77.1</v>
      </c>
      <c r="J19" s="18" t="s">
        <v>83</v>
      </c>
      <c r="K19" s="18" t="s">
        <v>1698</v>
      </c>
      <c r="L19" s="18" t="s">
        <v>823</v>
      </c>
      <c r="M19" s="18" t="s">
        <v>85</v>
      </c>
      <c r="N19" s="18" t="s">
        <v>86</v>
      </c>
      <c r="O19" s="18" t="s">
        <v>1666</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3105</v>
      </c>
      <c r="AS19" s="18" t="s">
        <v>1709</v>
      </c>
      <c r="AT19" s="18" t="s">
        <v>1700</v>
      </c>
      <c r="AU19" s="18" t="s">
        <v>1701</v>
      </c>
      <c r="AV19" s="18" t="s">
        <v>3106</v>
      </c>
      <c r="AW19" s="32" t="s">
        <v>3111</v>
      </c>
      <c r="AX19" s="18" t="s">
        <v>949</v>
      </c>
      <c r="AY19" s="18" t="s">
        <v>3108</v>
      </c>
    </row>
    <row r="20" customFormat="false" ht="14.25" hidden="false" customHeight="true" outlineLevel="0" collapsed="false">
      <c r="A20" s="18" t="s">
        <v>935</v>
      </c>
      <c r="B20" s="18" t="s">
        <v>935</v>
      </c>
      <c r="C20" s="18" t="s">
        <v>936</v>
      </c>
      <c r="D20" s="18" t="n">
        <v>2020</v>
      </c>
      <c r="E20" s="18" t="s">
        <v>937</v>
      </c>
      <c r="F20" s="18" t="s">
        <v>836</v>
      </c>
      <c r="G20" s="18" t="s">
        <v>940</v>
      </c>
      <c r="H20" s="18" t="n">
        <v>28.4</v>
      </c>
      <c r="I20" s="18" t="n">
        <v>77.1</v>
      </c>
      <c r="J20" s="18" t="s">
        <v>83</v>
      </c>
      <c r="K20" s="18" t="s">
        <v>1698</v>
      </c>
      <c r="L20" s="18" t="s">
        <v>823</v>
      </c>
      <c r="M20" s="18" t="s">
        <v>85</v>
      </c>
      <c r="N20" s="18" t="s">
        <v>86</v>
      </c>
      <c r="O20" s="18" t="s">
        <v>1666</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3105</v>
      </c>
      <c r="AS20" s="18" t="s">
        <v>1711</v>
      </c>
      <c r="AT20" s="18" t="s">
        <v>1700</v>
      </c>
      <c r="AU20" s="18" t="s">
        <v>1701</v>
      </c>
      <c r="AV20" s="18" t="s">
        <v>3106</v>
      </c>
      <c r="AW20" s="32" t="s">
        <v>3112</v>
      </c>
      <c r="AX20" s="18" t="s">
        <v>949</v>
      </c>
      <c r="AY20" s="18" t="s">
        <v>3108</v>
      </c>
    </row>
    <row r="21" customFormat="false" ht="14.25" hidden="false" customHeight="true" outlineLevel="0" collapsed="false">
      <c r="A21" s="18" t="s">
        <v>935</v>
      </c>
      <c r="B21" s="18" t="s">
        <v>935</v>
      </c>
      <c r="C21" s="18" t="s">
        <v>936</v>
      </c>
      <c r="D21" s="18" t="n">
        <v>2020</v>
      </c>
      <c r="E21" s="18" t="s">
        <v>937</v>
      </c>
      <c r="F21" s="18" t="s">
        <v>836</v>
      </c>
      <c r="G21" s="18" t="s">
        <v>940</v>
      </c>
      <c r="H21" s="18" t="n">
        <v>28.4</v>
      </c>
      <c r="I21" s="18" t="n">
        <v>77.1</v>
      </c>
      <c r="J21" s="18" t="s">
        <v>83</v>
      </c>
      <c r="K21" s="18" t="s">
        <v>1698</v>
      </c>
      <c r="L21" s="18" t="s">
        <v>823</v>
      </c>
      <c r="M21" s="18" t="s">
        <v>85</v>
      </c>
      <c r="N21" s="18" t="s">
        <v>86</v>
      </c>
      <c r="O21" s="18" t="s">
        <v>1666</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3105</v>
      </c>
      <c r="AS21" s="18" t="s">
        <v>1713</v>
      </c>
      <c r="AT21" s="18" t="s">
        <v>1700</v>
      </c>
      <c r="AU21" s="18" t="s">
        <v>1701</v>
      </c>
      <c r="AV21" s="18" t="s">
        <v>3106</v>
      </c>
      <c r="AW21" s="32" t="s">
        <v>3113</v>
      </c>
      <c r="AX21" s="18" t="s">
        <v>949</v>
      </c>
      <c r="AY21" s="18" t="s">
        <v>3108</v>
      </c>
    </row>
    <row r="22" customFormat="false" ht="14.25" hidden="false" customHeight="true" outlineLevel="0" collapsed="false">
      <c r="A22" s="18" t="s">
        <v>935</v>
      </c>
      <c r="B22" s="18" t="s">
        <v>935</v>
      </c>
      <c r="C22" s="18" t="s">
        <v>936</v>
      </c>
      <c r="D22" s="18" t="n">
        <v>2020</v>
      </c>
      <c r="E22" s="18" t="s">
        <v>937</v>
      </c>
      <c r="F22" s="18" t="s">
        <v>836</v>
      </c>
      <c r="G22" s="18" t="s">
        <v>940</v>
      </c>
      <c r="H22" s="18" t="n">
        <v>28.4</v>
      </c>
      <c r="I22" s="18" t="n">
        <v>77.1</v>
      </c>
      <c r="J22" s="18" t="s">
        <v>83</v>
      </c>
      <c r="K22" s="18" t="s">
        <v>1698</v>
      </c>
      <c r="L22" s="18" t="s">
        <v>823</v>
      </c>
      <c r="M22" s="18" t="s">
        <v>85</v>
      </c>
      <c r="N22" s="18" t="s">
        <v>86</v>
      </c>
      <c r="O22" s="18" t="s">
        <v>1666</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3105</v>
      </c>
      <c r="AS22" s="18" t="s">
        <v>1715</v>
      </c>
      <c r="AT22" s="18" t="s">
        <v>1700</v>
      </c>
      <c r="AU22" s="18" t="s">
        <v>1701</v>
      </c>
      <c r="AV22" s="18" t="s">
        <v>3106</v>
      </c>
      <c r="AW22" s="32" t="s">
        <v>3114</v>
      </c>
      <c r="AX22" s="18" t="s">
        <v>949</v>
      </c>
      <c r="AY22" s="18" t="s">
        <v>3108</v>
      </c>
    </row>
    <row r="23" customFormat="false" ht="14.25" hidden="false" customHeight="true" outlineLevel="0" collapsed="false">
      <c r="A23" s="18" t="s">
        <v>935</v>
      </c>
      <c r="B23" s="18" t="s">
        <v>935</v>
      </c>
      <c r="C23" s="18" t="s">
        <v>936</v>
      </c>
      <c r="D23" s="18" t="n">
        <v>2020</v>
      </c>
      <c r="E23" s="18" t="s">
        <v>937</v>
      </c>
      <c r="F23" s="18" t="s">
        <v>836</v>
      </c>
      <c r="G23" s="18" t="s">
        <v>940</v>
      </c>
      <c r="H23" s="18" t="n">
        <v>28.4</v>
      </c>
      <c r="I23" s="18" t="n">
        <v>77.1</v>
      </c>
      <c r="J23" s="18" t="s">
        <v>83</v>
      </c>
      <c r="K23" s="18" t="s">
        <v>1698</v>
      </c>
      <c r="L23" s="18" t="s">
        <v>823</v>
      </c>
      <c r="M23" s="18" t="s">
        <v>85</v>
      </c>
      <c r="N23" s="18" t="s">
        <v>86</v>
      </c>
      <c r="O23" s="18" t="s">
        <v>1666</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3105</v>
      </c>
      <c r="AS23" s="18" t="s">
        <v>1717</v>
      </c>
      <c r="AT23" s="18" t="s">
        <v>1700</v>
      </c>
      <c r="AU23" s="18" t="s">
        <v>1701</v>
      </c>
      <c r="AV23" s="18" t="s">
        <v>3106</v>
      </c>
      <c r="AW23" s="32" t="s">
        <v>3115</v>
      </c>
      <c r="AX23" s="18" t="s">
        <v>949</v>
      </c>
      <c r="AY23" s="18" t="s">
        <v>3108</v>
      </c>
    </row>
    <row r="24" customFormat="false" ht="14.25" hidden="false" customHeight="false" outlineLevel="0" collapsed="false">
      <c r="A24" s="24" t="s">
        <v>1034</v>
      </c>
      <c r="B24" s="24" t="s">
        <v>1034</v>
      </c>
      <c r="C24" s="24" t="s">
        <v>1035</v>
      </c>
      <c r="D24" s="24" t="n">
        <v>2022</v>
      </c>
      <c r="E24" s="24" t="s">
        <v>80</v>
      </c>
      <c r="F24" s="24" t="s">
        <v>912</v>
      </c>
      <c r="G24" s="24" t="s">
        <v>913</v>
      </c>
      <c r="H24" s="24" t="n">
        <v>29.706</v>
      </c>
      <c r="I24" s="24" t="n">
        <v>76.956</v>
      </c>
      <c r="J24" s="24" t="s">
        <v>83</v>
      </c>
      <c r="K24" s="24" t="n">
        <v>2019</v>
      </c>
      <c r="L24" s="24" t="s">
        <v>84</v>
      </c>
      <c r="M24" s="24" t="s">
        <v>85</v>
      </c>
      <c r="N24" s="24" t="s">
        <v>86</v>
      </c>
      <c r="O24" s="24" t="s">
        <v>1720</v>
      </c>
      <c r="P24" s="24" t="n">
        <v>35.1</v>
      </c>
      <c r="Q24" s="24" t="n">
        <v>14.48</v>
      </c>
      <c r="R24" s="24"/>
      <c r="S24" s="24"/>
      <c r="T24" s="24"/>
      <c r="U24" s="24"/>
      <c r="V24" s="24"/>
      <c r="W24" s="24"/>
      <c r="X24" s="24" t="n">
        <v>23.66</v>
      </c>
      <c r="Y24" s="24"/>
      <c r="Z24" s="24"/>
      <c r="AA24" s="24"/>
      <c r="AB24" s="24" t="n">
        <v>2</v>
      </c>
      <c r="AC24" s="24" t="n">
        <v>3</v>
      </c>
      <c r="AD24" s="24" t="n">
        <f aca="false">IF(AND(N(AB24)&gt;0,N(AC24)&gt;0),SQRT(2*AB24/AC24),"")</f>
        <v>1.15470053837925</v>
      </c>
      <c r="AE24" s="24"/>
      <c r="AF24" s="24"/>
      <c r="AG24" s="24"/>
      <c r="AH24" s="24" t="n">
        <v>670</v>
      </c>
      <c r="AI24" s="24" t="n">
        <v>29.706</v>
      </c>
      <c r="AJ24" s="24" t="n">
        <v>10</v>
      </c>
      <c r="AK24" s="24"/>
      <c r="AL24" s="24"/>
      <c r="AM24" s="24"/>
      <c r="AN24" s="24"/>
      <c r="AO24" s="24"/>
      <c r="AP24" s="24"/>
      <c r="AQ24" s="24"/>
      <c r="AR24" s="24" t="s">
        <v>3116</v>
      </c>
      <c r="AS24" s="24" t="s">
        <v>1742</v>
      </c>
      <c r="AT24" s="24" t="s">
        <v>1743</v>
      </c>
      <c r="AU24" s="24" t="s">
        <v>1744</v>
      </c>
      <c r="AV24" s="24" t="s">
        <v>1702</v>
      </c>
      <c r="AW24" s="25" t="s">
        <v>3117</v>
      </c>
      <c r="AX24" s="24" t="s">
        <v>1046</v>
      </c>
      <c r="AY24" s="24" t="s">
        <v>3118</v>
      </c>
    </row>
    <row r="25" customFormat="false" ht="14.25" hidden="false" customHeight="false" outlineLevel="0" collapsed="false">
      <c r="A25" s="24" t="s">
        <v>1034</v>
      </c>
      <c r="B25" s="24" t="s">
        <v>1034</v>
      </c>
      <c r="C25" s="24" t="s">
        <v>1035</v>
      </c>
      <c r="D25" s="24" t="n">
        <v>2022</v>
      </c>
      <c r="E25" s="24" t="s">
        <v>80</v>
      </c>
      <c r="F25" s="24" t="s">
        <v>912</v>
      </c>
      <c r="G25" s="24" t="s">
        <v>913</v>
      </c>
      <c r="H25" s="24" t="n">
        <v>29.706</v>
      </c>
      <c r="I25" s="24" t="n">
        <v>76.956</v>
      </c>
      <c r="J25" s="24" t="s">
        <v>83</v>
      </c>
      <c r="K25" s="24" t="n">
        <v>2019</v>
      </c>
      <c r="L25" s="24" t="s">
        <v>84</v>
      </c>
      <c r="M25" s="24" t="s">
        <v>85</v>
      </c>
      <c r="N25" s="24" t="s">
        <v>86</v>
      </c>
      <c r="O25" s="24" t="s">
        <v>1747</v>
      </c>
      <c r="P25" s="24" t="n">
        <v>31.3</v>
      </c>
      <c r="Q25" s="24" t="n">
        <v>13.46</v>
      </c>
      <c r="R25" s="24"/>
      <c r="S25" s="24"/>
      <c r="T25" s="24"/>
      <c r="U25" s="24"/>
      <c r="V25" s="24"/>
      <c r="W25" s="24"/>
      <c r="X25" s="24" t="n">
        <v>20.72</v>
      </c>
      <c r="Y25" s="24"/>
      <c r="Z25" s="24"/>
      <c r="AA25" s="24"/>
      <c r="AB25" s="24" t="n">
        <v>2</v>
      </c>
      <c r="AC25" s="24" t="n">
        <v>3</v>
      </c>
      <c r="AD25" s="24" t="n">
        <f aca="false">IF(AND(N(AB25)&gt;0,N(AC25)&gt;0),SQRT(2*AB25/AC25),"")</f>
        <v>1.15470053837925</v>
      </c>
      <c r="AE25" s="24"/>
      <c r="AF25" s="24"/>
      <c r="AG25" s="24"/>
      <c r="AH25" s="24" t="n">
        <v>670</v>
      </c>
      <c r="AI25" s="24" t="n">
        <v>29.706</v>
      </c>
      <c r="AJ25" s="24" t="n">
        <v>10</v>
      </c>
      <c r="AK25" s="24"/>
      <c r="AL25" s="24"/>
      <c r="AM25" s="24"/>
      <c r="AN25" s="24"/>
      <c r="AO25" s="24"/>
      <c r="AP25" s="24"/>
      <c r="AQ25" s="24"/>
      <c r="AR25" s="24" t="s">
        <v>3116</v>
      </c>
      <c r="AS25" s="24" t="s">
        <v>1742</v>
      </c>
      <c r="AT25" s="24" t="s">
        <v>1743</v>
      </c>
      <c r="AU25" s="24" t="s">
        <v>1744</v>
      </c>
      <c r="AV25" s="24" t="s">
        <v>1702</v>
      </c>
      <c r="AW25" s="25" t="s">
        <v>3119</v>
      </c>
      <c r="AX25" s="24" t="s">
        <v>1046</v>
      </c>
      <c r="AY25" s="24" t="s">
        <v>3118</v>
      </c>
    </row>
    <row r="26" customFormat="false" ht="14.25" hidden="false" customHeight="false" outlineLevel="0" collapsed="false">
      <c r="A26" s="24" t="s">
        <v>1034</v>
      </c>
      <c r="B26" s="24" t="s">
        <v>1034</v>
      </c>
      <c r="C26" s="24" t="s">
        <v>1035</v>
      </c>
      <c r="D26" s="24" t="n">
        <v>2022</v>
      </c>
      <c r="E26" s="24" t="s">
        <v>80</v>
      </c>
      <c r="F26" s="24" t="s">
        <v>912</v>
      </c>
      <c r="G26" s="24" t="s">
        <v>913</v>
      </c>
      <c r="H26" s="24" t="n">
        <v>29.706</v>
      </c>
      <c r="I26" s="24" t="n">
        <v>76.956</v>
      </c>
      <c r="J26" s="24" t="s">
        <v>83</v>
      </c>
      <c r="K26" s="24" t="n">
        <v>2019</v>
      </c>
      <c r="L26" s="24" t="s">
        <v>84</v>
      </c>
      <c r="M26" s="24" t="s">
        <v>85</v>
      </c>
      <c r="N26" s="24" t="s">
        <v>1673</v>
      </c>
      <c r="O26" s="24" t="s">
        <v>1674</v>
      </c>
      <c r="P26" s="24" t="n">
        <v>6.06</v>
      </c>
      <c r="Q26" s="24" t="n">
        <v>5.03</v>
      </c>
      <c r="R26" s="24"/>
      <c r="S26" s="24"/>
      <c r="T26" s="24"/>
      <c r="U26" s="24"/>
      <c r="V26" s="24"/>
      <c r="W26" s="24"/>
      <c r="X26" s="24" t="n">
        <v>3.38</v>
      </c>
      <c r="Y26" s="24"/>
      <c r="Z26" s="24"/>
      <c r="AA26" s="24"/>
      <c r="AB26" s="24" t="n">
        <v>1</v>
      </c>
      <c r="AC26" s="24" t="n">
        <v>3</v>
      </c>
      <c r="AD26" s="24" t="n">
        <f aca="false">IF(AND(N(AB26)&gt;0,N(AC26)&gt;0),SQRT(2*AB26/AC26),"")</f>
        <v>0.816496580927726</v>
      </c>
      <c r="AE26" s="24"/>
      <c r="AF26" s="24"/>
      <c r="AG26" s="24"/>
      <c r="AH26" s="24" t="n">
        <v>670</v>
      </c>
      <c r="AI26" s="24" t="n">
        <v>29.706</v>
      </c>
      <c r="AJ26" s="24" t="n">
        <v>10</v>
      </c>
      <c r="AK26" s="24"/>
      <c r="AL26" s="24"/>
      <c r="AM26" s="24"/>
      <c r="AN26" s="24"/>
      <c r="AO26" s="24"/>
      <c r="AP26" s="24"/>
      <c r="AQ26" s="24"/>
      <c r="AR26" s="24" t="s">
        <v>3116</v>
      </c>
      <c r="AS26" s="24" t="s">
        <v>1742</v>
      </c>
      <c r="AT26" s="24" t="s">
        <v>1743</v>
      </c>
      <c r="AU26" s="24" t="s">
        <v>1744</v>
      </c>
      <c r="AV26" s="24" t="s">
        <v>1702</v>
      </c>
      <c r="AW26" s="25" t="s">
        <v>3120</v>
      </c>
      <c r="AX26" s="24" t="s">
        <v>1046</v>
      </c>
      <c r="AY26" s="24" t="s">
        <v>3118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3121</v>
      </c>
      <c r="Q1" s="27" t="s">
        <v>3122</v>
      </c>
      <c r="R1" s="27" t="s">
        <v>3123</v>
      </c>
      <c r="S1" s="27" t="s">
        <v>3124</v>
      </c>
      <c r="T1" s="27" t="s">
        <v>3125</v>
      </c>
      <c r="U1" s="27" t="s">
        <v>3126</v>
      </c>
      <c r="V1" s="27" t="s">
        <v>3127</v>
      </c>
      <c r="W1" s="27" t="s">
        <v>3128</v>
      </c>
      <c r="X1" s="30" t="s">
        <v>3129</v>
      </c>
      <c r="Y1" s="30" t="s">
        <v>3130</v>
      </c>
      <c r="Z1" s="30" t="s">
        <v>3131</v>
      </c>
      <c r="AA1" s="30" t="s">
        <v>3132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2029</v>
      </c>
      <c r="L2" s="5" t="s">
        <v>842</v>
      </c>
      <c r="M2" s="5" t="s">
        <v>85</v>
      </c>
      <c r="N2" s="5" t="s">
        <v>86</v>
      </c>
      <c r="O2" s="5" t="s">
        <v>2496</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3133</v>
      </c>
      <c r="AS2" s="5" t="s">
        <v>1676</v>
      </c>
      <c r="AT2" s="5" t="s">
        <v>2497</v>
      </c>
      <c r="AU2" s="5" t="s">
        <v>1678</v>
      </c>
      <c r="AV2" s="5" t="s">
        <v>1738</v>
      </c>
      <c r="AW2" s="23" t="s">
        <v>3134</v>
      </c>
      <c r="AX2" s="5" t="s">
        <v>850</v>
      </c>
      <c r="AY2" s="5" t="s">
        <v>3135</v>
      </c>
      <c r="BA2" s="33" t="s">
        <v>1199</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2029</v>
      </c>
      <c r="L3" s="5" t="s">
        <v>842</v>
      </c>
      <c r="M3" s="5" t="s">
        <v>85</v>
      </c>
      <c r="N3" s="5" t="s">
        <v>86</v>
      </c>
      <c r="O3" s="5" t="s">
        <v>2496</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3133</v>
      </c>
      <c r="AS3" s="5" t="s">
        <v>1682</v>
      </c>
      <c r="AT3" s="5" t="s">
        <v>2500</v>
      </c>
      <c r="AU3" s="5" t="s">
        <v>1678</v>
      </c>
      <c r="AV3" s="5" t="s">
        <v>1738</v>
      </c>
      <c r="AW3" s="23" t="s">
        <v>3136</v>
      </c>
      <c r="AX3" s="5" t="s">
        <v>850</v>
      </c>
      <c r="AY3" s="5" t="s">
        <v>3135</v>
      </c>
    </row>
    <row r="4" customFormat="false" ht="14.2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2496</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3133</v>
      </c>
      <c r="AS4" s="5" t="s">
        <v>1676</v>
      </c>
      <c r="AT4" s="5" t="s">
        <v>2502</v>
      </c>
      <c r="AU4" s="5" t="s">
        <v>1678</v>
      </c>
      <c r="AV4" s="5" t="s">
        <v>1738</v>
      </c>
      <c r="AW4" s="23" t="s">
        <v>3137</v>
      </c>
      <c r="AX4" s="5" t="s">
        <v>850</v>
      </c>
      <c r="AY4" s="5" t="s">
        <v>3135</v>
      </c>
    </row>
    <row r="5" customFormat="false" ht="14.25" hidden="false" customHeight="true" outlineLevel="0" collapsed="false">
      <c r="A5" s="5" t="n">
        <v>165</v>
      </c>
      <c r="B5" s="5" t="n">
        <v>165</v>
      </c>
      <c r="C5" s="5" t="s">
        <v>832</v>
      </c>
      <c r="D5" s="5" t="n">
        <v>2012</v>
      </c>
      <c r="E5" s="5" t="s">
        <v>833</v>
      </c>
      <c r="F5" s="5" t="s">
        <v>836</v>
      </c>
      <c r="G5" s="5" t="s">
        <v>837</v>
      </c>
      <c r="H5" s="5" t="n">
        <v>28.633</v>
      </c>
      <c r="I5" s="5" t="n">
        <v>77.183</v>
      </c>
      <c r="J5" s="5" t="s">
        <v>83</v>
      </c>
      <c r="K5" s="5" t="s">
        <v>1675</v>
      </c>
      <c r="L5" s="5" t="s">
        <v>842</v>
      </c>
      <c r="M5" s="5" t="s">
        <v>85</v>
      </c>
      <c r="N5" s="5" t="s">
        <v>86</v>
      </c>
      <c r="O5" s="5" t="s">
        <v>2496</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3133</v>
      </c>
      <c r="AS5" s="5" t="s">
        <v>1682</v>
      </c>
      <c r="AT5" s="5" t="s">
        <v>2503</v>
      </c>
      <c r="AU5" s="5" t="s">
        <v>1678</v>
      </c>
      <c r="AV5" s="5" t="s">
        <v>1738</v>
      </c>
      <c r="AW5" s="23" t="s">
        <v>3138</v>
      </c>
      <c r="AX5" s="5" t="s">
        <v>850</v>
      </c>
      <c r="AY5" s="5" t="s">
        <v>3135</v>
      </c>
    </row>
    <row r="6" customFormat="false" ht="14.25" hidden="false" customHeight="true" outlineLevel="0" collapsed="false">
      <c r="A6" s="5" t="n">
        <v>164</v>
      </c>
      <c r="B6" s="5" t="n">
        <v>164</v>
      </c>
      <c r="C6" s="5" t="s">
        <v>812</v>
      </c>
      <c r="D6" s="5" t="n">
        <v>2000</v>
      </c>
      <c r="E6" s="5" t="s">
        <v>813</v>
      </c>
      <c r="F6" s="5" t="s">
        <v>887</v>
      </c>
      <c r="G6" s="5" t="s">
        <v>2504</v>
      </c>
      <c r="H6" s="5" t="n">
        <v>30.933</v>
      </c>
      <c r="I6" s="5" t="n">
        <v>75.867</v>
      </c>
      <c r="J6" s="5" t="s">
        <v>891</v>
      </c>
      <c r="K6" s="5" t="s">
        <v>2505</v>
      </c>
      <c r="L6" s="5" t="s">
        <v>823</v>
      </c>
      <c r="M6" s="5" t="s">
        <v>85</v>
      </c>
      <c r="N6" s="5" t="s">
        <v>86</v>
      </c>
      <c r="O6" s="5" t="s">
        <v>1666</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3139</v>
      </c>
      <c r="AS6" s="5" t="s">
        <v>2506</v>
      </c>
      <c r="AT6" s="5" t="s">
        <v>2507</v>
      </c>
      <c r="AU6" s="5" t="s">
        <v>2508</v>
      </c>
      <c r="AV6" s="5" t="s">
        <v>3140</v>
      </c>
      <c r="AW6" s="23" t="s">
        <v>3141</v>
      </c>
      <c r="AX6" s="5" t="s">
        <v>828</v>
      </c>
      <c r="AY6" s="5" t="s">
        <v>3142</v>
      </c>
    </row>
    <row r="7" customFormat="false" ht="14.25" hidden="false" customHeight="true" outlineLevel="0" collapsed="false">
      <c r="A7" s="5" t="n">
        <v>164</v>
      </c>
      <c r="B7" s="5" t="n">
        <v>164</v>
      </c>
      <c r="C7" s="5" t="s">
        <v>812</v>
      </c>
      <c r="D7" s="5" t="n">
        <v>2000</v>
      </c>
      <c r="E7" s="5" t="s">
        <v>813</v>
      </c>
      <c r="F7" s="5" t="s">
        <v>1605</v>
      </c>
      <c r="G7" s="5" t="s">
        <v>2512</v>
      </c>
      <c r="H7" s="5" t="n">
        <v>29</v>
      </c>
      <c r="I7" s="5" t="n">
        <v>79.083</v>
      </c>
      <c r="J7" s="5" t="s">
        <v>83</v>
      </c>
      <c r="K7" s="5" t="s">
        <v>2505</v>
      </c>
      <c r="L7" s="5" t="s">
        <v>823</v>
      </c>
      <c r="M7" s="5" t="s">
        <v>85</v>
      </c>
      <c r="N7" s="5" t="s">
        <v>86</v>
      </c>
      <c r="O7" s="5" t="s">
        <v>1666</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3139</v>
      </c>
      <c r="AS7" s="5" t="s">
        <v>2506</v>
      </c>
      <c r="AT7" s="5" t="s">
        <v>2507</v>
      </c>
      <c r="AU7" s="5" t="s">
        <v>2513</v>
      </c>
      <c r="AV7" s="5" t="s">
        <v>3140</v>
      </c>
      <c r="AW7" s="23" t="s">
        <v>3143</v>
      </c>
      <c r="AX7" s="5" t="s">
        <v>828</v>
      </c>
      <c r="AY7" s="5" t="s">
        <v>3142</v>
      </c>
    </row>
    <row r="8" customFormat="false" ht="14.25" hidden="false" customHeight="true" outlineLevel="0" collapsed="false">
      <c r="A8" s="5" t="n">
        <v>164</v>
      </c>
      <c r="B8" s="5" t="n">
        <v>164</v>
      </c>
      <c r="C8" s="5" t="s">
        <v>812</v>
      </c>
      <c r="D8" s="5" t="n">
        <v>2000</v>
      </c>
      <c r="E8" s="5" t="s">
        <v>813</v>
      </c>
      <c r="F8" s="5" t="s">
        <v>857</v>
      </c>
      <c r="G8" s="5" t="s">
        <v>2515</v>
      </c>
      <c r="H8" s="5" t="n">
        <v>26.967</v>
      </c>
      <c r="I8" s="5" t="n">
        <v>80.567</v>
      </c>
      <c r="J8" s="5" t="s">
        <v>83</v>
      </c>
      <c r="K8" s="5" t="s">
        <v>2505</v>
      </c>
      <c r="L8" s="5" t="s">
        <v>823</v>
      </c>
      <c r="M8" s="5"/>
      <c r="N8" s="5" t="s">
        <v>86</v>
      </c>
      <c r="O8" s="5" t="s">
        <v>1666</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3139</v>
      </c>
      <c r="AS8" s="5" t="s">
        <v>2506</v>
      </c>
      <c r="AT8" s="5" t="s">
        <v>2507</v>
      </c>
      <c r="AU8" s="5" t="s">
        <v>2516</v>
      </c>
      <c r="AV8" s="5" t="s">
        <v>3140</v>
      </c>
      <c r="AW8" s="23" t="s">
        <v>3144</v>
      </c>
      <c r="AX8" s="5" t="s">
        <v>828</v>
      </c>
      <c r="AY8" s="5" t="s">
        <v>3142</v>
      </c>
    </row>
    <row r="9" customFormat="false" ht="14.25" hidden="false" customHeight="true" outlineLevel="0" collapsed="false">
      <c r="A9" s="5" t="n">
        <v>164</v>
      </c>
      <c r="B9" s="5" t="n">
        <v>164</v>
      </c>
      <c r="C9" s="5" t="s">
        <v>812</v>
      </c>
      <c r="D9" s="5" t="n">
        <v>2000</v>
      </c>
      <c r="E9" s="5" t="s">
        <v>813</v>
      </c>
      <c r="F9" s="5" t="s">
        <v>857</v>
      </c>
      <c r="G9" s="5" t="s">
        <v>2518</v>
      </c>
      <c r="H9" s="5" t="n">
        <v>26.067</v>
      </c>
      <c r="I9" s="5" t="n">
        <v>82.133</v>
      </c>
      <c r="J9" s="5" t="s">
        <v>83</v>
      </c>
      <c r="K9" s="5" t="s">
        <v>2505</v>
      </c>
      <c r="L9" s="5" t="s">
        <v>823</v>
      </c>
      <c r="M9" s="5" t="s">
        <v>85</v>
      </c>
      <c r="N9" s="5" t="s">
        <v>86</v>
      </c>
      <c r="O9" s="5" t="s">
        <v>1666</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3139</v>
      </c>
      <c r="AS9" s="5" t="s">
        <v>2506</v>
      </c>
      <c r="AT9" s="5" t="s">
        <v>2507</v>
      </c>
      <c r="AU9" s="5" t="s">
        <v>2519</v>
      </c>
      <c r="AV9" s="5" t="s">
        <v>3140</v>
      </c>
      <c r="AW9" s="23" t="s">
        <v>3145</v>
      </c>
      <c r="AX9" s="5" t="s">
        <v>828</v>
      </c>
      <c r="AY9" s="5" t="s">
        <v>3142</v>
      </c>
    </row>
    <row r="10" customFormat="false" ht="14.25" hidden="false" customHeight="true" outlineLevel="0" collapsed="false">
      <c r="A10" s="5" t="n">
        <v>164</v>
      </c>
      <c r="B10" s="5" t="n">
        <v>164</v>
      </c>
      <c r="C10" s="5" t="s">
        <v>812</v>
      </c>
      <c r="D10" s="5" t="n">
        <v>2000</v>
      </c>
      <c r="E10" s="5" t="s">
        <v>813</v>
      </c>
      <c r="F10" s="5" t="s">
        <v>1617</v>
      </c>
      <c r="G10" s="5" t="s">
        <v>2521</v>
      </c>
      <c r="H10" s="5" t="n">
        <v>25.233</v>
      </c>
      <c r="I10" s="5" t="n">
        <v>87.067</v>
      </c>
      <c r="J10" s="5" t="s">
        <v>83</v>
      </c>
      <c r="K10" s="5" t="s">
        <v>2505</v>
      </c>
      <c r="L10" s="5" t="s">
        <v>823</v>
      </c>
      <c r="M10" s="5" t="s">
        <v>2522</v>
      </c>
      <c r="N10" s="5" t="s">
        <v>86</v>
      </c>
      <c r="O10" s="5" t="s">
        <v>1666</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3139</v>
      </c>
      <c r="AS10" s="5" t="s">
        <v>2506</v>
      </c>
      <c r="AT10" s="5" t="s">
        <v>2507</v>
      </c>
      <c r="AU10" s="5" t="s">
        <v>2523</v>
      </c>
      <c r="AV10" s="5" t="s">
        <v>3140</v>
      </c>
      <c r="AW10" s="23" t="s">
        <v>3146</v>
      </c>
      <c r="AX10" s="5" t="s">
        <v>828</v>
      </c>
      <c r="AY10" s="5" t="s">
        <v>3142</v>
      </c>
    </row>
    <row r="11" customFormat="false" ht="14.25" hidden="false" customHeight="true" outlineLevel="0" collapsed="false">
      <c r="A11" s="5" t="n">
        <v>164</v>
      </c>
      <c r="B11" s="5" t="n">
        <v>164</v>
      </c>
      <c r="C11" s="5" t="s">
        <v>812</v>
      </c>
      <c r="D11" s="5" t="n">
        <v>2000</v>
      </c>
      <c r="E11" s="5" t="s">
        <v>813</v>
      </c>
      <c r="F11" s="5" t="s">
        <v>1621</v>
      </c>
      <c r="G11" s="5" t="s">
        <v>2525</v>
      </c>
      <c r="H11" s="5" t="n">
        <v>23</v>
      </c>
      <c r="I11" s="5" t="n">
        <v>89</v>
      </c>
      <c r="J11" s="5" t="s">
        <v>83</v>
      </c>
      <c r="K11" s="5" t="s">
        <v>2526</v>
      </c>
      <c r="L11" s="5" t="s">
        <v>823</v>
      </c>
      <c r="M11" s="5"/>
      <c r="N11" s="5" t="s">
        <v>86</v>
      </c>
      <c r="O11" s="5" t="s">
        <v>1666</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3139</v>
      </c>
      <c r="AS11" s="5" t="s">
        <v>2506</v>
      </c>
      <c r="AT11" s="5" t="s">
        <v>2527</v>
      </c>
      <c r="AU11" s="5" t="s">
        <v>2528</v>
      </c>
      <c r="AV11" s="5" t="s">
        <v>3140</v>
      </c>
      <c r="AW11" s="23" t="s">
        <v>3147</v>
      </c>
      <c r="AX11" s="5" t="s">
        <v>828</v>
      </c>
      <c r="AY11" s="5" t="s">
        <v>3142</v>
      </c>
    </row>
    <row r="12" customFormat="false" ht="14.25" hidden="false" customHeight="true" outlineLevel="0" collapsed="false">
      <c r="A12" s="5" t="n">
        <v>164</v>
      </c>
      <c r="B12" s="5" t="n">
        <v>164</v>
      </c>
      <c r="C12" s="5" t="s">
        <v>812</v>
      </c>
      <c r="D12" s="5" t="n">
        <v>2000</v>
      </c>
      <c r="E12" s="5" t="s">
        <v>813</v>
      </c>
      <c r="F12" s="5" t="s">
        <v>1626</v>
      </c>
      <c r="G12" s="5" t="s">
        <v>2530</v>
      </c>
      <c r="H12" s="5" t="n">
        <v>23.167</v>
      </c>
      <c r="I12" s="5" t="n">
        <v>79.95</v>
      </c>
      <c r="J12" s="5" t="s">
        <v>83</v>
      </c>
      <c r="K12" s="5" t="s">
        <v>2505</v>
      </c>
      <c r="L12" s="5" t="s">
        <v>823</v>
      </c>
      <c r="M12" s="5" t="s">
        <v>2522</v>
      </c>
      <c r="N12" s="5" t="s">
        <v>86</v>
      </c>
      <c r="O12" s="5" t="s">
        <v>1666</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3139</v>
      </c>
      <c r="AS12" s="5" t="s">
        <v>2506</v>
      </c>
      <c r="AT12" s="5" t="s">
        <v>2507</v>
      </c>
      <c r="AU12" s="5" t="s">
        <v>2531</v>
      </c>
      <c r="AV12" s="5" t="s">
        <v>3140</v>
      </c>
      <c r="AW12" s="23" t="s">
        <v>3148</v>
      </c>
      <c r="AX12" s="5" t="s">
        <v>828</v>
      </c>
      <c r="AY12" s="5" t="s">
        <v>3142</v>
      </c>
    </row>
    <row r="13" customFormat="false" ht="14.25" hidden="false" customHeight="true" outlineLevel="0" collapsed="false">
      <c r="A13" s="5" t="s">
        <v>952</v>
      </c>
      <c r="B13" s="5" t="s">
        <v>952</v>
      </c>
      <c r="C13" s="5" t="s">
        <v>953</v>
      </c>
      <c r="D13" s="5" t="n">
        <v>2023</v>
      </c>
      <c r="E13" s="5" t="s">
        <v>954</v>
      </c>
      <c r="F13" s="5" t="s">
        <v>957</v>
      </c>
      <c r="G13" s="5" t="s">
        <v>958</v>
      </c>
      <c r="H13" s="5" t="n">
        <v>35.27</v>
      </c>
      <c r="I13" s="5" t="n">
        <v>119.38</v>
      </c>
      <c r="J13" s="5" t="s">
        <v>891</v>
      </c>
      <c r="K13" s="5" t="n">
        <v>2020</v>
      </c>
      <c r="L13" s="5" t="s">
        <v>842</v>
      </c>
      <c r="M13" s="5"/>
      <c r="N13" s="5" t="s">
        <v>86</v>
      </c>
      <c r="O13" s="5" t="s">
        <v>1685</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3149</v>
      </c>
      <c r="AS13" s="5" t="s">
        <v>1686</v>
      </c>
      <c r="AT13" s="5" t="s">
        <v>1908</v>
      </c>
      <c r="AU13" s="5" t="s">
        <v>1688</v>
      </c>
      <c r="AV13" s="5" t="s">
        <v>1994</v>
      </c>
      <c r="AW13" s="23" t="s">
        <v>3150</v>
      </c>
      <c r="AX13" s="5" t="s">
        <v>968</v>
      </c>
      <c r="AY13" s="5" t="s">
        <v>3151</v>
      </c>
    </row>
    <row r="14" customFormat="false" ht="14.25" hidden="false" customHeight="true" outlineLevel="0" collapsed="false">
      <c r="A14" s="5" t="s">
        <v>952</v>
      </c>
      <c r="B14" s="5" t="s">
        <v>952</v>
      </c>
      <c r="C14" s="5" t="s">
        <v>953</v>
      </c>
      <c r="D14" s="5" t="n">
        <v>2023</v>
      </c>
      <c r="E14" s="5" t="s">
        <v>954</v>
      </c>
      <c r="F14" s="5" t="s">
        <v>957</v>
      </c>
      <c r="G14" s="5" t="s">
        <v>958</v>
      </c>
      <c r="H14" s="5" t="n">
        <v>35.27</v>
      </c>
      <c r="I14" s="5" t="n">
        <v>119.38</v>
      </c>
      <c r="J14" s="5" t="s">
        <v>891</v>
      </c>
      <c r="K14" s="5" t="n">
        <v>2020</v>
      </c>
      <c r="L14" s="5" t="s">
        <v>842</v>
      </c>
      <c r="M14" s="5"/>
      <c r="N14" s="5" t="s">
        <v>1673</v>
      </c>
      <c r="O14" s="5" t="s">
        <v>1694</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3149</v>
      </c>
      <c r="AS14" s="5" t="s">
        <v>1686</v>
      </c>
      <c r="AT14" s="5" t="s">
        <v>1908</v>
      </c>
      <c r="AU14" s="5" t="s">
        <v>1688</v>
      </c>
      <c r="AV14" s="5" t="s">
        <v>1994</v>
      </c>
      <c r="AW14" s="23" t="s">
        <v>3152</v>
      </c>
      <c r="AX14" s="5" t="s">
        <v>968</v>
      </c>
      <c r="AY14" s="5" t="s">
        <v>3151</v>
      </c>
    </row>
    <row r="15" customFormat="false" ht="14.25" hidden="false" customHeight="true" outlineLevel="0" collapsed="false">
      <c r="A15" s="5" t="s">
        <v>952</v>
      </c>
      <c r="B15" s="5" t="s">
        <v>952</v>
      </c>
      <c r="C15" s="5" t="s">
        <v>953</v>
      </c>
      <c r="D15" s="5" t="n">
        <v>2023</v>
      </c>
      <c r="E15" s="5" t="s">
        <v>954</v>
      </c>
      <c r="F15" s="5" t="s">
        <v>957</v>
      </c>
      <c r="G15" s="5" t="s">
        <v>958</v>
      </c>
      <c r="H15" s="5" t="n">
        <v>35.27</v>
      </c>
      <c r="I15" s="5" t="n">
        <v>119.38</v>
      </c>
      <c r="J15" s="5" t="s">
        <v>891</v>
      </c>
      <c r="K15" s="5" t="n">
        <v>2020</v>
      </c>
      <c r="L15" s="5" t="s">
        <v>842</v>
      </c>
      <c r="M15" s="5"/>
      <c r="N15" s="5" t="s">
        <v>1673</v>
      </c>
      <c r="O15" s="5" t="s">
        <v>1696</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3149</v>
      </c>
      <c r="AS15" s="5" t="s">
        <v>1686</v>
      </c>
      <c r="AT15" s="5" t="s">
        <v>1908</v>
      </c>
      <c r="AU15" s="5" t="s">
        <v>1688</v>
      </c>
      <c r="AV15" s="5" t="s">
        <v>1994</v>
      </c>
      <c r="AW15" s="23" t="s">
        <v>3153</v>
      </c>
      <c r="AX15" s="5" t="s">
        <v>968</v>
      </c>
      <c r="AY15" s="5" t="s">
        <v>3151</v>
      </c>
    </row>
    <row r="16" customFormat="false" ht="14.25" hidden="false" customHeight="false" outlineLevel="0" collapsed="false">
      <c r="A16" s="24" t="s">
        <v>1034</v>
      </c>
      <c r="B16" s="24" t="s">
        <v>1034</v>
      </c>
      <c r="C16" s="24" t="s">
        <v>1035</v>
      </c>
      <c r="D16" s="24" t="n">
        <v>2022</v>
      </c>
      <c r="E16" s="24" t="s">
        <v>80</v>
      </c>
      <c r="F16" s="24" t="s">
        <v>912</v>
      </c>
      <c r="G16" s="24" t="s">
        <v>913</v>
      </c>
      <c r="H16" s="24" t="n">
        <v>29.706</v>
      </c>
      <c r="I16" s="24" t="n">
        <v>76.956</v>
      </c>
      <c r="J16" s="24" t="s">
        <v>83</v>
      </c>
      <c r="K16" s="24" t="n">
        <v>2019</v>
      </c>
      <c r="L16" s="24" t="s">
        <v>84</v>
      </c>
      <c r="M16" s="24" t="s">
        <v>85</v>
      </c>
      <c r="N16" s="24" t="s">
        <v>86</v>
      </c>
      <c r="O16" s="24" t="s">
        <v>1720</v>
      </c>
      <c r="P16" s="24" t="n">
        <v>381</v>
      </c>
      <c r="Q16" s="24" t="n">
        <v>193</v>
      </c>
      <c r="R16" s="24"/>
      <c r="S16" s="24"/>
      <c r="T16" s="24"/>
      <c r="U16" s="24"/>
      <c r="V16" s="24"/>
      <c r="W16" s="24"/>
      <c r="X16" s="24" t="n">
        <v>279</v>
      </c>
      <c r="Y16" s="24"/>
      <c r="Z16" s="24"/>
      <c r="AA16" s="24"/>
      <c r="AB16" s="24" t="n">
        <v>2</v>
      </c>
      <c r="AC16" s="24" t="n">
        <v>3</v>
      </c>
      <c r="AD16" s="24" t="n">
        <f aca="false">IF(AND(N(AB16)&gt;0,N(AC16)&gt;0),SQRT(2*AB16/AC16),"")</f>
        <v>1.15470053837925</v>
      </c>
      <c r="AE16" s="24"/>
      <c r="AF16" s="24"/>
      <c r="AG16" s="24"/>
      <c r="AH16" s="24" t="n">
        <v>670</v>
      </c>
      <c r="AI16" s="24" t="n">
        <v>29.706</v>
      </c>
      <c r="AJ16" s="24" t="n">
        <v>10</v>
      </c>
      <c r="AK16" s="24"/>
      <c r="AL16" s="24"/>
      <c r="AM16" s="24"/>
      <c r="AN16" s="24"/>
      <c r="AO16" s="24"/>
      <c r="AP16" s="24"/>
      <c r="AQ16" s="24"/>
      <c r="AR16" s="24" t="s">
        <v>3154</v>
      </c>
      <c r="AS16" s="24" t="s">
        <v>1742</v>
      </c>
      <c r="AT16" s="24" t="s">
        <v>1743</v>
      </c>
      <c r="AU16" s="24" t="s">
        <v>1744</v>
      </c>
      <c r="AV16" s="24" t="s">
        <v>1702</v>
      </c>
      <c r="AW16" s="25" t="s">
        <v>3155</v>
      </c>
      <c r="AX16" s="24" t="s">
        <v>1046</v>
      </c>
      <c r="AY16" s="24" t="s">
        <v>3156</v>
      </c>
    </row>
    <row r="17" customFormat="false" ht="14.25" hidden="false" customHeight="false" outlineLevel="0" collapsed="false">
      <c r="A17" s="24" t="s">
        <v>1034</v>
      </c>
      <c r="B17" s="24" t="s">
        <v>1034</v>
      </c>
      <c r="C17" s="24" t="s">
        <v>1035</v>
      </c>
      <c r="D17" s="24" t="n">
        <v>2022</v>
      </c>
      <c r="E17" s="24" t="s">
        <v>80</v>
      </c>
      <c r="F17" s="24" t="s">
        <v>912</v>
      </c>
      <c r="G17" s="24" t="s">
        <v>913</v>
      </c>
      <c r="H17" s="24" t="n">
        <v>29.706</v>
      </c>
      <c r="I17" s="24" t="n">
        <v>76.956</v>
      </c>
      <c r="J17" s="24" t="s">
        <v>83</v>
      </c>
      <c r="K17" s="24" t="n">
        <v>2019</v>
      </c>
      <c r="L17" s="24" t="s">
        <v>84</v>
      </c>
      <c r="M17" s="24" t="s">
        <v>85</v>
      </c>
      <c r="N17" s="24" t="s">
        <v>86</v>
      </c>
      <c r="O17" s="24" t="s">
        <v>1747</v>
      </c>
      <c r="P17" s="24" t="n">
        <v>331</v>
      </c>
      <c r="Q17" s="24" t="n">
        <v>181</v>
      </c>
      <c r="R17" s="24"/>
      <c r="S17" s="24"/>
      <c r="T17" s="24"/>
      <c r="U17" s="24"/>
      <c r="V17" s="24"/>
      <c r="W17" s="24"/>
      <c r="X17" s="24" t="n">
        <v>227</v>
      </c>
      <c r="Y17" s="24"/>
      <c r="Z17" s="24"/>
      <c r="AA17" s="24"/>
      <c r="AB17" s="24" t="n">
        <v>2</v>
      </c>
      <c r="AC17" s="24" t="n">
        <v>3</v>
      </c>
      <c r="AD17" s="24" t="n">
        <f aca="false">IF(AND(N(AB17)&gt;0,N(AC17)&gt;0),SQRT(2*AB17/AC17),"")</f>
        <v>1.15470053837925</v>
      </c>
      <c r="AE17" s="24"/>
      <c r="AF17" s="24"/>
      <c r="AG17" s="24"/>
      <c r="AH17" s="24" t="n">
        <v>670</v>
      </c>
      <c r="AI17" s="24" t="n">
        <v>29.706</v>
      </c>
      <c r="AJ17" s="24" t="n">
        <v>10</v>
      </c>
      <c r="AK17" s="24"/>
      <c r="AL17" s="24"/>
      <c r="AM17" s="24"/>
      <c r="AN17" s="24"/>
      <c r="AO17" s="24"/>
      <c r="AP17" s="24"/>
      <c r="AQ17" s="24"/>
      <c r="AR17" s="24" t="s">
        <v>3154</v>
      </c>
      <c r="AS17" s="24" t="s">
        <v>1742</v>
      </c>
      <c r="AT17" s="24" t="s">
        <v>1743</v>
      </c>
      <c r="AU17" s="24" t="s">
        <v>1744</v>
      </c>
      <c r="AV17" s="24" t="s">
        <v>1702</v>
      </c>
      <c r="AW17" s="25" t="s">
        <v>3157</v>
      </c>
      <c r="AX17" s="24" t="s">
        <v>1046</v>
      </c>
      <c r="AY17" s="24" t="s">
        <v>3156</v>
      </c>
    </row>
    <row r="18" customFormat="false" ht="14.25" hidden="false" customHeight="false" outlineLevel="0" collapsed="false">
      <c r="A18" s="24" t="s">
        <v>1034</v>
      </c>
      <c r="B18" s="24" t="s">
        <v>1034</v>
      </c>
      <c r="C18" s="24" t="s">
        <v>1035</v>
      </c>
      <c r="D18" s="24" t="n">
        <v>2022</v>
      </c>
      <c r="E18" s="24" t="s">
        <v>80</v>
      </c>
      <c r="F18" s="24" t="s">
        <v>912</v>
      </c>
      <c r="G18" s="24" t="s">
        <v>913</v>
      </c>
      <c r="H18" s="24" t="n">
        <v>29.706</v>
      </c>
      <c r="I18" s="24" t="n">
        <v>76.956</v>
      </c>
      <c r="J18" s="24" t="s">
        <v>83</v>
      </c>
      <c r="K18" s="24" t="n">
        <v>2019</v>
      </c>
      <c r="L18" s="24" t="s">
        <v>84</v>
      </c>
      <c r="M18" s="24" t="s">
        <v>85</v>
      </c>
      <c r="N18" s="24" t="s">
        <v>1673</v>
      </c>
      <c r="O18" s="24" t="s">
        <v>1674</v>
      </c>
      <c r="P18" s="24" t="n">
        <v>190</v>
      </c>
      <c r="Q18" s="24" t="n">
        <v>140</v>
      </c>
      <c r="R18" s="24"/>
      <c r="S18" s="24"/>
      <c r="T18" s="24"/>
      <c r="U18" s="24"/>
      <c r="V18" s="24"/>
      <c r="W18" s="24"/>
      <c r="X18" s="24" t="n">
        <v>147</v>
      </c>
      <c r="Y18" s="24"/>
      <c r="Z18" s="24"/>
      <c r="AA18" s="24"/>
      <c r="AB18" s="24" t="n">
        <v>1</v>
      </c>
      <c r="AC18" s="24" t="n">
        <v>3</v>
      </c>
      <c r="AD18" s="24" t="n">
        <f aca="false">IF(AND(N(AB18)&gt;0,N(AC18)&gt;0),SQRT(2*AB18/AC18),"")</f>
        <v>0.816496580927726</v>
      </c>
      <c r="AE18" s="24"/>
      <c r="AF18" s="24"/>
      <c r="AG18" s="24"/>
      <c r="AH18" s="24" t="n">
        <v>670</v>
      </c>
      <c r="AI18" s="24" t="n">
        <v>29.706</v>
      </c>
      <c r="AJ18" s="24" t="n">
        <v>10</v>
      </c>
      <c r="AK18" s="24"/>
      <c r="AL18" s="24"/>
      <c r="AM18" s="24"/>
      <c r="AN18" s="24"/>
      <c r="AO18" s="24"/>
      <c r="AP18" s="24"/>
      <c r="AQ18" s="24"/>
      <c r="AR18" s="24" t="s">
        <v>3154</v>
      </c>
      <c r="AS18" s="24" t="s">
        <v>1742</v>
      </c>
      <c r="AT18" s="24" t="s">
        <v>1743</v>
      </c>
      <c r="AU18" s="24" t="s">
        <v>1744</v>
      </c>
      <c r="AV18" s="24" t="s">
        <v>1702</v>
      </c>
      <c r="AW18" s="25" t="s">
        <v>3158</v>
      </c>
      <c r="AX18" s="24" t="s">
        <v>1046</v>
      </c>
      <c r="AY18" s="24" t="s">
        <v>3156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3159</v>
      </c>
      <c r="Q1" s="27" t="s">
        <v>3160</v>
      </c>
      <c r="R1" s="27" t="s">
        <v>3161</v>
      </c>
      <c r="S1" s="27" t="s">
        <v>3162</v>
      </c>
      <c r="T1" s="27" t="s">
        <v>3163</v>
      </c>
      <c r="U1" s="27" t="s">
        <v>3164</v>
      </c>
      <c r="V1" s="27" t="s">
        <v>3165</v>
      </c>
      <c r="W1" s="27" t="s">
        <v>3166</v>
      </c>
      <c r="X1" s="30" t="s">
        <v>3167</v>
      </c>
      <c r="Y1" s="30" t="s">
        <v>3168</v>
      </c>
      <c r="Z1" s="30" t="s">
        <v>3169</v>
      </c>
      <c r="AA1" s="30" t="s">
        <v>3170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1202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3171</v>
      </c>
      <c r="Q1" s="27" t="s">
        <v>3172</v>
      </c>
      <c r="R1" s="27" t="s">
        <v>3173</v>
      </c>
      <c r="S1" s="27" t="s">
        <v>3174</v>
      </c>
      <c r="T1" s="27" t="s">
        <v>3175</v>
      </c>
      <c r="U1" s="27" t="s">
        <v>3176</v>
      </c>
      <c r="V1" s="27" t="s">
        <v>3177</v>
      </c>
      <c r="W1" s="27" t="s">
        <v>3178</v>
      </c>
      <c r="X1" s="30" t="s">
        <v>3179</v>
      </c>
      <c r="Y1" s="30" t="s">
        <v>3180</v>
      </c>
      <c r="Z1" s="30" t="s">
        <v>3181</v>
      </c>
      <c r="AA1" s="30" t="s">
        <v>3182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2029</v>
      </c>
      <c r="L2" s="5" t="s">
        <v>842</v>
      </c>
      <c r="M2" s="5" t="s">
        <v>85</v>
      </c>
      <c r="N2" s="5" t="s">
        <v>86</v>
      </c>
      <c r="O2" s="5" t="s">
        <v>2496</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3183</v>
      </c>
      <c r="AS2" s="5" t="s">
        <v>1676</v>
      </c>
      <c r="AT2" s="5" t="s">
        <v>2497</v>
      </c>
      <c r="AU2" s="5" t="s">
        <v>1678</v>
      </c>
      <c r="AV2" s="5" t="s">
        <v>1738</v>
      </c>
      <c r="AW2" s="23" t="s">
        <v>3184</v>
      </c>
      <c r="AX2" s="5" t="s">
        <v>850</v>
      </c>
      <c r="AY2" s="5" t="s">
        <v>3185</v>
      </c>
      <c r="BA2" s="33" t="s">
        <v>748</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2029</v>
      </c>
      <c r="L3" s="5" t="s">
        <v>842</v>
      </c>
      <c r="M3" s="5" t="s">
        <v>85</v>
      </c>
      <c r="N3" s="5" t="s">
        <v>86</v>
      </c>
      <c r="O3" s="5" t="s">
        <v>2496</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3183</v>
      </c>
      <c r="AS3" s="5" t="s">
        <v>1682</v>
      </c>
      <c r="AT3" s="5" t="s">
        <v>2500</v>
      </c>
      <c r="AU3" s="5" t="s">
        <v>1678</v>
      </c>
      <c r="AV3" s="5" t="s">
        <v>1738</v>
      </c>
      <c r="AW3" s="23" t="s">
        <v>3186</v>
      </c>
      <c r="AX3" s="5" t="s">
        <v>850</v>
      </c>
      <c r="AY3" s="5" t="s">
        <v>3185</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2496</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3183</v>
      </c>
      <c r="AS4" s="5" t="s">
        <v>1676</v>
      </c>
      <c r="AT4" s="5" t="s">
        <v>2502</v>
      </c>
      <c r="AU4" s="5" t="s">
        <v>1678</v>
      </c>
      <c r="AV4" s="5" t="s">
        <v>1738</v>
      </c>
      <c r="AW4" s="23" t="s">
        <v>3187</v>
      </c>
      <c r="AX4" s="5" t="s">
        <v>850</v>
      </c>
      <c r="AY4" s="5" t="s">
        <v>3185</v>
      </c>
    </row>
    <row r="5" customFormat="false" ht="15" hidden="false" customHeight="true" outlineLevel="0" collapsed="false">
      <c r="A5" s="5" t="n">
        <v>165</v>
      </c>
      <c r="B5" s="5" t="n">
        <v>165</v>
      </c>
      <c r="C5" s="5" t="s">
        <v>832</v>
      </c>
      <c r="D5" s="5" t="n">
        <v>2012</v>
      </c>
      <c r="E5" s="5" t="s">
        <v>833</v>
      </c>
      <c r="F5" s="5" t="s">
        <v>836</v>
      </c>
      <c r="G5" s="5" t="s">
        <v>837</v>
      </c>
      <c r="H5" s="5" t="n">
        <v>28.633</v>
      </c>
      <c r="I5" s="5" t="n">
        <v>77.183</v>
      </c>
      <c r="J5" s="5" t="s">
        <v>83</v>
      </c>
      <c r="K5" s="5" t="s">
        <v>1675</v>
      </c>
      <c r="L5" s="5" t="s">
        <v>842</v>
      </c>
      <c r="M5" s="5" t="s">
        <v>85</v>
      </c>
      <c r="N5" s="5" t="s">
        <v>86</v>
      </c>
      <c r="O5" s="5" t="s">
        <v>2496</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3183</v>
      </c>
      <c r="AS5" s="5" t="s">
        <v>1682</v>
      </c>
      <c r="AT5" s="5" t="s">
        <v>2503</v>
      </c>
      <c r="AU5" s="5" t="s">
        <v>1678</v>
      </c>
      <c r="AV5" s="5" t="s">
        <v>1738</v>
      </c>
      <c r="AW5" s="23" t="s">
        <v>3186</v>
      </c>
      <c r="AX5" s="5" t="s">
        <v>850</v>
      </c>
      <c r="AY5" s="5" t="s">
        <v>3185</v>
      </c>
    </row>
    <row r="6" customFormat="false" ht="15" hidden="false" customHeight="true" outlineLevel="0" collapsed="false">
      <c r="A6" s="5" t="s">
        <v>952</v>
      </c>
      <c r="B6" s="5" t="s">
        <v>952</v>
      </c>
      <c r="C6" s="5" t="s">
        <v>953</v>
      </c>
      <c r="D6" s="5" t="n">
        <v>2023</v>
      </c>
      <c r="E6" s="5" t="s">
        <v>954</v>
      </c>
      <c r="F6" s="5" t="s">
        <v>957</v>
      </c>
      <c r="G6" s="5" t="s">
        <v>958</v>
      </c>
      <c r="H6" s="5" t="n">
        <v>35.27</v>
      </c>
      <c r="I6" s="5" t="n">
        <v>119.38</v>
      </c>
      <c r="J6" s="5" t="s">
        <v>891</v>
      </c>
      <c r="K6" s="5" t="n">
        <v>2020</v>
      </c>
      <c r="L6" s="5" t="s">
        <v>842</v>
      </c>
      <c r="M6" s="5"/>
      <c r="N6" s="5" t="s">
        <v>86</v>
      </c>
      <c r="O6" s="5" t="s">
        <v>1685</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3188</v>
      </c>
      <c r="AS6" s="5" t="s">
        <v>1686</v>
      </c>
      <c r="AT6" s="5" t="s">
        <v>1908</v>
      </c>
      <c r="AU6" s="5" t="s">
        <v>1688</v>
      </c>
      <c r="AV6" s="5" t="s">
        <v>1994</v>
      </c>
      <c r="AW6" s="23" t="s">
        <v>2533</v>
      </c>
      <c r="AX6" s="5" t="s">
        <v>968</v>
      </c>
      <c r="AY6" s="5" t="s">
        <v>3189</v>
      </c>
    </row>
    <row r="7" customFormat="false" ht="15" hidden="false" customHeight="true" outlineLevel="0" collapsed="false">
      <c r="A7" s="5" t="s">
        <v>952</v>
      </c>
      <c r="B7" s="5" t="s">
        <v>952</v>
      </c>
      <c r="C7" s="5" t="s">
        <v>953</v>
      </c>
      <c r="D7" s="5" t="n">
        <v>2023</v>
      </c>
      <c r="E7" s="5" t="s">
        <v>954</v>
      </c>
      <c r="F7" s="5" t="s">
        <v>957</v>
      </c>
      <c r="G7" s="5" t="s">
        <v>958</v>
      </c>
      <c r="H7" s="5" t="n">
        <v>35.27</v>
      </c>
      <c r="I7" s="5" t="n">
        <v>119.38</v>
      </c>
      <c r="J7" s="5" t="s">
        <v>891</v>
      </c>
      <c r="K7" s="5" t="n">
        <v>2020</v>
      </c>
      <c r="L7" s="5" t="s">
        <v>842</v>
      </c>
      <c r="M7" s="5"/>
      <c r="N7" s="5" t="s">
        <v>1673</v>
      </c>
      <c r="O7" s="5" t="s">
        <v>1694</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3188</v>
      </c>
      <c r="AS7" s="5" t="s">
        <v>1686</v>
      </c>
      <c r="AT7" s="5" t="s">
        <v>1908</v>
      </c>
      <c r="AU7" s="5" t="s">
        <v>1688</v>
      </c>
      <c r="AV7" s="5" t="s">
        <v>1994</v>
      </c>
      <c r="AW7" s="23" t="s">
        <v>2533</v>
      </c>
      <c r="AX7" s="5" t="s">
        <v>968</v>
      </c>
      <c r="AY7" s="5" t="s">
        <v>3189</v>
      </c>
    </row>
    <row r="8" customFormat="false" ht="14.25" hidden="false" customHeight="true" outlineLevel="0" collapsed="false">
      <c r="A8" s="5" t="s">
        <v>952</v>
      </c>
      <c r="B8" s="5" t="s">
        <v>952</v>
      </c>
      <c r="C8" s="5" t="s">
        <v>953</v>
      </c>
      <c r="D8" s="5" t="n">
        <v>2023</v>
      </c>
      <c r="E8" s="5" t="s">
        <v>954</v>
      </c>
      <c r="F8" s="5" t="s">
        <v>957</v>
      </c>
      <c r="G8" s="5" t="s">
        <v>958</v>
      </c>
      <c r="H8" s="5" t="n">
        <v>35.27</v>
      </c>
      <c r="I8" s="5" t="n">
        <v>119.38</v>
      </c>
      <c r="J8" s="5" t="s">
        <v>891</v>
      </c>
      <c r="K8" s="5" t="n">
        <v>2020</v>
      </c>
      <c r="L8" s="5" t="s">
        <v>842</v>
      </c>
      <c r="M8" s="5"/>
      <c r="N8" s="5" t="s">
        <v>1673</v>
      </c>
      <c r="O8" s="5" t="s">
        <v>1696</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3188</v>
      </c>
      <c r="AS8" s="5" t="s">
        <v>1686</v>
      </c>
      <c r="AT8" s="5" t="s">
        <v>1908</v>
      </c>
      <c r="AU8" s="5" t="s">
        <v>1688</v>
      </c>
      <c r="AV8" s="5" t="s">
        <v>1994</v>
      </c>
      <c r="AW8" s="23" t="s">
        <v>2533</v>
      </c>
      <c r="AX8" s="5" t="s">
        <v>968</v>
      </c>
      <c r="AY8" s="5" t="s">
        <v>3189</v>
      </c>
    </row>
    <row r="9" customFormat="false" ht="14.25" hidden="false" customHeight="false" outlineLevel="0" collapsed="false">
      <c r="A9" s="24" t="s">
        <v>1011</v>
      </c>
      <c r="B9" s="24" t="s">
        <v>1011</v>
      </c>
      <c r="C9" s="24" t="s">
        <v>1012</v>
      </c>
      <c r="D9" s="24" t="n">
        <v>2022</v>
      </c>
      <c r="E9" s="24" t="s">
        <v>813</v>
      </c>
      <c r="F9" s="24" t="s">
        <v>1015</v>
      </c>
      <c r="G9" s="24" t="s">
        <v>1016</v>
      </c>
      <c r="H9" s="24" t="n">
        <v>24.724</v>
      </c>
      <c r="I9" s="24" t="n">
        <v>90.437</v>
      </c>
      <c r="J9" s="24" t="s">
        <v>83</v>
      </c>
      <c r="K9" s="24" t="s">
        <v>1734</v>
      </c>
      <c r="L9" s="24" t="s">
        <v>84</v>
      </c>
      <c r="M9" s="24" t="s">
        <v>85</v>
      </c>
      <c r="N9" s="24" t="s">
        <v>86</v>
      </c>
      <c r="O9" s="24" t="s">
        <v>1666</v>
      </c>
      <c r="P9" s="24"/>
      <c r="Q9" s="24"/>
      <c r="R9" s="24"/>
      <c r="S9" s="24"/>
      <c r="T9" s="24" t="n">
        <f aca="false">ROUND(1.5*1000,0)</f>
        <v>1500</v>
      </c>
      <c r="U9" s="24"/>
      <c r="V9" s="24" t="n">
        <f aca="false">ROUND(1.1*1000,0)</f>
        <v>1100</v>
      </c>
      <c r="W9" s="24"/>
      <c r="X9" s="24"/>
      <c r="Y9" s="24"/>
      <c r="Z9" s="24"/>
      <c r="AA9" s="24"/>
      <c r="AB9" s="24" t="n">
        <v>2</v>
      </c>
      <c r="AC9" s="24" t="n">
        <v>3</v>
      </c>
      <c r="AD9" s="24" t="n">
        <f aca="false">IF(AND(N(AB9)&gt;0,N(AC9)&gt;0),SQRT(2*AB9/AC9),"")</f>
        <v>1.15470053837925</v>
      </c>
      <c r="AE9" s="24" t="n">
        <v>13</v>
      </c>
      <c r="AF9" s="24"/>
      <c r="AG9" s="24"/>
      <c r="AH9" s="24" t="n">
        <v>2400</v>
      </c>
      <c r="AI9" s="24" t="n">
        <v>24.724</v>
      </c>
      <c r="AJ9" s="24" t="n">
        <v>8</v>
      </c>
      <c r="AK9" s="24"/>
      <c r="AL9" s="24"/>
      <c r="AM9" s="24" t="n">
        <v>6.92</v>
      </c>
      <c r="AN9" s="24" t="n">
        <v>13.2</v>
      </c>
      <c r="AO9" s="24" t="n">
        <v>1.58</v>
      </c>
      <c r="AP9" s="24" t="n">
        <v>11</v>
      </c>
      <c r="AQ9" s="24" t="n">
        <v>76</v>
      </c>
      <c r="AR9" s="24" t="s">
        <v>3188</v>
      </c>
      <c r="AS9" s="24" t="s">
        <v>1735</v>
      </c>
      <c r="AT9" s="24" t="s">
        <v>1736</v>
      </c>
      <c r="AU9" s="24" t="s">
        <v>1737</v>
      </c>
      <c r="AV9" s="24" t="s">
        <v>2554</v>
      </c>
      <c r="AW9" s="25" t="s">
        <v>1739</v>
      </c>
      <c r="AX9" s="24" t="s">
        <v>1030</v>
      </c>
      <c r="AY9" s="24" t="s">
        <v>3190</v>
      </c>
    </row>
    <row r="10" customFormat="false" ht="14.25" hidden="false" customHeight="false" outlineLevel="0" collapsed="false">
      <c r="A10" s="24" t="s">
        <v>1011</v>
      </c>
      <c r="B10" s="24" t="s">
        <v>1011</v>
      </c>
      <c r="C10" s="24" t="s">
        <v>1012</v>
      </c>
      <c r="D10" s="24" t="n">
        <v>2022</v>
      </c>
      <c r="E10" s="24" t="s">
        <v>813</v>
      </c>
      <c r="F10" s="24" t="s">
        <v>1015</v>
      </c>
      <c r="G10" s="24" t="s">
        <v>1016</v>
      </c>
      <c r="H10" s="24" t="n">
        <v>24.724</v>
      </c>
      <c r="I10" s="24" t="n">
        <v>90.437</v>
      </c>
      <c r="J10" s="24" t="s">
        <v>83</v>
      </c>
      <c r="K10" s="24" t="s">
        <v>1734</v>
      </c>
      <c r="L10" s="24" t="s">
        <v>84</v>
      </c>
      <c r="M10" s="24" t="s">
        <v>85</v>
      </c>
      <c r="N10" s="24" t="s">
        <v>86</v>
      </c>
      <c r="O10" s="24" t="s">
        <v>1666</v>
      </c>
      <c r="P10" s="24"/>
      <c r="Q10" s="24"/>
      <c r="R10" s="24"/>
      <c r="S10" s="24"/>
      <c r="T10" s="24" t="n">
        <f aca="false">ROUND(1.5*1000,0)</f>
        <v>1500</v>
      </c>
      <c r="U10" s="24"/>
      <c r="V10" s="24" t="n">
        <f aca="false">ROUND(1.1*1000,0)</f>
        <v>1100</v>
      </c>
      <c r="W10" s="24"/>
      <c r="X10" s="24"/>
      <c r="Y10" s="24"/>
      <c r="Z10" s="24"/>
      <c r="AA10" s="24"/>
      <c r="AB10" s="24" t="n">
        <v>2</v>
      </c>
      <c r="AC10" s="24" t="n">
        <v>3</v>
      </c>
      <c r="AD10" s="24" t="n">
        <f aca="false">IF(AND(N(AB10)&gt;0,N(AC10)&gt;0),SQRT(2*AB10/AC10),"")</f>
        <v>1.15470053837925</v>
      </c>
      <c r="AE10" s="24" t="n">
        <v>13</v>
      </c>
      <c r="AF10" s="24"/>
      <c r="AG10" s="24"/>
      <c r="AH10" s="24" t="n">
        <v>2400</v>
      </c>
      <c r="AI10" s="24" t="n">
        <v>24.724</v>
      </c>
      <c r="AJ10" s="24" t="n">
        <v>8</v>
      </c>
      <c r="AK10" s="24"/>
      <c r="AL10" s="24"/>
      <c r="AM10" s="24" t="n">
        <v>6.92</v>
      </c>
      <c r="AN10" s="24" t="n">
        <v>13.2</v>
      </c>
      <c r="AO10" s="24" t="n">
        <v>1.58</v>
      </c>
      <c r="AP10" s="24" t="n">
        <v>11</v>
      </c>
      <c r="AQ10" s="24" t="n">
        <v>76</v>
      </c>
      <c r="AR10" s="24" t="s">
        <v>3188</v>
      </c>
      <c r="AS10" s="24" t="s">
        <v>1735</v>
      </c>
      <c r="AT10" s="24" t="s">
        <v>1736</v>
      </c>
      <c r="AU10" s="24" t="s">
        <v>1737</v>
      </c>
      <c r="AV10" s="24" t="s">
        <v>2554</v>
      </c>
      <c r="AW10" s="25" t="s">
        <v>1741</v>
      </c>
      <c r="AX10" s="24" t="s">
        <v>1030</v>
      </c>
      <c r="AY10" s="24" t="s">
        <v>3190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3191</v>
      </c>
      <c r="Q1" s="27" t="s">
        <v>3192</v>
      </c>
      <c r="R1" s="27" t="s">
        <v>3193</v>
      </c>
      <c r="S1" s="27" t="s">
        <v>3194</v>
      </c>
      <c r="T1" s="27" t="s">
        <v>3195</v>
      </c>
      <c r="U1" s="27" t="s">
        <v>3196</v>
      </c>
      <c r="V1" s="27" t="s">
        <v>3197</v>
      </c>
      <c r="W1" s="27" t="s">
        <v>3198</v>
      </c>
      <c r="X1" s="30" t="s">
        <v>3199</v>
      </c>
      <c r="Y1" s="30" t="s">
        <v>3200</v>
      </c>
      <c r="Z1" s="30" t="s">
        <v>3201</v>
      </c>
      <c r="AA1" s="30" t="s">
        <v>3202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6" t="s">
        <v>1206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3203</v>
      </c>
      <c r="Q1" s="27" t="s">
        <v>3204</v>
      </c>
      <c r="R1" s="27" t="s">
        <v>3205</v>
      </c>
      <c r="S1" s="27" t="s">
        <v>3206</v>
      </c>
      <c r="T1" s="27" t="s">
        <v>3207</v>
      </c>
      <c r="U1" s="27" t="s">
        <v>3208</v>
      </c>
      <c r="V1" s="27" t="s">
        <v>3209</v>
      </c>
      <c r="W1" s="27" t="s">
        <v>3210</v>
      </c>
      <c r="X1" s="30" t="s">
        <v>3211</v>
      </c>
      <c r="Y1" s="30" t="s">
        <v>3212</v>
      </c>
      <c r="Z1" s="30" t="s">
        <v>3213</v>
      </c>
      <c r="AA1" s="30" t="s">
        <v>3214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1" t="s">
        <v>1208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3215</v>
      </c>
      <c r="Q1" s="27" t="s">
        <v>3216</v>
      </c>
      <c r="R1" s="27" t="s">
        <v>3217</v>
      </c>
      <c r="S1" s="27" t="s">
        <v>3218</v>
      </c>
      <c r="T1" s="27" t="s">
        <v>3219</v>
      </c>
      <c r="U1" s="27" t="s">
        <v>3220</v>
      </c>
      <c r="V1" s="27" t="s">
        <v>3221</v>
      </c>
      <c r="W1" s="27" t="s">
        <v>3222</v>
      </c>
      <c r="X1" s="30" t="s">
        <v>3223</v>
      </c>
      <c r="Y1" s="30" t="s">
        <v>3224</v>
      </c>
      <c r="Z1" s="30" t="s">
        <v>3225</v>
      </c>
      <c r="AA1" s="30" t="s">
        <v>3226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1" t="s">
        <v>1210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3227</v>
      </c>
      <c r="Q1" s="27" t="s">
        <v>3228</v>
      </c>
      <c r="R1" s="27" t="s">
        <v>3229</v>
      </c>
      <c r="S1" s="27" t="s">
        <v>3230</v>
      </c>
      <c r="T1" s="27" t="s">
        <v>3231</v>
      </c>
      <c r="U1" s="27" t="s">
        <v>3232</v>
      </c>
      <c r="V1" s="27" t="s">
        <v>3233</v>
      </c>
      <c r="W1" s="27" t="s">
        <v>3234</v>
      </c>
      <c r="X1" s="30" t="s">
        <v>3235</v>
      </c>
      <c r="Y1" s="30" t="s">
        <v>3236</v>
      </c>
      <c r="Z1" s="30" t="s">
        <v>3237</v>
      </c>
      <c r="AA1" s="30" t="s">
        <v>3238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1" t="s">
        <v>1212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3239</v>
      </c>
      <c r="Q1" s="27" t="s">
        <v>3240</v>
      </c>
      <c r="R1" s="27" t="s">
        <v>3241</v>
      </c>
      <c r="S1" s="27" t="s">
        <v>3242</v>
      </c>
      <c r="T1" s="27" t="s">
        <v>3243</v>
      </c>
      <c r="U1" s="27" t="s">
        <v>3244</v>
      </c>
      <c r="V1" s="27" t="s">
        <v>3245</v>
      </c>
      <c r="W1" s="27" t="s">
        <v>3246</v>
      </c>
      <c r="X1" s="30" t="s">
        <v>3247</v>
      </c>
      <c r="Y1" s="30" t="s">
        <v>3248</v>
      </c>
      <c r="Z1" s="30" t="s">
        <v>3249</v>
      </c>
      <c r="AA1" s="30" t="s">
        <v>3250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1" t="s">
        <v>1214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3251</v>
      </c>
      <c r="Q1" s="27" t="s">
        <v>3252</v>
      </c>
      <c r="R1" s="27" t="s">
        <v>3253</v>
      </c>
      <c r="S1" s="27" t="s">
        <v>3254</v>
      </c>
      <c r="T1" s="27" t="s">
        <v>3255</v>
      </c>
      <c r="U1" s="27" t="s">
        <v>3256</v>
      </c>
      <c r="V1" s="27" t="s">
        <v>3257</v>
      </c>
      <c r="W1" s="27" t="s">
        <v>3258</v>
      </c>
      <c r="X1" s="30" t="s">
        <v>3259</v>
      </c>
      <c r="Y1" s="30" t="s">
        <v>3260</v>
      </c>
      <c r="Z1" s="30" t="s">
        <v>3261</v>
      </c>
      <c r="AA1" s="30" t="s">
        <v>3262</v>
      </c>
      <c r="AB1" s="27" t="s">
        <v>3263</v>
      </c>
      <c r="AC1" s="27" t="s">
        <v>3264</v>
      </c>
      <c r="AD1" s="27" t="s">
        <v>3265</v>
      </c>
      <c r="AE1" s="27" t="s">
        <v>3266</v>
      </c>
      <c r="AF1" s="27" t="s">
        <v>3267</v>
      </c>
      <c r="AG1" s="27" t="s">
        <v>3268</v>
      </c>
      <c r="AH1" s="27" t="s">
        <v>3269</v>
      </c>
      <c r="AI1" s="27" t="s">
        <v>3270</v>
      </c>
      <c r="AJ1" s="30" t="s">
        <v>3271</v>
      </c>
      <c r="AK1" s="30" t="s">
        <v>3272</v>
      </c>
      <c r="AL1" s="30" t="s">
        <v>3273</v>
      </c>
      <c r="AM1" s="30" t="s">
        <v>3274</v>
      </c>
      <c r="AN1" s="27" t="s">
        <v>3275</v>
      </c>
      <c r="AO1" s="27" t="s">
        <v>3276</v>
      </c>
      <c r="AP1" s="27" t="s">
        <v>3277</v>
      </c>
      <c r="AQ1" s="27" t="s">
        <v>3278</v>
      </c>
      <c r="AR1" s="27" t="s">
        <v>3279</v>
      </c>
      <c r="AS1" s="27" t="s">
        <v>3280</v>
      </c>
      <c r="AT1" s="27" t="s">
        <v>3281</v>
      </c>
      <c r="AU1" s="27" t="s">
        <v>3282</v>
      </c>
      <c r="AV1" s="30" t="s">
        <v>3283</v>
      </c>
      <c r="AW1" s="30" t="s">
        <v>3284</v>
      </c>
      <c r="AX1" s="30" t="s">
        <v>3285</v>
      </c>
      <c r="AY1" s="30" t="s">
        <v>3286</v>
      </c>
      <c r="AZ1" s="27" t="s">
        <v>3287</v>
      </c>
      <c r="BA1" s="27" t="s">
        <v>3288</v>
      </c>
      <c r="BB1" s="27" t="s">
        <v>3289</v>
      </c>
      <c r="BC1" s="27" t="s">
        <v>3290</v>
      </c>
      <c r="BD1" s="27" t="s">
        <v>3291</v>
      </c>
      <c r="BE1" s="27" t="s">
        <v>3292</v>
      </c>
      <c r="BF1" s="27" t="s">
        <v>3293</v>
      </c>
      <c r="BG1" s="27" t="s">
        <v>3294</v>
      </c>
      <c r="BH1" s="30" t="s">
        <v>3295</v>
      </c>
      <c r="BI1" s="30" t="s">
        <v>3296</v>
      </c>
      <c r="BJ1" s="30" t="s">
        <v>3297</v>
      </c>
      <c r="BK1" s="30" t="s">
        <v>3298</v>
      </c>
      <c r="BL1" s="28" t="s">
        <v>35</v>
      </c>
      <c r="BM1" s="28" t="s">
        <v>33</v>
      </c>
      <c r="BN1" s="28" t="s">
        <v>37</v>
      </c>
      <c r="BO1" s="21" t="s">
        <v>73</v>
      </c>
      <c r="BP1" s="21" t="s">
        <v>796</v>
      </c>
      <c r="BQ1" s="21" t="s">
        <v>797</v>
      </c>
      <c r="BR1" s="21" t="s">
        <v>74</v>
      </c>
      <c r="BS1" s="21" t="s">
        <v>1659</v>
      </c>
      <c r="BT1" s="21" t="s">
        <v>1660</v>
      </c>
      <c r="BU1" s="21" t="s">
        <v>798</v>
      </c>
      <c r="BV1" s="21" t="s">
        <v>799</v>
      </c>
      <c r="BW1" s="21" t="s">
        <v>75</v>
      </c>
      <c r="BX1" s="21" t="s">
        <v>794</v>
      </c>
      <c r="BY1" s="21" t="s">
        <v>795</v>
      </c>
      <c r="BZ1" s="21" t="s">
        <v>792</v>
      </c>
      <c r="CA1" s="21" t="s">
        <v>793</v>
      </c>
      <c r="CB1" s="22" t="s">
        <v>76</v>
      </c>
      <c r="CC1" s="22" t="s">
        <v>77</v>
      </c>
      <c r="CD1" s="22" t="s">
        <v>1661</v>
      </c>
      <c r="CE1" s="22" t="s">
        <v>1662</v>
      </c>
      <c r="CF1" s="22" t="s">
        <v>78</v>
      </c>
      <c r="CG1" s="22" t="s">
        <v>811</v>
      </c>
      <c r="CH1" s="22" t="s">
        <v>1663</v>
      </c>
      <c r="CI1" s="22" t="s">
        <v>1664</v>
      </c>
      <c r="CK1" s="31" t="s">
        <v>1665</v>
      </c>
    </row>
    <row r="2" customFormat="false" ht="15" hidden="false" customHeight="true" outlineLevel="0" collapsed="false">
      <c r="CK2" s="33" t="s">
        <v>1216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3299</v>
      </c>
      <c r="Q1" s="27" t="s">
        <v>3300</v>
      </c>
      <c r="R1" s="27" t="s">
        <v>3301</v>
      </c>
      <c r="S1" s="27" t="s">
        <v>3302</v>
      </c>
      <c r="T1" s="27" t="s">
        <v>3303</v>
      </c>
      <c r="U1" s="27" t="s">
        <v>3304</v>
      </c>
      <c r="V1" s="27" t="s">
        <v>3305</v>
      </c>
      <c r="W1" s="27" t="s">
        <v>3306</v>
      </c>
      <c r="X1" s="30" t="s">
        <v>3307</v>
      </c>
      <c r="Y1" s="30" t="s">
        <v>3308</v>
      </c>
      <c r="Z1" s="30" t="s">
        <v>3309</v>
      </c>
      <c r="AA1" s="30" t="s">
        <v>3310</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1218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3311</v>
      </c>
      <c r="Q1" s="27" t="s">
        <v>3312</v>
      </c>
      <c r="R1" s="27" t="s">
        <v>3313</v>
      </c>
      <c r="S1" s="27" t="s">
        <v>3314</v>
      </c>
      <c r="T1" s="27" t="s">
        <v>3315</v>
      </c>
      <c r="U1" s="27" t="s">
        <v>3316</v>
      </c>
      <c r="V1" s="27" t="s">
        <v>3317</v>
      </c>
      <c r="W1" s="27" t="s">
        <v>3318</v>
      </c>
      <c r="X1" s="30" t="s">
        <v>3319</v>
      </c>
      <c r="Y1" s="30" t="s">
        <v>3320</v>
      </c>
      <c r="Z1" s="30" t="s">
        <v>3321</v>
      </c>
      <c r="AA1" s="30" t="s">
        <v>3322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1220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3323</v>
      </c>
      <c r="Q1" s="27" t="s">
        <v>3324</v>
      </c>
      <c r="R1" s="27" t="s">
        <v>3325</v>
      </c>
      <c r="S1" s="27" t="s">
        <v>3326</v>
      </c>
      <c r="T1" s="27" t="s">
        <v>3327</v>
      </c>
      <c r="U1" s="27" t="s">
        <v>3328</v>
      </c>
      <c r="V1" s="27" t="s">
        <v>3329</v>
      </c>
      <c r="W1" s="27" t="s">
        <v>3330</v>
      </c>
      <c r="X1" s="30" t="s">
        <v>3331</v>
      </c>
      <c r="Y1" s="30" t="s">
        <v>3332</v>
      </c>
      <c r="Z1" s="30" t="s">
        <v>3333</v>
      </c>
      <c r="AA1" s="30" t="s">
        <v>3334</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3335</v>
      </c>
      <c r="Q1" s="27" t="s">
        <v>3336</v>
      </c>
      <c r="R1" s="27" t="s">
        <v>3337</v>
      </c>
      <c r="S1" s="27" t="s">
        <v>3338</v>
      </c>
      <c r="T1" s="27" t="s">
        <v>3339</v>
      </c>
      <c r="U1" s="27" t="s">
        <v>3340</v>
      </c>
      <c r="V1" s="27" t="s">
        <v>3341</v>
      </c>
      <c r="W1" s="27" t="s">
        <v>3342</v>
      </c>
      <c r="X1" s="30" t="s">
        <v>3343</v>
      </c>
      <c r="Y1" s="30" t="s">
        <v>3344</v>
      </c>
      <c r="Z1" s="30" t="s">
        <v>3345</v>
      </c>
      <c r="AA1" s="30" t="s">
        <v>3346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3347</v>
      </c>
      <c r="AS2" s="18" t="s">
        <v>1699</v>
      </c>
      <c r="AT2" s="18" t="s">
        <v>1700</v>
      </c>
      <c r="AU2" s="18" t="s">
        <v>1701</v>
      </c>
      <c r="AV2" s="18" t="s">
        <v>1738</v>
      </c>
      <c r="AW2" s="32" t="s">
        <v>3348</v>
      </c>
      <c r="AX2" s="18" t="s">
        <v>949</v>
      </c>
      <c r="AY2" s="18" t="s">
        <v>3349</v>
      </c>
      <c r="BA2" s="33" t="s">
        <v>1222</v>
      </c>
    </row>
    <row r="3" customFormat="false" ht="14.2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3347</v>
      </c>
      <c r="AS3" s="18" t="s">
        <v>1705</v>
      </c>
      <c r="AT3" s="18" t="s">
        <v>1700</v>
      </c>
      <c r="AU3" s="18" t="s">
        <v>1701</v>
      </c>
      <c r="AV3" s="18" t="s">
        <v>1738</v>
      </c>
      <c r="AW3" s="32" t="s">
        <v>3350</v>
      </c>
      <c r="AX3" s="18" t="s">
        <v>949</v>
      </c>
      <c r="AY3" s="18" t="s">
        <v>3349</v>
      </c>
    </row>
    <row r="4" customFormat="false" ht="14.2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3347</v>
      </c>
      <c r="AS4" s="18" t="s">
        <v>1707</v>
      </c>
      <c r="AT4" s="18" t="s">
        <v>1700</v>
      </c>
      <c r="AU4" s="18" t="s">
        <v>1701</v>
      </c>
      <c r="AV4" s="18" t="s">
        <v>1738</v>
      </c>
      <c r="AW4" s="32" t="s">
        <v>3351</v>
      </c>
      <c r="AX4" s="18" t="s">
        <v>949</v>
      </c>
      <c r="AY4" s="18" t="s">
        <v>3349</v>
      </c>
    </row>
    <row r="5" customFormat="false" ht="14.2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3347</v>
      </c>
      <c r="AS5" s="18" t="s">
        <v>1709</v>
      </c>
      <c r="AT5" s="18" t="s">
        <v>1700</v>
      </c>
      <c r="AU5" s="18" t="s">
        <v>1701</v>
      </c>
      <c r="AV5" s="18" t="s">
        <v>1738</v>
      </c>
      <c r="AW5" s="32" t="s">
        <v>3352</v>
      </c>
      <c r="AX5" s="18" t="s">
        <v>949</v>
      </c>
      <c r="AY5" s="18" t="s">
        <v>3349</v>
      </c>
    </row>
    <row r="6" customFormat="false" ht="14.2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3347</v>
      </c>
      <c r="AS6" s="18" t="s">
        <v>1711</v>
      </c>
      <c r="AT6" s="18" t="s">
        <v>1700</v>
      </c>
      <c r="AU6" s="18" t="s">
        <v>1701</v>
      </c>
      <c r="AV6" s="18" t="s">
        <v>1738</v>
      </c>
      <c r="AW6" s="32" t="s">
        <v>3353</v>
      </c>
      <c r="AX6" s="18" t="s">
        <v>949</v>
      </c>
      <c r="AY6" s="18" t="s">
        <v>3349</v>
      </c>
    </row>
    <row r="7" customFormat="false" ht="14.2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3347</v>
      </c>
      <c r="AS7" s="18" t="s">
        <v>1713</v>
      </c>
      <c r="AT7" s="18" t="s">
        <v>1700</v>
      </c>
      <c r="AU7" s="18" t="s">
        <v>1701</v>
      </c>
      <c r="AV7" s="18" t="s">
        <v>1738</v>
      </c>
      <c r="AW7" s="32" t="s">
        <v>3354</v>
      </c>
      <c r="AX7" s="18" t="s">
        <v>949</v>
      </c>
      <c r="AY7" s="18" t="s">
        <v>3349</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3347</v>
      </c>
      <c r="AS8" s="18" t="s">
        <v>1715</v>
      </c>
      <c r="AT8" s="18" t="s">
        <v>1700</v>
      </c>
      <c r="AU8" s="18" t="s">
        <v>1701</v>
      </c>
      <c r="AV8" s="18" t="s">
        <v>1738</v>
      </c>
      <c r="AW8" s="32" t="s">
        <v>3355</v>
      </c>
      <c r="AX8" s="18" t="s">
        <v>949</v>
      </c>
      <c r="AY8" s="18" t="s">
        <v>3349</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3347</v>
      </c>
      <c r="AS9" s="18" t="s">
        <v>1717</v>
      </c>
      <c r="AT9" s="18" t="s">
        <v>1700</v>
      </c>
      <c r="AU9" s="18" t="s">
        <v>1701</v>
      </c>
      <c r="AV9" s="18" t="s">
        <v>1738</v>
      </c>
      <c r="AW9" s="32" t="s">
        <v>3356</v>
      </c>
      <c r="AX9" s="18" t="s">
        <v>949</v>
      </c>
      <c r="AY9" s="18" t="s">
        <v>3349</v>
      </c>
    </row>
    <row r="10" customFormat="false" ht="14.25" hidden="false" customHeight="fals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1720</v>
      </c>
      <c r="P10" s="24" t="n">
        <v>8.09</v>
      </c>
      <c r="Q10" s="24" t="n">
        <v>27.52</v>
      </c>
      <c r="R10" s="24"/>
      <c r="S10" s="24"/>
      <c r="T10" s="24"/>
      <c r="U10" s="24"/>
      <c r="V10" s="24"/>
      <c r="W10" s="24"/>
      <c r="X10" s="24" t="n">
        <v>36.3</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3357</v>
      </c>
      <c r="AS10" s="24" t="s">
        <v>1742</v>
      </c>
      <c r="AT10" s="24" t="s">
        <v>1743</v>
      </c>
      <c r="AU10" s="24" t="s">
        <v>1744</v>
      </c>
      <c r="AV10" s="24" t="s">
        <v>1702</v>
      </c>
      <c r="AW10" s="25" t="s">
        <v>3358</v>
      </c>
      <c r="AX10" s="24" t="s">
        <v>1046</v>
      </c>
      <c r="AY10" s="24" t="s">
        <v>3359</v>
      </c>
    </row>
    <row r="11" customFormat="false" ht="14.25" hidden="false" customHeight="fals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86</v>
      </c>
      <c r="O11" s="24" t="s">
        <v>1747</v>
      </c>
      <c r="P11" s="24" t="n">
        <v>19.75</v>
      </c>
      <c r="Q11" s="24" t="n">
        <v>26.79</v>
      </c>
      <c r="R11" s="24"/>
      <c r="S11" s="24"/>
      <c r="T11" s="24"/>
      <c r="U11" s="24"/>
      <c r="V11" s="24"/>
      <c r="W11" s="24"/>
      <c r="X11" s="24" t="n">
        <v>31.3</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3357</v>
      </c>
      <c r="AS11" s="24" t="s">
        <v>1742</v>
      </c>
      <c r="AT11" s="24" t="s">
        <v>1743</v>
      </c>
      <c r="AU11" s="24" t="s">
        <v>1744</v>
      </c>
      <c r="AV11" s="24" t="s">
        <v>1702</v>
      </c>
      <c r="AW11" s="25" t="s">
        <v>3360</v>
      </c>
      <c r="AX11" s="24" t="s">
        <v>1046</v>
      </c>
      <c r="AY11" s="24" t="s">
        <v>3359</v>
      </c>
    </row>
    <row r="12" customFormat="false" ht="14.25" hidden="false" customHeight="false" outlineLevel="0" collapsed="false">
      <c r="A12" s="24" t="s">
        <v>1034</v>
      </c>
      <c r="B12" s="24" t="s">
        <v>1034</v>
      </c>
      <c r="C12" s="24" t="s">
        <v>1035</v>
      </c>
      <c r="D12" s="24" t="n">
        <v>2022</v>
      </c>
      <c r="E12" s="24" t="s">
        <v>80</v>
      </c>
      <c r="F12" s="24" t="s">
        <v>912</v>
      </c>
      <c r="G12" s="24" t="s">
        <v>913</v>
      </c>
      <c r="H12" s="24" t="n">
        <v>29.706</v>
      </c>
      <c r="I12" s="24" t="n">
        <v>76.956</v>
      </c>
      <c r="J12" s="24" t="s">
        <v>83</v>
      </c>
      <c r="K12" s="24" t="n">
        <v>2019</v>
      </c>
      <c r="L12" s="24" t="s">
        <v>84</v>
      </c>
      <c r="M12" s="24" t="s">
        <v>85</v>
      </c>
      <c r="N12" s="24" t="s">
        <v>1673</v>
      </c>
      <c r="O12" s="24" t="s">
        <v>1674</v>
      </c>
      <c r="P12" s="24" t="n">
        <v>5.05</v>
      </c>
      <c r="Q12" s="24" t="n">
        <v>6.79</v>
      </c>
      <c r="R12" s="24"/>
      <c r="S12" s="24"/>
      <c r="T12" s="24"/>
      <c r="U12" s="24"/>
      <c r="V12" s="24"/>
      <c r="W12" s="24"/>
      <c r="X12" s="24" t="n">
        <v>7.97</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3357</v>
      </c>
      <c r="AS12" s="24" t="s">
        <v>1742</v>
      </c>
      <c r="AT12" s="24" t="s">
        <v>1743</v>
      </c>
      <c r="AU12" s="24" t="s">
        <v>1744</v>
      </c>
      <c r="AV12" s="24" t="s">
        <v>1702</v>
      </c>
      <c r="AW12" s="25" t="s">
        <v>3361</v>
      </c>
      <c r="AX12" s="24" t="s">
        <v>1046</v>
      </c>
      <c r="AY12" s="24" t="s">
        <v>3359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3362</v>
      </c>
      <c r="Q1" s="27" t="s">
        <v>3363</v>
      </c>
      <c r="R1" s="27" t="s">
        <v>3364</v>
      </c>
      <c r="S1" s="27" t="s">
        <v>3365</v>
      </c>
      <c r="T1" s="27" t="s">
        <v>3366</v>
      </c>
      <c r="U1" s="27" t="s">
        <v>3367</v>
      </c>
      <c r="V1" s="27" t="s">
        <v>3368</v>
      </c>
      <c r="W1" s="27" t="s">
        <v>3369</v>
      </c>
      <c r="X1" s="30" t="s">
        <v>3370</v>
      </c>
      <c r="Y1" s="30" t="s">
        <v>3371</v>
      </c>
      <c r="Z1" s="30" t="s">
        <v>3372</v>
      </c>
      <c r="AA1" s="30" t="s">
        <v>3373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3347</v>
      </c>
      <c r="AS2" s="18" t="s">
        <v>1699</v>
      </c>
      <c r="AT2" s="18" t="s">
        <v>1700</v>
      </c>
      <c r="AU2" s="18" t="s">
        <v>1701</v>
      </c>
      <c r="AV2" s="18" t="s">
        <v>1738</v>
      </c>
      <c r="AW2" s="32" t="s">
        <v>3374</v>
      </c>
      <c r="AX2" s="18" t="s">
        <v>949</v>
      </c>
      <c r="AY2" s="18" t="s">
        <v>3349</v>
      </c>
      <c r="BA2" s="33" t="s">
        <v>1222</v>
      </c>
    </row>
    <row r="3" customFormat="false" ht="14.2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3347</v>
      </c>
      <c r="AS3" s="18" t="s">
        <v>1705</v>
      </c>
      <c r="AT3" s="18" t="s">
        <v>1700</v>
      </c>
      <c r="AU3" s="18" t="s">
        <v>1701</v>
      </c>
      <c r="AV3" s="18" t="s">
        <v>1738</v>
      </c>
      <c r="AW3" s="32" t="s">
        <v>3375</v>
      </c>
      <c r="AX3" s="18" t="s">
        <v>949</v>
      </c>
      <c r="AY3" s="18" t="s">
        <v>3349</v>
      </c>
    </row>
    <row r="4" customFormat="false" ht="14.2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3347</v>
      </c>
      <c r="AS4" s="18" t="s">
        <v>1707</v>
      </c>
      <c r="AT4" s="18" t="s">
        <v>1700</v>
      </c>
      <c r="AU4" s="18" t="s">
        <v>1701</v>
      </c>
      <c r="AV4" s="18" t="s">
        <v>1738</v>
      </c>
      <c r="AW4" s="32" t="s">
        <v>3376</v>
      </c>
      <c r="AX4" s="18" t="s">
        <v>949</v>
      </c>
      <c r="AY4" s="18" t="s">
        <v>3349</v>
      </c>
    </row>
    <row r="5" customFormat="false" ht="14.2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3347</v>
      </c>
      <c r="AS5" s="18" t="s">
        <v>1709</v>
      </c>
      <c r="AT5" s="18" t="s">
        <v>1700</v>
      </c>
      <c r="AU5" s="18" t="s">
        <v>1701</v>
      </c>
      <c r="AV5" s="18" t="s">
        <v>1738</v>
      </c>
      <c r="AW5" s="32" t="s">
        <v>3377</v>
      </c>
      <c r="AX5" s="18" t="s">
        <v>949</v>
      </c>
      <c r="AY5" s="18" t="s">
        <v>3349</v>
      </c>
    </row>
    <row r="6" customFormat="false" ht="14.2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3347</v>
      </c>
      <c r="AS6" s="18" t="s">
        <v>1711</v>
      </c>
      <c r="AT6" s="18" t="s">
        <v>1700</v>
      </c>
      <c r="AU6" s="18" t="s">
        <v>1701</v>
      </c>
      <c r="AV6" s="18" t="s">
        <v>1738</v>
      </c>
      <c r="AW6" s="32" t="s">
        <v>3378</v>
      </c>
      <c r="AX6" s="18" t="s">
        <v>949</v>
      </c>
      <c r="AY6" s="18" t="s">
        <v>3349</v>
      </c>
    </row>
    <row r="7" customFormat="false" ht="14.2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3347</v>
      </c>
      <c r="AS7" s="18" t="s">
        <v>1713</v>
      </c>
      <c r="AT7" s="18" t="s">
        <v>1700</v>
      </c>
      <c r="AU7" s="18" t="s">
        <v>1701</v>
      </c>
      <c r="AV7" s="18" t="s">
        <v>1738</v>
      </c>
      <c r="AW7" s="32" t="s">
        <v>3379</v>
      </c>
      <c r="AX7" s="18" t="s">
        <v>949</v>
      </c>
      <c r="AY7" s="18" t="s">
        <v>3349</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3347</v>
      </c>
      <c r="AS8" s="18" t="s">
        <v>1715</v>
      </c>
      <c r="AT8" s="18" t="s">
        <v>1700</v>
      </c>
      <c r="AU8" s="18" t="s">
        <v>1701</v>
      </c>
      <c r="AV8" s="18" t="s">
        <v>1738</v>
      </c>
      <c r="AW8" s="32" t="s">
        <v>3380</v>
      </c>
      <c r="AX8" s="18" t="s">
        <v>949</v>
      </c>
      <c r="AY8" s="18" t="s">
        <v>3349</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3347</v>
      </c>
      <c r="AS9" s="18" t="s">
        <v>1717</v>
      </c>
      <c r="AT9" s="18" t="s">
        <v>1700</v>
      </c>
      <c r="AU9" s="18" t="s">
        <v>1701</v>
      </c>
      <c r="AV9" s="18" t="s">
        <v>1738</v>
      </c>
      <c r="AW9" s="32" t="s">
        <v>3381</v>
      </c>
      <c r="AX9" s="18" t="s">
        <v>949</v>
      </c>
      <c r="AY9" s="18" t="s">
        <v>3349</v>
      </c>
    </row>
    <row r="10" customFormat="false" ht="14.25" hidden="false" customHeight="fals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1720</v>
      </c>
      <c r="P10" s="24" t="n">
        <v>14.05</v>
      </c>
      <c r="Q10" s="24" t="n">
        <v>14.08</v>
      </c>
      <c r="R10" s="24"/>
      <c r="S10" s="24"/>
      <c r="T10" s="24"/>
      <c r="U10" s="24"/>
      <c r="V10" s="24"/>
      <c r="W10" s="24"/>
      <c r="X10" s="24" t="n">
        <v>9.42</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3357</v>
      </c>
      <c r="AS10" s="24" t="s">
        <v>1742</v>
      </c>
      <c r="AT10" s="24" t="s">
        <v>1743</v>
      </c>
      <c r="AU10" s="24" t="s">
        <v>1744</v>
      </c>
      <c r="AV10" s="24" t="s">
        <v>1702</v>
      </c>
      <c r="AW10" s="25" t="s">
        <v>3382</v>
      </c>
      <c r="AX10" s="24" t="s">
        <v>1046</v>
      </c>
      <c r="AY10" s="24" t="s">
        <v>3359</v>
      </c>
    </row>
    <row r="11" customFormat="false" ht="14.25" hidden="false" customHeight="fals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86</v>
      </c>
      <c r="O11" s="24" t="s">
        <v>1747</v>
      </c>
      <c r="P11" s="24" t="n">
        <v>11.72</v>
      </c>
      <c r="Q11" s="24" t="n">
        <v>10.6</v>
      </c>
      <c r="R11" s="24"/>
      <c r="S11" s="24"/>
      <c r="T11" s="24"/>
      <c r="U11" s="24"/>
      <c r="V11" s="24"/>
      <c r="W11" s="24"/>
      <c r="X11" s="24" t="n">
        <v>22.62</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3357</v>
      </c>
      <c r="AS11" s="24" t="s">
        <v>1742</v>
      </c>
      <c r="AT11" s="24" t="s">
        <v>1743</v>
      </c>
      <c r="AU11" s="24" t="s">
        <v>1744</v>
      </c>
      <c r="AV11" s="24" t="s">
        <v>1702</v>
      </c>
      <c r="AW11" s="25" t="s">
        <v>3383</v>
      </c>
      <c r="AX11" s="24" t="s">
        <v>1046</v>
      </c>
      <c r="AY11" s="24" t="s">
        <v>3359</v>
      </c>
    </row>
    <row r="12" customFormat="false" ht="14.25" hidden="false" customHeight="false" outlineLevel="0" collapsed="false">
      <c r="A12" s="24" t="s">
        <v>1034</v>
      </c>
      <c r="B12" s="24" t="s">
        <v>1034</v>
      </c>
      <c r="C12" s="24" t="s">
        <v>1035</v>
      </c>
      <c r="D12" s="24" t="n">
        <v>2022</v>
      </c>
      <c r="E12" s="24" t="s">
        <v>80</v>
      </c>
      <c r="F12" s="24" t="s">
        <v>912</v>
      </c>
      <c r="G12" s="24" t="s">
        <v>913</v>
      </c>
      <c r="H12" s="24" t="n">
        <v>29.706</v>
      </c>
      <c r="I12" s="24" t="n">
        <v>76.956</v>
      </c>
      <c r="J12" s="24" t="s">
        <v>83</v>
      </c>
      <c r="K12" s="24" t="n">
        <v>2019</v>
      </c>
      <c r="L12" s="24" t="s">
        <v>84</v>
      </c>
      <c r="M12" s="24" t="s">
        <v>85</v>
      </c>
      <c r="N12" s="24" t="s">
        <v>1673</v>
      </c>
      <c r="O12" s="24" t="s">
        <v>1674</v>
      </c>
      <c r="P12" s="24" t="n">
        <v>12.61</v>
      </c>
      <c r="Q12" s="24" t="n">
        <v>10.94</v>
      </c>
      <c r="R12" s="24"/>
      <c r="S12" s="24"/>
      <c r="T12" s="24"/>
      <c r="U12" s="24"/>
      <c r="V12" s="24"/>
      <c r="W12" s="24"/>
      <c r="X12" s="24" t="n">
        <v>11.99</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3357</v>
      </c>
      <c r="AS12" s="24" t="s">
        <v>1742</v>
      </c>
      <c r="AT12" s="24" t="s">
        <v>1743</v>
      </c>
      <c r="AU12" s="24" t="s">
        <v>1744</v>
      </c>
      <c r="AV12" s="24" t="s">
        <v>1702</v>
      </c>
      <c r="AW12" s="25" t="s">
        <v>3384</v>
      </c>
      <c r="AX12" s="24" t="s">
        <v>1046</v>
      </c>
      <c r="AY12" s="24" t="s">
        <v>3359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3385</v>
      </c>
      <c r="Q1" s="27" t="s">
        <v>3386</v>
      </c>
      <c r="R1" s="27" t="s">
        <v>3387</v>
      </c>
      <c r="S1" s="27" t="s">
        <v>3388</v>
      </c>
      <c r="T1" s="27" t="s">
        <v>3389</v>
      </c>
      <c r="U1" s="27" t="s">
        <v>3390</v>
      </c>
      <c r="V1" s="27" t="s">
        <v>3391</v>
      </c>
      <c r="W1" s="27" t="s">
        <v>3392</v>
      </c>
      <c r="X1" s="30" t="s">
        <v>3393</v>
      </c>
      <c r="Y1" s="30" t="s">
        <v>3394</v>
      </c>
      <c r="Z1" s="30" t="s">
        <v>3395</v>
      </c>
      <c r="AA1" s="30" t="s">
        <v>3396</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3347</v>
      </c>
      <c r="AS2" s="18" t="s">
        <v>1699</v>
      </c>
      <c r="AT2" s="18" t="s">
        <v>1700</v>
      </c>
      <c r="AU2" s="18" t="s">
        <v>1701</v>
      </c>
      <c r="AV2" s="18" t="s">
        <v>1738</v>
      </c>
      <c r="AW2" s="32" t="s">
        <v>3397</v>
      </c>
      <c r="AX2" s="18" t="s">
        <v>949</v>
      </c>
      <c r="AY2" s="18" t="s">
        <v>3349</v>
      </c>
      <c r="BA2" s="33" t="s">
        <v>1222</v>
      </c>
    </row>
    <row r="3" customFormat="false" ht="14.2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3347</v>
      </c>
      <c r="AS3" s="18" t="s">
        <v>1705</v>
      </c>
      <c r="AT3" s="18" t="s">
        <v>1700</v>
      </c>
      <c r="AU3" s="18" t="s">
        <v>1701</v>
      </c>
      <c r="AV3" s="18" t="s">
        <v>1738</v>
      </c>
      <c r="AW3" s="32" t="s">
        <v>3398</v>
      </c>
      <c r="AX3" s="18" t="s">
        <v>949</v>
      </c>
      <c r="AY3" s="18" t="s">
        <v>3349</v>
      </c>
    </row>
    <row r="4" customFormat="false" ht="14.2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3347</v>
      </c>
      <c r="AS4" s="18" t="s">
        <v>1707</v>
      </c>
      <c r="AT4" s="18" t="s">
        <v>1700</v>
      </c>
      <c r="AU4" s="18" t="s">
        <v>1701</v>
      </c>
      <c r="AV4" s="18" t="s">
        <v>1738</v>
      </c>
      <c r="AW4" s="32" t="s">
        <v>3399</v>
      </c>
      <c r="AX4" s="18" t="s">
        <v>949</v>
      </c>
      <c r="AY4" s="18" t="s">
        <v>3349</v>
      </c>
    </row>
    <row r="5" customFormat="false" ht="14.2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3347</v>
      </c>
      <c r="AS5" s="18" t="s">
        <v>1709</v>
      </c>
      <c r="AT5" s="18" t="s">
        <v>1700</v>
      </c>
      <c r="AU5" s="18" t="s">
        <v>1701</v>
      </c>
      <c r="AV5" s="18" t="s">
        <v>1738</v>
      </c>
      <c r="AW5" s="32" t="s">
        <v>3400</v>
      </c>
      <c r="AX5" s="18" t="s">
        <v>949</v>
      </c>
      <c r="AY5" s="18" t="s">
        <v>3349</v>
      </c>
    </row>
    <row r="6" customFormat="false" ht="14.2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3347</v>
      </c>
      <c r="AS6" s="18" t="s">
        <v>1711</v>
      </c>
      <c r="AT6" s="18" t="s">
        <v>1700</v>
      </c>
      <c r="AU6" s="18" t="s">
        <v>1701</v>
      </c>
      <c r="AV6" s="18" t="s">
        <v>1738</v>
      </c>
      <c r="AW6" s="32" t="s">
        <v>3401</v>
      </c>
      <c r="AX6" s="18" t="s">
        <v>949</v>
      </c>
      <c r="AY6" s="18" t="s">
        <v>3349</v>
      </c>
    </row>
    <row r="7" customFormat="false" ht="14.2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3347</v>
      </c>
      <c r="AS7" s="18" t="s">
        <v>1713</v>
      </c>
      <c r="AT7" s="18" t="s">
        <v>1700</v>
      </c>
      <c r="AU7" s="18" t="s">
        <v>1701</v>
      </c>
      <c r="AV7" s="18" t="s">
        <v>1738</v>
      </c>
      <c r="AW7" s="32" t="s">
        <v>3402</v>
      </c>
      <c r="AX7" s="18" t="s">
        <v>949</v>
      </c>
      <c r="AY7" s="18" t="s">
        <v>3349</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3347</v>
      </c>
      <c r="AS8" s="18" t="s">
        <v>1715</v>
      </c>
      <c r="AT8" s="18" t="s">
        <v>1700</v>
      </c>
      <c r="AU8" s="18" t="s">
        <v>1701</v>
      </c>
      <c r="AV8" s="18" t="s">
        <v>1738</v>
      </c>
      <c r="AW8" s="32" t="s">
        <v>3403</v>
      </c>
      <c r="AX8" s="18" t="s">
        <v>949</v>
      </c>
      <c r="AY8" s="18" t="s">
        <v>3349</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3347</v>
      </c>
      <c r="AS9" s="18" t="s">
        <v>1717</v>
      </c>
      <c r="AT9" s="18" t="s">
        <v>1700</v>
      </c>
      <c r="AU9" s="18" t="s">
        <v>1701</v>
      </c>
      <c r="AV9" s="18" t="s">
        <v>1738</v>
      </c>
      <c r="AW9" s="32" t="s">
        <v>3404</v>
      </c>
      <c r="AX9" s="18" t="s">
        <v>949</v>
      </c>
      <c r="AY9" s="18" t="s">
        <v>3349</v>
      </c>
    </row>
    <row r="10" customFormat="false" ht="14.25" hidden="false" customHeight="fals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1720</v>
      </c>
      <c r="P10" s="24" t="n">
        <v>1.38</v>
      </c>
      <c r="Q10" s="24" t="n">
        <v>2.29</v>
      </c>
      <c r="R10" s="24"/>
      <c r="S10" s="24"/>
      <c r="T10" s="24"/>
      <c r="U10" s="24"/>
      <c r="V10" s="24"/>
      <c r="W10" s="24"/>
      <c r="X10" s="24" t="n">
        <v>2.1</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3357</v>
      </c>
      <c r="AS10" s="24" t="s">
        <v>1742</v>
      </c>
      <c r="AT10" s="24" t="s">
        <v>1743</v>
      </c>
      <c r="AU10" s="24" t="s">
        <v>1744</v>
      </c>
      <c r="AV10" s="24" t="s">
        <v>1702</v>
      </c>
      <c r="AW10" s="25" t="s">
        <v>3405</v>
      </c>
      <c r="AX10" s="24" t="s">
        <v>1046</v>
      </c>
      <c r="AY10" s="24" t="s">
        <v>3359</v>
      </c>
    </row>
    <row r="11" customFormat="false" ht="14.25" hidden="false" customHeight="fals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86</v>
      </c>
      <c r="O11" s="24" t="s">
        <v>1747</v>
      </c>
      <c r="P11" s="24" t="n">
        <v>1.94</v>
      </c>
      <c r="Q11" s="24" t="n">
        <v>4.09</v>
      </c>
      <c r="R11" s="24"/>
      <c r="S11" s="24"/>
      <c r="T11" s="24"/>
      <c r="U11" s="24"/>
      <c r="V11" s="24"/>
      <c r="W11" s="24"/>
      <c r="X11" s="24" t="n">
        <v>2.09</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3357</v>
      </c>
      <c r="AS11" s="24" t="s">
        <v>1742</v>
      </c>
      <c r="AT11" s="24" t="s">
        <v>1743</v>
      </c>
      <c r="AU11" s="24" t="s">
        <v>1744</v>
      </c>
      <c r="AV11" s="24" t="s">
        <v>1702</v>
      </c>
      <c r="AW11" s="25" t="s">
        <v>3406</v>
      </c>
      <c r="AX11" s="24" t="s">
        <v>1046</v>
      </c>
      <c r="AY11" s="24" t="s">
        <v>3359</v>
      </c>
    </row>
    <row r="12" customFormat="false" ht="14.25" hidden="false" customHeight="false" outlineLevel="0" collapsed="false">
      <c r="A12" s="24" t="s">
        <v>1034</v>
      </c>
      <c r="B12" s="24" t="s">
        <v>1034</v>
      </c>
      <c r="C12" s="24" t="s">
        <v>1035</v>
      </c>
      <c r="D12" s="24" t="n">
        <v>2022</v>
      </c>
      <c r="E12" s="24" t="s">
        <v>80</v>
      </c>
      <c r="F12" s="24" t="s">
        <v>912</v>
      </c>
      <c r="G12" s="24" t="s">
        <v>913</v>
      </c>
      <c r="H12" s="24" t="n">
        <v>29.706</v>
      </c>
      <c r="I12" s="24" t="n">
        <v>76.956</v>
      </c>
      <c r="J12" s="24" t="s">
        <v>83</v>
      </c>
      <c r="K12" s="24" t="n">
        <v>2019</v>
      </c>
      <c r="L12" s="24" t="s">
        <v>84</v>
      </c>
      <c r="M12" s="24" t="s">
        <v>85</v>
      </c>
      <c r="N12" s="24" t="s">
        <v>1673</v>
      </c>
      <c r="O12" s="24" t="s">
        <v>1674</v>
      </c>
      <c r="P12" s="24" t="n">
        <v>2.9</v>
      </c>
      <c r="Q12" s="24" t="n">
        <v>3.97</v>
      </c>
      <c r="R12" s="24"/>
      <c r="S12" s="24"/>
      <c r="T12" s="24"/>
      <c r="U12" s="24"/>
      <c r="V12" s="24"/>
      <c r="W12" s="24"/>
      <c r="X12" s="24" t="n">
        <v>1.96</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3357</v>
      </c>
      <c r="AS12" s="24" t="s">
        <v>1742</v>
      </c>
      <c r="AT12" s="24" t="s">
        <v>1743</v>
      </c>
      <c r="AU12" s="24" t="s">
        <v>1744</v>
      </c>
      <c r="AV12" s="24" t="s">
        <v>1702</v>
      </c>
      <c r="AW12" s="25" t="s">
        <v>3407</v>
      </c>
      <c r="AX12" s="24" t="s">
        <v>1046</v>
      </c>
      <c r="AY12" s="24" t="s">
        <v>3359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3408</v>
      </c>
      <c r="Q1" s="27" t="s">
        <v>3409</v>
      </c>
      <c r="R1" s="27" t="s">
        <v>3410</v>
      </c>
      <c r="S1" s="27" t="s">
        <v>3411</v>
      </c>
      <c r="T1" s="27" t="s">
        <v>3412</v>
      </c>
      <c r="U1" s="27" t="s">
        <v>3413</v>
      </c>
      <c r="V1" s="27" t="s">
        <v>3414</v>
      </c>
      <c r="W1" s="27" t="s">
        <v>3415</v>
      </c>
      <c r="X1" s="30" t="s">
        <v>3416</v>
      </c>
      <c r="Y1" s="30" t="s">
        <v>3417</v>
      </c>
      <c r="Z1" s="30" t="s">
        <v>3418</v>
      </c>
      <c r="AA1" s="30" t="s">
        <v>3419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935</v>
      </c>
      <c r="B2" s="18" t="s">
        <v>935</v>
      </c>
      <c r="C2" s="18" t="s">
        <v>936</v>
      </c>
      <c r="D2" s="18" t="n">
        <v>2020</v>
      </c>
      <c r="E2" s="18" t="s">
        <v>937</v>
      </c>
      <c r="F2" s="18" t="s">
        <v>836</v>
      </c>
      <c r="G2" s="18" t="s">
        <v>940</v>
      </c>
      <c r="H2" s="18" t="n">
        <v>28.4</v>
      </c>
      <c r="I2" s="18" t="n">
        <v>77.1</v>
      </c>
      <c r="J2" s="18" t="s">
        <v>83</v>
      </c>
      <c r="K2" s="18" t="s">
        <v>1698</v>
      </c>
      <c r="L2" s="18" t="s">
        <v>823</v>
      </c>
      <c r="M2" s="18" t="s">
        <v>85</v>
      </c>
      <c r="N2" s="18" t="s">
        <v>86</v>
      </c>
      <c r="O2" s="18" t="s">
        <v>1666</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3347</v>
      </c>
      <c r="AS2" s="18" t="s">
        <v>1699</v>
      </c>
      <c r="AT2" s="18" t="s">
        <v>1700</v>
      </c>
      <c r="AU2" s="18" t="s">
        <v>1701</v>
      </c>
      <c r="AV2" s="18" t="s">
        <v>1738</v>
      </c>
      <c r="AW2" s="32" t="s">
        <v>3420</v>
      </c>
      <c r="AX2" s="18" t="s">
        <v>949</v>
      </c>
      <c r="AY2" s="18" t="s">
        <v>3349</v>
      </c>
      <c r="BA2" s="33" t="s">
        <v>1222</v>
      </c>
    </row>
    <row r="3" customFormat="false" ht="14.25" hidden="false" customHeight="true" outlineLevel="0" collapsed="false">
      <c r="A3" s="18" t="s">
        <v>935</v>
      </c>
      <c r="B3" s="18" t="s">
        <v>935</v>
      </c>
      <c r="C3" s="18" t="s">
        <v>936</v>
      </c>
      <c r="D3" s="18" t="n">
        <v>2020</v>
      </c>
      <c r="E3" s="18" t="s">
        <v>937</v>
      </c>
      <c r="F3" s="18" t="s">
        <v>836</v>
      </c>
      <c r="G3" s="18" t="s">
        <v>940</v>
      </c>
      <c r="H3" s="18" t="n">
        <v>28.4</v>
      </c>
      <c r="I3" s="18" t="n">
        <v>77.1</v>
      </c>
      <c r="J3" s="18" t="s">
        <v>83</v>
      </c>
      <c r="K3" s="18" t="s">
        <v>1698</v>
      </c>
      <c r="L3" s="18" t="s">
        <v>823</v>
      </c>
      <c r="M3" s="18" t="s">
        <v>85</v>
      </c>
      <c r="N3" s="18" t="s">
        <v>86</v>
      </c>
      <c r="O3" s="18" t="s">
        <v>1666</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3347</v>
      </c>
      <c r="AS3" s="18" t="s">
        <v>1705</v>
      </c>
      <c r="AT3" s="18" t="s">
        <v>1700</v>
      </c>
      <c r="AU3" s="18" t="s">
        <v>1701</v>
      </c>
      <c r="AV3" s="18" t="s">
        <v>1738</v>
      </c>
      <c r="AW3" s="32" t="s">
        <v>3421</v>
      </c>
      <c r="AX3" s="18" t="s">
        <v>949</v>
      </c>
      <c r="AY3" s="18" t="s">
        <v>3349</v>
      </c>
    </row>
    <row r="4" customFormat="false" ht="14.25" hidden="false" customHeight="true" outlineLevel="0" collapsed="false">
      <c r="A4" s="18" t="s">
        <v>935</v>
      </c>
      <c r="B4" s="18" t="s">
        <v>935</v>
      </c>
      <c r="C4" s="18" t="s">
        <v>936</v>
      </c>
      <c r="D4" s="18" t="n">
        <v>2020</v>
      </c>
      <c r="E4" s="18" t="s">
        <v>937</v>
      </c>
      <c r="F4" s="18" t="s">
        <v>836</v>
      </c>
      <c r="G4" s="18" t="s">
        <v>940</v>
      </c>
      <c r="H4" s="18" t="n">
        <v>28.4</v>
      </c>
      <c r="I4" s="18" t="n">
        <v>77.1</v>
      </c>
      <c r="J4" s="18" t="s">
        <v>83</v>
      </c>
      <c r="K4" s="18" t="s">
        <v>1698</v>
      </c>
      <c r="L4" s="18" t="s">
        <v>823</v>
      </c>
      <c r="M4" s="18" t="s">
        <v>85</v>
      </c>
      <c r="N4" s="18" t="s">
        <v>86</v>
      </c>
      <c r="O4" s="18" t="s">
        <v>1666</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3347</v>
      </c>
      <c r="AS4" s="18" t="s">
        <v>1707</v>
      </c>
      <c r="AT4" s="18" t="s">
        <v>1700</v>
      </c>
      <c r="AU4" s="18" t="s">
        <v>1701</v>
      </c>
      <c r="AV4" s="18" t="s">
        <v>1738</v>
      </c>
      <c r="AW4" s="32" t="s">
        <v>3422</v>
      </c>
      <c r="AX4" s="18" t="s">
        <v>949</v>
      </c>
      <c r="AY4" s="18" t="s">
        <v>3349</v>
      </c>
    </row>
    <row r="5" customFormat="false" ht="14.25" hidden="false" customHeight="true" outlineLevel="0" collapsed="false">
      <c r="A5" s="18" t="s">
        <v>935</v>
      </c>
      <c r="B5" s="18" t="s">
        <v>935</v>
      </c>
      <c r="C5" s="18" t="s">
        <v>936</v>
      </c>
      <c r="D5" s="18" t="n">
        <v>2020</v>
      </c>
      <c r="E5" s="18" t="s">
        <v>937</v>
      </c>
      <c r="F5" s="18" t="s">
        <v>836</v>
      </c>
      <c r="G5" s="18" t="s">
        <v>940</v>
      </c>
      <c r="H5" s="18" t="n">
        <v>28.4</v>
      </c>
      <c r="I5" s="18" t="n">
        <v>77.1</v>
      </c>
      <c r="J5" s="18" t="s">
        <v>83</v>
      </c>
      <c r="K5" s="18" t="s">
        <v>1698</v>
      </c>
      <c r="L5" s="18" t="s">
        <v>823</v>
      </c>
      <c r="M5" s="18" t="s">
        <v>85</v>
      </c>
      <c r="N5" s="18" t="s">
        <v>86</v>
      </c>
      <c r="O5" s="18" t="s">
        <v>1666</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3347</v>
      </c>
      <c r="AS5" s="18" t="s">
        <v>1709</v>
      </c>
      <c r="AT5" s="18" t="s">
        <v>1700</v>
      </c>
      <c r="AU5" s="18" t="s">
        <v>1701</v>
      </c>
      <c r="AV5" s="18" t="s">
        <v>1738</v>
      </c>
      <c r="AW5" s="32" t="s">
        <v>3423</v>
      </c>
      <c r="AX5" s="18" t="s">
        <v>949</v>
      </c>
      <c r="AY5" s="18" t="s">
        <v>3349</v>
      </c>
    </row>
    <row r="6" customFormat="false" ht="14.25" hidden="false" customHeight="true" outlineLevel="0" collapsed="false">
      <c r="A6" s="18" t="s">
        <v>935</v>
      </c>
      <c r="B6" s="18" t="s">
        <v>935</v>
      </c>
      <c r="C6" s="18" t="s">
        <v>936</v>
      </c>
      <c r="D6" s="18" t="n">
        <v>2020</v>
      </c>
      <c r="E6" s="18" t="s">
        <v>937</v>
      </c>
      <c r="F6" s="18" t="s">
        <v>836</v>
      </c>
      <c r="G6" s="18" t="s">
        <v>940</v>
      </c>
      <c r="H6" s="18" t="n">
        <v>28.4</v>
      </c>
      <c r="I6" s="18" t="n">
        <v>77.1</v>
      </c>
      <c r="J6" s="18" t="s">
        <v>83</v>
      </c>
      <c r="K6" s="18" t="s">
        <v>1698</v>
      </c>
      <c r="L6" s="18" t="s">
        <v>823</v>
      </c>
      <c r="M6" s="18" t="s">
        <v>85</v>
      </c>
      <c r="N6" s="18" t="s">
        <v>86</v>
      </c>
      <c r="O6" s="18" t="s">
        <v>1666</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3347</v>
      </c>
      <c r="AS6" s="18" t="s">
        <v>1711</v>
      </c>
      <c r="AT6" s="18" t="s">
        <v>1700</v>
      </c>
      <c r="AU6" s="18" t="s">
        <v>1701</v>
      </c>
      <c r="AV6" s="18" t="s">
        <v>1738</v>
      </c>
      <c r="AW6" s="32" t="s">
        <v>3424</v>
      </c>
      <c r="AX6" s="18" t="s">
        <v>949</v>
      </c>
      <c r="AY6" s="18" t="s">
        <v>3349</v>
      </c>
    </row>
    <row r="7" customFormat="false" ht="14.25" hidden="false" customHeight="true" outlineLevel="0" collapsed="false">
      <c r="A7" s="18" t="s">
        <v>935</v>
      </c>
      <c r="B7" s="18" t="s">
        <v>935</v>
      </c>
      <c r="C7" s="18" t="s">
        <v>936</v>
      </c>
      <c r="D7" s="18" t="n">
        <v>2020</v>
      </c>
      <c r="E7" s="18" t="s">
        <v>937</v>
      </c>
      <c r="F7" s="18" t="s">
        <v>836</v>
      </c>
      <c r="G7" s="18" t="s">
        <v>940</v>
      </c>
      <c r="H7" s="18" t="n">
        <v>28.4</v>
      </c>
      <c r="I7" s="18" t="n">
        <v>77.1</v>
      </c>
      <c r="J7" s="18" t="s">
        <v>83</v>
      </c>
      <c r="K7" s="18" t="s">
        <v>1698</v>
      </c>
      <c r="L7" s="18" t="s">
        <v>823</v>
      </c>
      <c r="M7" s="18" t="s">
        <v>85</v>
      </c>
      <c r="N7" s="18" t="s">
        <v>86</v>
      </c>
      <c r="O7" s="18" t="s">
        <v>1666</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3347</v>
      </c>
      <c r="AS7" s="18" t="s">
        <v>1713</v>
      </c>
      <c r="AT7" s="18" t="s">
        <v>1700</v>
      </c>
      <c r="AU7" s="18" t="s">
        <v>1701</v>
      </c>
      <c r="AV7" s="18" t="s">
        <v>1738</v>
      </c>
      <c r="AW7" s="32" t="s">
        <v>3425</v>
      </c>
      <c r="AX7" s="18" t="s">
        <v>949</v>
      </c>
      <c r="AY7" s="18" t="s">
        <v>3349</v>
      </c>
    </row>
    <row r="8" customFormat="false" ht="14.25" hidden="false" customHeight="true" outlineLevel="0" collapsed="false">
      <c r="A8" s="18" t="s">
        <v>935</v>
      </c>
      <c r="B8" s="18" t="s">
        <v>935</v>
      </c>
      <c r="C8" s="18" t="s">
        <v>936</v>
      </c>
      <c r="D8" s="18" t="n">
        <v>2020</v>
      </c>
      <c r="E8" s="18" t="s">
        <v>937</v>
      </c>
      <c r="F8" s="18" t="s">
        <v>836</v>
      </c>
      <c r="G8" s="18" t="s">
        <v>940</v>
      </c>
      <c r="H8" s="18" t="n">
        <v>28.4</v>
      </c>
      <c r="I8" s="18" t="n">
        <v>77.1</v>
      </c>
      <c r="J8" s="18" t="s">
        <v>83</v>
      </c>
      <c r="K8" s="18" t="s">
        <v>1698</v>
      </c>
      <c r="L8" s="18" t="s">
        <v>823</v>
      </c>
      <c r="M8" s="18" t="s">
        <v>85</v>
      </c>
      <c r="N8" s="18" t="s">
        <v>86</v>
      </c>
      <c r="O8" s="18" t="s">
        <v>1666</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3347</v>
      </c>
      <c r="AS8" s="18" t="s">
        <v>1715</v>
      </c>
      <c r="AT8" s="18" t="s">
        <v>1700</v>
      </c>
      <c r="AU8" s="18" t="s">
        <v>1701</v>
      </c>
      <c r="AV8" s="18" t="s">
        <v>1738</v>
      </c>
      <c r="AW8" s="32" t="s">
        <v>3426</v>
      </c>
      <c r="AX8" s="18" t="s">
        <v>949</v>
      </c>
      <c r="AY8" s="18" t="s">
        <v>3349</v>
      </c>
    </row>
    <row r="9" customFormat="false" ht="14.25" hidden="false" customHeight="true" outlineLevel="0" collapsed="false">
      <c r="A9" s="18" t="s">
        <v>935</v>
      </c>
      <c r="B9" s="18" t="s">
        <v>935</v>
      </c>
      <c r="C9" s="18" t="s">
        <v>936</v>
      </c>
      <c r="D9" s="18" t="n">
        <v>2020</v>
      </c>
      <c r="E9" s="18" t="s">
        <v>937</v>
      </c>
      <c r="F9" s="18" t="s">
        <v>836</v>
      </c>
      <c r="G9" s="18" t="s">
        <v>940</v>
      </c>
      <c r="H9" s="18" t="n">
        <v>28.4</v>
      </c>
      <c r="I9" s="18" t="n">
        <v>77.1</v>
      </c>
      <c r="J9" s="18" t="s">
        <v>83</v>
      </c>
      <c r="K9" s="18" t="s">
        <v>1698</v>
      </c>
      <c r="L9" s="18" t="s">
        <v>823</v>
      </c>
      <c r="M9" s="18" t="s">
        <v>85</v>
      </c>
      <c r="N9" s="18" t="s">
        <v>86</v>
      </c>
      <c r="O9" s="18" t="s">
        <v>1666</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3347</v>
      </c>
      <c r="AS9" s="18" t="s">
        <v>1717</v>
      </c>
      <c r="AT9" s="18" t="s">
        <v>1700</v>
      </c>
      <c r="AU9" s="18" t="s">
        <v>1701</v>
      </c>
      <c r="AV9" s="18" t="s">
        <v>1738</v>
      </c>
      <c r="AW9" s="32" t="s">
        <v>3427</v>
      </c>
      <c r="AX9" s="18" t="s">
        <v>949</v>
      </c>
      <c r="AY9" s="18" t="s">
        <v>3349</v>
      </c>
    </row>
    <row r="10" customFormat="false" ht="14.25" hidden="false" customHeight="fals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1720</v>
      </c>
      <c r="P10" s="24" t="n">
        <v>7.25</v>
      </c>
      <c r="Q10" s="24" t="n">
        <v>4.07</v>
      </c>
      <c r="R10" s="24"/>
      <c r="S10" s="24"/>
      <c r="T10" s="24"/>
      <c r="U10" s="24"/>
      <c r="V10" s="24"/>
      <c r="W10" s="24"/>
      <c r="X10" s="24" t="n">
        <v>4.86</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3357</v>
      </c>
      <c r="AS10" s="24" t="s">
        <v>1742</v>
      </c>
      <c r="AT10" s="24" t="s">
        <v>1743</v>
      </c>
      <c r="AU10" s="24" t="s">
        <v>1744</v>
      </c>
      <c r="AV10" s="24" t="s">
        <v>1702</v>
      </c>
      <c r="AW10" s="25" t="s">
        <v>3428</v>
      </c>
      <c r="AX10" s="24" t="s">
        <v>1046</v>
      </c>
      <c r="AY10" s="24" t="s">
        <v>3359</v>
      </c>
    </row>
    <row r="11" customFormat="false" ht="14.25" hidden="false" customHeight="fals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86</v>
      </c>
      <c r="O11" s="24" t="s">
        <v>1747</v>
      </c>
      <c r="P11" s="24" t="n">
        <v>7.83</v>
      </c>
      <c r="Q11" s="24" t="n">
        <v>5.3</v>
      </c>
      <c r="R11" s="24"/>
      <c r="S11" s="24"/>
      <c r="T11" s="24"/>
      <c r="U11" s="24"/>
      <c r="V11" s="24"/>
      <c r="W11" s="24"/>
      <c r="X11" s="24" t="n">
        <v>7.27</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3357</v>
      </c>
      <c r="AS11" s="24" t="s">
        <v>1742</v>
      </c>
      <c r="AT11" s="24" t="s">
        <v>1743</v>
      </c>
      <c r="AU11" s="24" t="s">
        <v>1744</v>
      </c>
      <c r="AV11" s="24" t="s">
        <v>1702</v>
      </c>
      <c r="AW11" s="25" t="s">
        <v>3429</v>
      </c>
      <c r="AX11" s="24" t="s">
        <v>1046</v>
      </c>
      <c r="AY11" s="24" t="s">
        <v>3359</v>
      </c>
    </row>
    <row r="12" customFormat="false" ht="14.25" hidden="false" customHeight="false" outlineLevel="0" collapsed="false">
      <c r="A12" s="24" t="s">
        <v>1034</v>
      </c>
      <c r="B12" s="24" t="s">
        <v>1034</v>
      </c>
      <c r="C12" s="24" t="s">
        <v>1035</v>
      </c>
      <c r="D12" s="24" t="n">
        <v>2022</v>
      </c>
      <c r="E12" s="24" t="s">
        <v>80</v>
      </c>
      <c r="F12" s="24" t="s">
        <v>912</v>
      </c>
      <c r="G12" s="24" t="s">
        <v>913</v>
      </c>
      <c r="H12" s="24" t="n">
        <v>29.706</v>
      </c>
      <c r="I12" s="24" t="n">
        <v>76.956</v>
      </c>
      <c r="J12" s="24" t="s">
        <v>83</v>
      </c>
      <c r="K12" s="24" t="n">
        <v>2019</v>
      </c>
      <c r="L12" s="24" t="s">
        <v>84</v>
      </c>
      <c r="M12" s="24" t="s">
        <v>85</v>
      </c>
      <c r="N12" s="24" t="s">
        <v>1673</v>
      </c>
      <c r="O12" s="24" t="s">
        <v>1674</v>
      </c>
      <c r="P12" s="24" t="n">
        <v>2.46</v>
      </c>
      <c r="Q12" s="24" t="n">
        <v>1.37</v>
      </c>
      <c r="R12" s="24"/>
      <c r="S12" s="24"/>
      <c r="T12" s="24"/>
      <c r="U12" s="24"/>
      <c r="V12" s="24"/>
      <c r="W12" s="24"/>
      <c r="X12" s="24" t="n">
        <v>2.6</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3357</v>
      </c>
      <c r="AS12" s="24" t="s">
        <v>1742</v>
      </c>
      <c r="AT12" s="24" t="s">
        <v>1743</v>
      </c>
      <c r="AU12" s="24" t="s">
        <v>1744</v>
      </c>
      <c r="AV12" s="24" t="s">
        <v>1702</v>
      </c>
      <c r="AW12" s="25" t="s">
        <v>3430</v>
      </c>
      <c r="AX12" s="24" t="s">
        <v>1046</v>
      </c>
      <c r="AY12" s="24" t="s">
        <v>3359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3431</v>
      </c>
      <c r="Q1" s="27" t="s">
        <v>3432</v>
      </c>
      <c r="R1" s="27" t="s">
        <v>3433</v>
      </c>
      <c r="S1" s="27" t="s">
        <v>3434</v>
      </c>
      <c r="T1" s="27" t="s">
        <v>3435</v>
      </c>
      <c r="U1" s="27" t="s">
        <v>3436</v>
      </c>
      <c r="V1" s="27" t="s">
        <v>3437</v>
      </c>
      <c r="W1" s="27" t="s">
        <v>3438</v>
      </c>
      <c r="X1" s="30" t="s">
        <v>3439</v>
      </c>
      <c r="Y1" s="30" t="s">
        <v>3440</v>
      </c>
      <c r="Z1" s="30" t="s">
        <v>3441</v>
      </c>
      <c r="AA1" s="30" t="s">
        <v>3442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1893</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3443</v>
      </c>
      <c r="AS2" s="18" t="s">
        <v>1667</v>
      </c>
      <c r="AT2" s="18" t="s">
        <v>1668</v>
      </c>
      <c r="AU2" s="18" t="s">
        <v>1669</v>
      </c>
      <c r="AV2" s="18" t="s">
        <v>2958</v>
      </c>
      <c r="AW2" s="32" t="s">
        <v>3444</v>
      </c>
      <c r="AX2" s="18" t="s">
        <v>898</v>
      </c>
      <c r="AY2" s="18" t="s">
        <v>3445</v>
      </c>
      <c r="BA2" s="33" t="s">
        <v>1228</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2496</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3446</v>
      </c>
      <c r="AS3" s="5" t="s">
        <v>1676</v>
      </c>
      <c r="AT3" s="5" t="s">
        <v>2962</v>
      </c>
      <c r="AU3" s="5" t="s">
        <v>1678</v>
      </c>
      <c r="AV3" s="5" t="s">
        <v>2958</v>
      </c>
      <c r="AW3" s="23" t="s">
        <v>3447</v>
      </c>
      <c r="AX3" s="5" t="s">
        <v>850</v>
      </c>
      <c r="AY3" s="5" t="s">
        <v>3448</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2496</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3446</v>
      </c>
      <c r="AS4" s="5" t="s">
        <v>1682</v>
      </c>
      <c r="AT4" s="5" t="s">
        <v>2962</v>
      </c>
      <c r="AU4" s="5" t="s">
        <v>1678</v>
      </c>
      <c r="AV4" s="5" t="s">
        <v>2958</v>
      </c>
      <c r="AW4" s="23" t="s">
        <v>3449</v>
      </c>
      <c r="AX4" s="5" t="s">
        <v>850</v>
      </c>
      <c r="AY4" s="5" t="s">
        <v>3448</v>
      </c>
    </row>
    <row r="5" customFormat="false" ht="15" hidden="false" customHeight="true" outlineLevel="0" collapsed="false">
      <c r="A5" s="18" t="s">
        <v>925</v>
      </c>
      <c r="B5" s="18" t="s">
        <v>925</v>
      </c>
      <c r="C5" s="18" t="s">
        <v>926</v>
      </c>
      <c r="D5" s="18" t="n">
        <v>2019</v>
      </c>
      <c r="E5" s="18" t="s">
        <v>2764</v>
      </c>
      <c r="F5" s="18" t="s">
        <v>912</v>
      </c>
      <c r="G5" s="18" t="s">
        <v>913</v>
      </c>
      <c r="H5" s="18" t="n">
        <v>29.7</v>
      </c>
      <c r="I5" s="18" t="n">
        <v>76.96</v>
      </c>
      <c r="J5" s="18" t="s">
        <v>83</v>
      </c>
      <c r="K5" s="18" t="n">
        <v>2013</v>
      </c>
      <c r="L5" s="18" t="s">
        <v>84</v>
      </c>
      <c r="M5" s="18" t="s">
        <v>85</v>
      </c>
      <c r="N5" s="18" t="s">
        <v>86</v>
      </c>
      <c r="O5" s="18" t="s">
        <v>1666</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3450</v>
      </c>
      <c r="AS5" s="18" t="s">
        <v>1913</v>
      </c>
      <c r="AT5" s="18" t="s">
        <v>2766</v>
      </c>
      <c r="AU5" s="18" t="s">
        <v>1915</v>
      </c>
      <c r="AV5" s="18" t="s">
        <v>91</v>
      </c>
      <c r="AW5" s="32" t="s">
        <v>3451</v>
      </c>
      <c r="AX5" s="18" t="s">
        <v>932</v>
      </c>
      <c r="AY5" s="18" t="s">
        <v>3452</v>
      </c>
    </row>
    <row r="6" customFormat="false" ht="15" hidden="false" customHeight="true" outlineLevel="0" collapsed="false">
      <c r="A6" s="18" t="s">
        <v>925</v>
      </c>
      <c r="B6" s="18" t="s">
        <v>925</v>
      </c>
      <c r="C6" s="18" t="s">
        <v>926</v>
      </c>
      <c r="D6" s="18" t="n">
        <v>2019</v>
      </c>
      <c r="E6" s="18" t="s">
        <v>2764</v>
      </c>
      <c r="F6" s="18" t="s">
        <v>912</v>
      </c>
      <c r="G6" s="18" t="s">
        <v>913</v>
      </c>
      <c r="H6" s="18" t="n">
        <v>29.7</v>
      </c>
      <c r="I6" s="18" t="n">
        <v>76.96</v>
      </c>
      <c r="J6" s="18" t="s">
        <v>83</v>
      </c>
      <c r="K6" s="18" t="n">
        <v>2013</v>
      </c>
      <c r="L6" s="18" t="s">
        <v>84</v>
      </c>
      <c r="M6" s="18" t="s">
        <v>85</v>
      </c>
      <c r="N6" s="18" t="s">
        <v>1673</v>
      </c>
      <c r="O6" s="18" t="s">
        <v>1674</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3450</v>
      </c>
      <c r="AS6" s="18" t="s">
        <v>1913</v>
      </c>
      <c r="AT6" s="18" t="s">
        <v>2766</v>
      </c>
      <c r="AU6" s="18" t="s">
        <v>1915</v>
      </c>
      <c r="AV6" s="18" t="s">
        <v>91</v>
      </c>
      <c r="AW6" s="32" t="s">
        <v>3451</v>
      </c>
      <c r="AX6" s="18" t="s">
        <v>932</v>
      </c>
      <c r="AY6" s="18" t="s">
        <v>3452</v>
      </c>
    </row>
    <row r="7" customFormat="false" ht="15" hidden="false" customHeight="true" outlineLevel="0" collapsed="false">
      <c r="A7" s="24" t="s">
        <v>1011</v>
      </c>
      <c r="B7" s="24" t="s">
        <v>1011</v>
      </c>
      <c r="C7" s="24" t="s">
        <v>1012</v>
      </c>
      <c r="D7" s="24" t="n">
        <v>2022</v>
      </c>
      <c r="E7" s="24" t="s">
        <v>813</v>
      </c>
      <c r="F7" s="24" t="s">
        <v>1015</v>
      </c>
      <c r="G7" s="24" t="s">
        <v>1016</v>
      </c>
      <c r="H7" s="24" t="n">
        <v>24.724</v>
      </c>
      <c r="I7" s="24" t="n">
        <v>90.437</v>
      </c>
      <c r="J7" s="24" t="s">
        <v>83</v>
      </c>
      <c r="K7" s="24" t="s">
        <v>1734</v>
      </c>
      <c r="L7" s="24" t="s">
        <v>84</v>
      </c>
      <c r="M7" s="24" t="s">
        <v>85</v>
      </c>
      <c r="N7" s="24" t="s">
        <v>86</v>
      </c>
      <c r="O7" s="24" t="s">
        <v>1666</v>
      </c>
      <c r="P7" s="24"/>
      <c r="Q7" s="24"/>
      <c r="R7" s="24"/>
      <c r="S7" s="24"/>
      <c r="T7" s="24" t="n">
        <v>198</v>
      </c>
      <c r="U7" s="24"/>
      <c r="V7" s="24" t="n">
        <v>156</v>
      </c>
      <c r="W7" s="24"/>
      <c r="X7" s="24"/>
      <c r="Y7" s="24"/>
      <c r="Z7" s="24"/>
      <c r="AA7" s="24"/>
      <c r="AB7" s="24" t="n">
        <v>2</v>
      </c>
      <c r="AC7" s="24" t="n">
        <v>3</v>
      </c>
      <c r="AD7" s="24" t="n">
        <f aca="false">IF(AND(N(AB7)&gt;0,N(AC7)&gt;0),SQRT(2*AB7/AC7),"")</f>
        <v>1.15470053837925</v>
      </c>
      <c r="AE7" s="24" t="n">
        <v>13</v>
      </c>
      <c r="AF7" s="24"/>
      <c r="AG7" s="24"/>
      <c r="AH7" s="24" t="n">
        <v>2400</v>
      </c>
      <c r="AI7" s="24" t="n">
        <v>24.724</v>
      </c>
      <c r="AJ7" s="24" t="n">
        <v>8</v>
      </c>
      <c r="AK7" s="24"/>
      <c r="AL7" s="24"/>
      <c r="AM7" s="24" t="n">
        <v>6.92</v>
      </c>
      <c r="AN7" s="24" t="n">
        <v>13.2</v>
      </c>
      <c r="AO7" s="24" t="n">
        <v>1.58</v>
      </c>
      <c r="AP7" s="24" t="n">
        <v>11</v>
      </c>
      <c r="AQ7" s="24" t="n">
        <v>76</v>
      </c>
      <c r="AR7" s="24" t="s">
        <v>3453</v>
      </c>
      <c r="AS7" s="24" t="s">
        <v>1735</v>
      </c>
      <c r="AT7" s="24" t="s">
        <v>1736</v>
      </c>
      <c r="AU7" s="24" t="s">
        <v>1737</v>
      </c>
      <c r="AV7" s="24" t="s">
        <v>1738</v>
      </c>
      <c r="AW7" s="25" t="s">
        <v>1739</v>
      </c>
      <c r="AX7" s="24" t="s">
        <v>1030</v>
      </c>
      <c r="AY7" s="24" t="s">
        <v>3454</v>
      </c>
    </row>
    <row r="8" customFormat="false" ht="15" hidden="false" customHeight="true" outlineLevel="0" collapsed="false">
      <c r="A8" s="24" t="s">
        <v>1011</v>
      </c>
      <c r="B8" s="24" t="s">
        <v>1011</v>
      </c>
      <c r="C8" s="24" t="s">
        <v>1012</v>
      </c>
      <c r="D8" s="24" t="n">
        <v>2022</v>
      </c>
      <c r="E8" s="24" t="s">
        <v>813</v>
      </c>
      <c r="F8" s="24" t="s">
        <v>1015</v>
      </c>
      <c r="G8" s="24" t="s">
        <v>1016</v>
      </c>
      <c r="H8" s="24" t="n">
        <v>24.724</v>
      </c>
      <c r="I8" s="24" t="n">
        <v>90.437</v>
      </c>
      <c r="J8" s="24" t="s">
        <v>83</v>
      </c>
      <c r="K8" s="24" t="s">
        <v>1734</v>
      </c>
      <c r="L8" s="24" t="s">
        <v>84</v>
      </c>
      <c r="M8" s="24" t="s">
        <v>85</v>
      </c>
      <c r="N8" s="24" t="s">
        <v>86</v>
      </c>
      <c r="O8" s="24" t="s">
        <v>1666</v>
      </c>
      <c r="P8" s="24"/>
      <c r="Q8" s="24"/>
      <c r="R8" s="24"/>
      <c r="S8" s="24"/>
      <c r="T8" s="24" t="n">
        <v>240</v>
      </c>
      <c r="U8" s="24"/>
      <c r="V8" s="24" t="n">
        <v>175</v>
      </c>
      <c r="W8" s="24"/>
      <c r="X8" s="24"/>
      <c r="Y8" s="24"/>
      <c r="Z8" s="24"/>
      <c r="AA8" s="24"/>
      <c r="AB8" s="24" t="n">
        <v>2</v>
      </c>
      <c r="AC8" s="24" t="n">
        <v>3</v>
      </c>
      <c r="AD8" s="24" t="n">
        <f aca="false">IF(AND(N(AB8)&gt;0,N(AC8)&gt;0),SQRT(2*AB8/AC8),"")</f>
        <v>1.15470053837925</v>
      </c>
      <c r="AE8" s="24" t="n">
        <v>13</v>
      </c>
      <c r="AF8" s="24"/>
      <c r="AG8" s="24"/>
      <c r="AH8" s="24" t="n">
        <v>2400</v>
      </c>
      <c r="AI8" s="24" t="n">
        <v>24.724</v>
      </c>
      <c r="AJ8" s="24" t="n">
        <v>8</v>
      </c>
      <c r="AK8" s="24"/>
      <c r="AL8" s="24"/>
      <c r="AM8" s="24" t="n">
        <v>6.92</v>
      </c>
      <c r="AN8" s="24" t="n">
        <v>13.2</v>
      </c>
      <c r="AO8" s="24" t="n">
        <v>1.58</v>
      </c>
      <c r="AP8" s="24" t="n">
        <v>11</v>
      </c>
      <c r="AQ8" s="24" t="n">
        <v>76</v>
      </c>
      <c r="AR8" s="24" t="s">
        <v>3453</v>
      </c>
      <c r="AS8" s="24" t="s">
        <v>1735</v>
      </c>
      <c r="AT8" s="24" t="s">
        <v>1736</v>
      </c>
      <c r="AU8" s="24" t="s">
        <v>1737</v>
      </c>
      <c r="AV8" s="24" t="s">
        <v>1738</v>
      </c>
      <c r="AW8" s="25" t="s">
        <v>1741</v>
      </c>
      <c r="AX8" s="24" t="s">
        <v>1030</v>
      </c>
      <c r="AY8" s="24" t="s">
        <v>3454</v>
      </c>
    </row>
    <row r="9" customFormat="false" ht="15" hidden="false" customHeight="true" outlineLevel="0" collapsed="false">
      <c r="A9" s="24" t="s">
        <v>1034</v>
      </c>
      <c r="B9" s="24" t="s">
        <v>1034</v>
      </c>
      <c r="C9" s="24" t="s">
        <v>1035</v>
      </c>
      <c r="D9" s="24" t="n">
        <v>2022</v>
      </c>
      <c r="E9" s="24" t="s">
        <v>80</v>
      </c>
      <c r="F9" s="24" t="s">
        <v>912</v>
      </c>
      <c r="G9" s="24" t="s">
        <v>913</v>
      </c>
      <c r="H9" s="24" t="n">
        <v>29.706</v>
      </c>
      <c r="I9" s="24" t="n">
        <v>76.956</v>
      </c>
      <c r="J9" s="24" t="s">
        <v>83</v>
      </c>
      <c r="K9" s="24" t="n">
        <v>2019</v>
      </c>
      <c r="L9" s="24" t="s">
        <v>84</v>
      </c>
      <c r="M9" s="24" t="s">
        <v>85</v>
      </c>
      <c r="N9" s="24" t="s">
        <v>86</v>
      </c>
      <c r="O9" s="24" t="s">
        <v>1720</v>
      </c>
      <c r="P9" s="24" t="n">
        <v>398.46</v>
      </c>
      <c r="Q9" s="24" t="n">
        <v>136.56</v>
      </c>
      <c r="R9" s="24"/>
      <c r="S9" s="24"/>
      <c r="T9" s="24"/>
      <c r="U9" s="24"/>
      <c r="V9" s="24"/>
      <c r="W9" s="24"/>
      <c r="X9" s="24" t="n">
        <v>150.22</v>
      </c>
      <c r="Y9" s="24"/>
      <c r="Z9" s="24"/>
      <c r="AA9" s="24"/>
      <c r="AB9" s="24" t="n">
        <v>2</v>
      </c>
      <c r="AC9" s="24" t="n">
        <v>3</v>
      </c>
      <c r="AD9" s="24" t="n">
        <f aca="false">IF(AND(N(AB9)&gt;0,N(AC9)&gt;0),SQRT(2*AB9/AC9),"")</f>
        <v>1.15470053837925</v>
      </c>
      <c r="AE9" s="24"/>
      <c r="AF9" s="24"/>
      <c r="AG9" s="24"/>
      <c r="AH9" s="24" t="n">
        <v>670</v>
      </c>
      <c r="AI9" s="24" t="n">
        <v>29.706</v>
      </c>
      <c r="AJ9" s="24" t="n">
        <v>10</v>
      </c>
      <c r="AK9" s="24"/>
      <c r="AL9" s="24"/>
      <c r="AM9" s="24"/>
      <c r="AN9" s="24"/>
      <c r="AO9" s="24"/>
      <c r="AP9" s="24"/>
      <c r="AQ9" s="24"/>
      <c r="AR9" s="24" t="s">
        <v>3455</v>
      </c>
      <c r="AS9" s="24" t="s">
        <v>1742</v>
      </c>
      <c r="AT9" s="24" t="s">
        <v>1743</v>
      </c>
      <c r="AU9" s="24" t="s">
        <v>1744</v>
      </c>
      <c r="AV9" s="24" t="s">
        <v>1670</v>
      </c>
      <c r="AW9" s="25" t="s">
        <v>3456</v>
      </c>
      <c r="AX9" s="24" t="s">
        <v>1046</v>
      </c>
      <c r="AY9" s="24" t="s">
        <v>3457</v>
      </c>
    </row>
    <row r="10" customFormat="false" ht="15" hidden="false" customHeight="true" outlineLevel="0" collapsed="false">
      <c r="A10" s="24" t="s">
        <v>1034</v>
      </c>
      <c r="B10" s="24" t="s">
        <v>1034</v>
      </c>
      <c r="C10" s="24" t="s">
        <v>1035</v>
      </c>
      <c r="D10" s="24" t="n">
        <v>2022</v>
      </c>
      <c r="E10" s="24" t="s">
        <v>80</v>
      </c>
      <c r="F10" s="24" t="s">
        <v>912</v>
      </c>
      <c r="G10" s="24" t="s">
        <v>913</v>
      </c>
      <c r="H10" s="24" t="n">
        <v>29.706</v>
      </c>
      <c r="I10" s="24" t="n">
        <v>76.956</v>
      </c>
      <c r="J10" s="24" t="s">
        <v>83</v>
      </c>
      <c r="K10" s="24" t="n">
        <v>2019</v>
      </c>
      <c r="L10" s="24" t="s">
        <v>84</v>
      </c>
      <c r="M10" s="24" t="s">
        <v>85</v>
      </c>
      <c r="N10" s="24" t="s">
        <v>86</v>
      </c>
      <c r="O10" s="24" t="s">
        <v>1747</v>
      </c>
      <c r="P10" s="24" t="n">
        <v>271.59</v>
      </c>
      <c r="Q10" s="24" t="n">
        <v>146.65</v>
      </c>
      <c r="R10" s="24"/>
      <c r="S10" s="24"/>
      <c r="T10" s="24"/>
      <c r="U10" s="24"/>
      <c r="V10" s="24"/>
      <c r="W10" s="24"/>
      <c r="X10" s="24" t="n">
        <v>183.36</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3455</v>
      </c>
      <c r="AS10" s="24" t="s">
        <v>1742</v>
      </c>
      <c r="AT10" s="24" t="s">
        <v>1743</v>
      </c>
      <c r="AU10" s="24" t="s">
        <v>1744</v>
      </c>
      <c r="AV10" s="24" t="s">
        <v>1670</v>
      </c>
      <c r="AW10" s="25" t="s">
        <v>3458</v>
      </c>
      <c r="AX10" s="24" t="s">
        <v>1046</v>
      </c>
      <c r="AY10" s="24" t="s">
        <v>3457</v>
      </c>
    </row>
    <row r="11" customFormat="false" ht="15" hidden="false" customHeight="true" outlineLevel="0" collapsed="false">
      <c r="A11" s="24" t="s">
        <v>1034</v>
      </c>
      <c r="B11" s="24" t="s">
        <v>1034</v>
      </c>
      <c r="C11" s="24" t="s">
        <v>1035</v>
      </c>
      <c r="D11" s="24" t="n">
        <v>2022</v>
      </c>
      <c r="E11" s="24" t="s">
        <v>80</v>
      </c>
      <c r="F11" s="24" t="s">
        <v>912</v>
      </c>
      <c r="G11" s="24" t="s">
        <v>913</v>
      </c>
      <c r="H11" s="24" t="n">
        <v>29.706</v>
      </c>
      <c r="I11" s="24" t="n">
        <v>76.956</v>
      </c>
      <c r="J11" s="24" t="s">
        <v>83</v>
      </c>
      <c r="K11" s="24" t="n">
        <v>2019</v>
      </c>
      <c r="L11" s="24" t="s">
        <v>84</v>
      </c>
      <c r="M11" s="24" t="s">
        <v>85</v>
      </c>
      <c r="N11" s="24" t="s">
        <v>1673</v>
      </c>
      <c r="O11" s="24" t="s">
        <v>1674</v>
      </c>
      <c r="P11" s="24" t="n">
        <v>90.08</v>
      </c>
      <c r="Q11" s="24" t="n">
        <v>64.32</v>
      </c>
      <c r="R11" s="24"/>
      <c r="S11" s="24"/>
      <c r="T11" s="24"/>
      <c r="U11" s="24"/>
      <c r="V11" s="24"/>
      <c r="W11" s="24"/>
      <c r="X11" s="24" t="n">
        <v>70.12</v>
      </c>
      <c r="Y11" s="24"/>
      <c r="Z11" s="24"/>
      <c r="AA11" s="24"/>
      <c r="AB11" s="24" t="n">
        <v>1</v>
      </c>
      <c r="AC11" s="24" t="n">
        <v>3</v>
      </c>
      <c r="AD11" s="24" t="n">
        <f aca="false">IF(AND(N(AB11)&gt;0,N(AC11)&gt;0),SQRT(2*AB11/AC11),"")</f>
        <v>0.816496580927726</v>
      </c>
      <c r="AE11" s="24"/>
      <c r="AF11" s="24"/>
      <c r="AG11" s="24"/>
      <c r="AH11" s="24" t="n">
        <v>670</v>
      </c>
      <c r="AI11" s="24" t="n">
        <v>29.706</v>
      </c>
      <c r="AJ11" s="24" t="n">
        <v>10</v>
      </c>
      <c r="AK11" s="24"/>
      <c r="AL11" s="24"/>
      <c r="AM11" s="24"/>
      <c r="AN11" s="24"/>
      <c r="AO11" s="24"/>
      <c r="AP11" s="24"/>
      <c r="AQ11" s="24"/>
      <c r="AR11" s="24" t="s">
        <v>3455</v>
      </c>
      <c r="AS11" s="24" t="s">
        <v>1742</v>
      </c>
      <c r="AT11" s="24" t="s">
        <v>1743</v>
      </c>
      <c r="AU11" s="24" t="s">
        <v>1744</v>
      </c>
      <c r="AV11" s="24" t="s">
        <v>1670</v>
      </c>
      <c r="AW11" s="25" t="s">
        <v>3459</v>
      </c>
      <c r="AX11" s="24" t="s">
        <v>1046</v>
      </c>
      <c r="AY11" s="24" t="s">
        <v>3457</v>
      </c>
    </row>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3460</v>
      </c>
      <c r="Q1" s="27" t="s">
        <v>3461</v>
      </c>
      <c r="R1" s="27" t="s">
        <v>3462</v>
      </c>
      <c r="S1" s="27" t="s">
        <v>3463</v>
      </c>
      <c r="T1" s="27" t="s">
        <v>3464</v>
      </c>
      <c r="U1" s="27" t="s">
        <v>3465</v>
      </c>
      <c r="V1" s="27" t="s">
        <v>3466</v>
      </c>
      <c r="W1" s="27" t="s">
        <v>3467</v>
      </c>
      <c r="X1" s="30" t="s">
        <v>3468</v>
      </c>
      <c r="Y1" s="30" t="s">
        <v>3469</v>
      </c>
      <c r="Z1" s="30" t="s">
        <v>3470</v>
      </c>
      <c r="AA1" s="30" t="s">
        <v>3471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s">
        <v>925</v>
      </c>
      <c r="B2" s="18" t="s">
        <v>925</v>
      </c>
      <c r="C2" s="18" t="s">
        <v>926</v>
      </c>
      <c r="D2" s="18" t="n">
        <v>2019</v>
      </c>
      <c r="E2" s="18" t="s">
        <v>2764</v>
      </c>
      <c r="F2" s="18" t="s">
        <v>912</v>
      </c>
      <c r="G2" s="18" t="s">
        <v>913</v>
      </c>
      <c r="H2" s="18" t="n">
        <v>29.7</v>
      </c>
      <c r="I2" s="18" t="n">
        <v>76.96</v>
      </c>
      <c r="J2" s="18" t="s">
        <v>83</v>
      </c>
      <c r="K2" s="18" t="n">
        <v>2013</v>
      </c>
      <c r="L2" s="18" t="s">
        <v>84</v>
      </c>
      <c r="M2" s="18" t="s">
        <v>85</v>
      </c>
      <c r="N2" s="18" t="s">
        <v>86</v>
      </c>
      <c r="O2" s="18" t="s">
        <v>1666</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3472</v>
      </c>
      <c r="AS2" s="18" t="s">
        <v>1913</v>
      </c>
      <c r="AT2" s="18" t="s">
        <v>2766</v>
      </c>
      <c r="AU2" s="18" t="s">
        <v>1915</v>
      </c>
      <c r="AV2" s="18" t="s">
        <v>91</v>
      </c>
      <c r="AW2" s="32" t="s">
        <v>3451</v>
      </c>
      <c r="AX2" s="18" t="s">
        <v>932</v>
      </c>
      <c r="AY2" s="18" t="s">
        <v>3473</v>
      </c>
      <c r="BA2" s="33" t="s">
        <v>1231</v>
      </c>
    </row>
    <row r="3" customFormat="false" ht="15" hidden="false" customHeight="true" outlineLevel="0" collapsed="false">
      <c r="A3" s="18" t="s">
        <v>925</v>
      </c>
      <c r="B3" s="18" t="s">
        <v>925</v>
      </c>
      <c r="C3" s="18" t="s">
        <v>926</v>
      </c>
      <c r="D3" s="18" t="n">
        <v>2019</v>
      </c>
      <c r="E3" s="18" t="s">
        <v>2764</v>
      </c>
      <c r="F3" s="18" t="s">
        <v>912</v>
      </c>
      <c r="G3" s="18" t="s">
        <v>913</v>
      </c>
      <c r="H3" s="18" t="n">
        <v>29.7</v>
      </c>
      <c r="I3" s="18" t="n">
        <v>76.96</v>
      </c>
      <c r="J3" s="18" t="s">
        <v>83</v>
      </c>
      <c r="K3" s="18" t="n">
        <v>2013</v>
      </c>
      <c r="L3" s="18" t="s">
        <v>84</v>
      </c>
      <c r="M3" s="18" t="s">
        <v>85</v>
      </c>
      <c r="N3" s="18" t="s">
        <v>1673</v>
      </c>
      <c r="O3" s="18" t="s">
        <v>1674</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3472</v>
      </c>
      <c r="AS3" s="18" t="s">
        <v>1913</v>
      </c>
      <c r="AT3" s="18" t="s">
        <v>2766</v>
      </c>
      <c r="AU3" s="18" t="s">
        <v>1915</v>
      </c>
      <c r="AV3" s="18" t="s">
        <v>91</v>
      </c>
      <c r="AW3" s="32" t="s">
        <v>3451</v>
      </c>
      <c r="AX3" s="18" t="s">
        <v>932</v>
      </c>
      <c r="AY3" s="18" t="s">
        <v>3473</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3474</v>
      </c>
      <c r="Q1" s="27" t="s">
        <v>3475</v>
      </c>
      <c r="R1" s="27" t="s">
        <v>3476</v>
      </c>
      <c r="S1" s="27" t="s">
        <v>3477</v>
      </c>
      <c r="T1" s="27" t="s">
        <v>3478</v>
      </c>
      <c r="U1" s="27" t="s">
        <v>3479</v>
      </c>
      <c r="V1" s="27" t="s">
        <v>3480</v>
      </c>
      <c r="W1" s="27" t="s">
        <v>3481</v>
      </c>
      <c r="X1" s="30" t="s">
        <v>3482</v>
      </c>
      <c r="Y1" s="30" t="s">
        <v>3483</v>
      </c>
      <c r="Z1" s="30" t="s">
        <v>3484</v>
      </c>
      <c r="AA1" s="30" t="s">
        <v>3485</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1233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3486</v>
      </c>
      <c r="Q1" s="27" t="s">
        <v>3487</v>
      </c>
      <c r="R1" s="27" t="s">
        <v>3488</v>
      </c>
      <c r="S1" s="27" t="s">
        <v>3489</v>
      </c>
      <c r="T1" s="27" t="s">
        <v>3490</v>
      </c>
      <c r="U1" s="27" t="s">
        <v>3491</v>
      </c>
      <c r="V1" s="27" t="s">
        <v>3492</v>
      </c>
      <c r="W1" s="27" t="s">
        <v>3493</v>
      </c>
      <c r="X1" s="30" t="s">
        <v>3494</v>
      </c>
      <c r="Y1" s="30" t="s">
        <v>3495</v>
      </c>
      <c r="Z1" s="30" t="s">
        <v>3496</v>
      </c>
      <c r="AA1" s="30" t="s">
        <v>3497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3498</v>
      </c>
      <c r="Q1" s="27" t="s">
        <v>3499</v>
      </c>
      <c r="R1" s="27" t="s">
        <v>3500</v>
      </c>
      <c r="S1" s="27" t="s">
        <v>3501</v>
      </c>
      <c r="T1" s="27" t="s">
        <v>3502</v>
      </c>
      <c r="U1" s="27" t="s">
        <v>3503</v>
      </c>
      <c r="V1" s="27" t="s">
        <v>3504</v>
      </c>
      <c r="W1" s="27" t="s">
        <v>3505</v>
      </c>
      <c r="X1" s="30" t="s">
        <v>3506</v>
      </c>
      <c r="Y1" s="30" t="s">
        <v>3507</v>
      </c>
      <c r="Z1" s="30" t="s">
        <v>3508</v>
      </c>
      <c r="AA1" s="30" t="s">
        <v>3509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1893</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1237</v>
      </c>
      <c r="AS2" s="18" t="s">
        <v>3510</v>
      </c>
      <c r="AT2" s="18" t="s">
        <v>1668</v>
      </c>
      <c r="AU2" s="18" t="s">
        <v>1669</v>
      </c>
      <c r="AV2" s="18" t="s">
        <v>3511</v>
      </c>
      <c r="AW2" s="32" t="s">
        <v>3512</v>
      </c>
      <c r="AX2" s="18" t="s">
        <v>898</v>
      </c>
      <c r="AY2" s="18" t="s">
        <v>3513</v>
      </c>
      <c r="BA2" s="33" t="s">
        <v>1237</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2496</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3514</v>
      </c>
      <c r="AS3" s="5" t="s">
        <v>1676</v>
      </c>
      <c r="AT3" s="5" t="s">
        <v>2962</v>
      </c>
      <c r="AU3" s="5" t="s">
        <v>1678</v>
      </c>
      <c r="AV3" s="5" t="s">
        <v>3515</v>
      </c>
      <c r="AW3" s="23" t="s">
        <v>3516</v>
      </c>
      <c r="AX3" s="5" t="s">
        <v>850</v>
      </c>
      <c r="AY3" s="5" t="s">
        <v>3517</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t="s">
        <v>86</v>
      </c>
      <c r="O4" s="5" t="s">
        <v>2496</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3514</v>
      </c>
      <c r="AS4" s="5" t="s">
        <v>1682</v>
      </c>
      <c r="AT4" s="5" t="s">
        <v>2962</v>
      </c>
      <c r="AU4" s="5" t="s">
        <v>1678</v>
      </c>
      <c r="AV4" s="5" t="s">
        <v>3515</v>
      </c>
      <c r="AW4" s="23" t="s">
        <v>3518</v>
      </c>
      <c r="AX4" s="5" t="s">
        <v>850</v>
      </c>
      <c r="AY4" s="5" t="s">
        <v>3517</v>
      </c>
    </row>
    <row r="5" customFormat="false" ht="15" hidden="false" customHeight="true" outlineLevel="0" collapsed="false">
      <c r="A5" s="18" t="s">
        <v>925</v>
      </c>
      <c r="B5" s="18" t="s">
        <v>925</v>
      </c>
      <c r="C5" s="18" t="s">
        <v>926</v>
      </c>
      <c r="D5" s="18" t="n">
        <v>2019</v>
      </c>
      <c r="E5" s="18" t="s">
        <v>2764</v>
      </c>
      <c r="F5" s="18" t="s">
        <v>912</v>
      </c>
      <c r="G5" s="18" t="s">
        <v>913</v>
      </c>
      <c r="H5" s="18" t="n">
        <v>29.7</v>
      </c>
      <c r="I5" s="18" t="n">
        <v>76.96</v>
      </c>
      <c r="J5" s="18" t="s">
        <v>83</v>
      </c>
      <c r="K5" s="18" t="n">
        <v>2013</v>
      </c>
      <c r="L5" s="18" t="s">
        <v>84</v>
      </c>
      <c r="M5" s="18" t="s">
        <v>85</v>
      </c>
      <c r="N5" s="18" t="s">
        <v>86</v>
      </c>
      <c r="O5" s="18" t="s">
        <v>1666</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3514</v>
      </c>
      <c r="AS5" s="18" t="s">
        <v>1913</v>
      </c>
      <c r="AT5" s="18" t="s">
        <v>2766</v>
      </c>
      <c r="AU5" s="18" t="s">
        <v>1915</v>
      </c>
      <c r="AV5" s="18" t="s">
        <v>1994</v>
      </c>
      <c r="AW5" s="32" t="s">
        <v>3519</v>
      </c>
      <c r="AX5" s="18" t="s">
        <v>932</v>
      </c>
      <c r="AY5" s="18" t="s">
        <v>3520</v>
      </c>
    </row>
    <row r="6" customFormat="false" ht="15" hidden="false" customHeight="true" outlineLevel="0" collapsed="false">
      <c r="A6" s="18" t="s">
        <v>925</v>
      </c>
      <c r="B6" s="18" t="s">
        <v>925</v>
      </c>
      <c r="C6" s="18" t="s">
        <v>926</v>
      </c>
      <c r="D6" s="18" t="n">
        <v>2019</v>
      </c>
      <c r="E6" s="18" t="s">
        <v>2764</v>
      </c>
      <c r="F6" s="18" t="s">
        <v>912</v>
      </c>
      <c r="G6" s="18" t="s">
        <v>913</v>
      </c>
      <c r="H6" s="18" t="n">
        <v>29.7</v>
      </c>
      <c r="I6" s="18" t="n">
        <v>76.96</v>
      </c>
      <c r="J6" s="18" t="s">
        <v>83</v>
      </c>
      <c r="K6" s="18" t="n">
        <v>2013</v>
      </c>
      <c r="L6" s="18" t="s">
        <v>84</v>
      </c>
      <c r="M6" s="18" t="s">
        <v>85</v>
      </c>
      <c r="N6" s="18" t="s">
        <v>1673</v>
      </c>
      <c r="O6" s="18" t="s">
        <v>1674</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3514</v>
      </c>
      <c r="AS6" s="18" t="s">
        <v>1913</v>
      </c>
      <c r="AT6" s="18" t="s">
        <v>2766</v>
      </c>
      <c r="AU6" s="18" t="s">
        <v>1915</v>
      </c>
      <c r="AV6" s="18" t="s">
        <v>1994</v>
      </c>
      <c r="AW6" s="32" t="s">
        <v>3521</v>
      </c>
      <c r="AX6" s="18" t="s">
        <v>932</v>
      </c>
      <c r="AY6" s="18" t="s">
        <v>3520</v>
      </c>
    </row>
    <row r="7" customFormat="false" ht="15" hidden="false" customHeight="true" outlineLevel="0" collapsed="false">
      <c r="A7" s="24" t="s">
        <v>1034</v>
      </c>
      <c r="B7" s="24" t="s">
        <v>1034</v>
      </c>
      <c r="C7" s="24" t="s">
        <v>1035</v>
      </c>
      <c r="D7" s="24" t="n">
        <v>2022</v>
      </c>
      <c r="E7" s="24" t="s">
        <v>80</v>
      </c>
      <c r="F7" s="24" t="s">
        <v>912</v>
      </c>
      <c r="G7" s="24" t="s">
        <v>913</v>
      </c>
      <c r="H7" s="24" t="n">
        <v>29.706</v>
      </c>
      <c r="I7" s="24" t="n">
        <v>76.956</v>
      </c>
      <c r="J7" s="24" t="s">
        <v>83</v>
      </c>
      <c r="K7" s="24" t="n">
        <v>2019</v>
      </c>
      <c r="L7" s="24" t="s">
        <v>84</v>
      </c>
      <c r="M7" s="24" t="s">
        <v>85</v>
      </c>
      <c r="N7" s="24" t="s">
        <v>86</v>
      </c>
      <c r="O7" s="24" t="s">
        <v>1720</v>
      </c>
      <c r="P7" s="24" t="n">
        <f aca="false">ROUND(223.03/24,2)</f>
        <v>9.29</v>
      </c>
      <c r="Q7" s="24" t="n">
        <f aca="false">ROUND(115.43/24,2)</f>
        <v>4.81</v>
      </c>
      <c r="R7" s="24"/>
      <c r="S7" s="24"/>
      <c r="T7" s="24"/>
      <c r="U7" s="24"/>
      <c r="V7" s="24"/>
      <c r="W7" s="24"/>
      <c r="X7" s="24" t="n">
        <f aca="false">ROUND(86.16/24,2)</f>
        <v>3.59</v>
      </c>
      <c r="Y7" s="24"/>
      <c r="Z7" s="24"/>
      <c r="AA7" s="24"/>
      <c r="AB7" s="24" t="n">
        <v>2</v>
      </c>
      <c r="AC7" s="24" t="n">
        <v>3</v>
      </c>
      <c r="AD7" s="24" t="n">
        <f aca="false">IF(AND(N(AB7)&gt;0,N(AC7)&gt;0),SQRT(2*AB7/AC7),"")</f>
        <v>1.15470053837925</v>
      </c>
      <c r="AE7" s="24"/>
      <c r="AF7" s="24"/>
      <c r="AG7" s="24"/>
      <c r="AH7" s="24" t="n">
        <v>670</v>
      </c>
      <c r="AI7" s="24" t="n">
        <v>29.706</v>
      </c>
      <c r="AJ7" s="24" t="n">
        <v>10</v>
      </c>
      <c r="AK7" s="24"/>
      <c r="AL7" s="24"/>
      <c r="AM7" s="24"/>
      <c r="AN7" s="24"/>
      <c r="AO7" s="24"/>
      <c r="AP7" s="24"/>
      <c r="AQ7" s="24"/>
      <c r="AR7" s="24" t="s">
        <v>3514</v>
      </c>
      <c r="AS7" s="24" t="s">
        <v>1742</v>
      </c>
      <c r="AT7" s="24" t="s">
        <v>1743</v>
      </c>
      <c r="AU7" s="24" t="s">
        <v>1744</v>
      </c>
      <c r="AV7" s="24" t="s">
        <v>3106</v>
      </c>
      <c r="AW7" s="25" t="s">
        <v>3522</v>
      </c>
      <c r="AX7" s="24" t="s">
        <v>1046</v>
      </c>
      <c r="AY7" s="24" t="s">
        <v>3523</v>
      </c>
    </row>
    <row r="8" customFormat="false" ht="14.25" hidden="false" customHeight="false" outlineLevel="0" collapsed="false">
      <c r="A8" s="24" t="s">
        <v>1034</v>
      </c>
      <c r="B8" s="24" t="s">
        <v>1034</v>
      </c>
      <c r="C8" s="24" t="s">
        <v>1035</v>
      </c>
      <c r="D8" s="24" t="n">
        <v>2022</v>
      </c>
      <c r="E8" s="24" t="s">
        <v>80</v>
      </c>
      <c r="F8" s="24" t="s">
        <v>912</v>
      </c>
      <c r="G8" s="24" t="s">
        <v>913</v>
      </c>
      <c r="H8" s="24" t="n">
        <v>29.706</v>
      </c>
      <c r="I8" s="24" t="n">
        <v>76.956</v>
      </c>
      <c r="J8" s="24" t="s">
        <v>83</v>
      </c>
      <c r="K8" s="24" t="n">
        <v>2019</v>
      </c>
      <c r="L8" s="24" t="s">
        <v>84</v>
      </c>
      <c r="M8" s="24" t="s">
        <v>85</v>
      </c>
      <c r="N8" s="24" t="s">
        <v>86</v>
      </c>
      <c r="O8" s="24" t="s">
        <v>1747</v>
      </c>
      <c r="P8" s="24" t="n">
        <f aca="false">ROUND(66.57/24,2)</f>
        <v>2.77</v>
      </c>
      <c r="Q8" s="24" t="n">
        <f aca="false">ROUND(112.07/24,2)</f>
        <v>4.67</v>
      </c>
      <c r="R8" s="24"/>
      <c r="S8" s="24"/>
      <c r="T8" s="24"/>
      <c r="U8" s="24"/>
      <c r="V8" s="24"/>
      <c r="W8" s="24"/>
      <c r="X8" s="24" t="n">
        <f aca="false">ROUND(76.58/24,2)</f>
        <v>3.19</v>
      </c>
      <c r="Y8" s="24"/>
      <c r="Z8" s="24"/>
      <c r="AA8" s="24"/>
      <c r="AB8" s="24" t="n">
        <v>2</v>
      </c>
      <c r="AC8" s="24" t="n">
        <v>3</v>
      </c>
      <c r="AD8" s="24" t="n">
        <f aca="false">IF(AND(N(AB8)&gt;0,N(AC8)&gt;0),SQRT(2*AB8/AC8),"")</f>
        <v>1.15470053837925</v>
      </c>
      <c r="AE8" s="24"/>
      <c r="AF8" s="24"/>
      <c r="AG8" s="24"/>
      <c r="AH8" s="24" t="n">
        <v>670</v>
      </c>
      <c r="AI8" s="24" t="n">
        <v>29.706</v>
      </c>
      <c r="AJ8" s="24" t="n">
        <v>10</v>
      </c>
      <c r="AK8" s="24"/>
      <c r="AL8" s="24"/>
      <c r="AM8" s="24"/>
      <c r="AN8" s="24"/>
      <c r="AO8" s="24"/>
      <c r="AP8" s="24"/>
      <c r="AQ8" s="24"/>
      <c r="AR8" s="24" t="s">
        <v>3514</v>
      </c>
      <c r="AS8" s="24" t="s">
        <v>1742</v>
      </c>
      <c r="AT8" s="24" t="s">
        <v>1743</v>
      </c>
      <c r="AU8" s="24" t="s">
        <v>1744</v>
      </c>
      <c r="AV8" s="24" t="s">
        <v>3106</v>
      </c>
      <c r="AW8" s="25" t="s">
        <v>3524</v>
      </c>
      <c r="AX8" s="24" t="s">
        <v>1046</v>
      </c>
      <c r="AY8" s="24" t="s">
        <v>3523</v>
      </c>
    </row>
    <row r="9" customFormat="false" ht="14.25" hidden="false" customHeight="false" outlineLevel="0" collapsed="false">
      <c r="A9" s="24" t="s">
        <v>1034</v>
      </c>
      <c r="B9" s="24" t="s">
        <v>1034</v>
      </c>
      <c r="C9" s="24" t="s">
        <v>1035</v>
      </c>
      <c r="D9" s="24" t="n">
        <v>2022</v>
      </c>
      <c r="E9" s="24" t="s">
        <v>80</v>
      </c>
      <c r="F9" s="24" t="s">
        <v>912</v>
      </c>
      <c r="G9" s="24" t="s">
        <v>913</v>
      </c>
      <c r="H9" s="24" t="n">
        <v>29.706</v>
      </c>
      <c r="I9" s="24" t="n">
        <v>76.956</v>
      </c>
      <c r="J9" s="24" t="s">
        <v>83</v>
      </c>
      <c r="K9" s="24" t="n">
        <v>2019</v>
      </c>
      <c r="L9" s="24" t="s">
        <v>84</v>
      </c>
      <c r="M9" s="24" t="s">
        <v>85</v>
      </c>
      <c r="N9" s="24" t="s">
        <v>1673</v>
      </c>
      <c r="O9" s="24" t="s">
        <v>1674</v>
      </c>
      <c r="P9" s="24" t="n">
        <f aca="false">ROUND(45.21/24,2)</f>
        <v>1.88</v>
      </c>
      <c r="Q9" s="24" t="n">
        <f aca="false">ROUND(54.05/24,2)</f>
        <v>2.25</v>
      </c>
      <c r="R9" s="24"/>
      <c r="S9" s="24"/>
      <c r="T9" s="24"/>
      <c r="U9" s="24"/>
      <c r="V9" s="24"/>
      <c r="W9" s="24"/>
      <c r="X9" s="24" t="n">
        <f aca="false">ROUND(33.68/24,2)</f>
        <v>1.4</v>
      </c>
      <c r="Y9" s="24"/>
      <c r="Z9" s="24"/>
      <c r="AA9" s="24"/>
      <c r="AB9" s="24" t="n">
        <v>1</v>
      </c>
      <c r="AC9" s="24" t="n">
        <v>3</v>
      </c>
      <c r="AD9" s="24" t="n">
        <f aca="false">IF(AND(N(AB9)&gt;0,N(AC9)&gt;0),SQRT(2*AB9/AC9),"")</f>
        <v>0.816496580927726</v>
      </c>
      <c r="AE9" s="24"/>
      <c r="AF9" s="24"/>
      <c r="AG9" s="24"/>
      <c r="AH9" s="24" t="n">
        <v>670</v>
      </c>
      <c r="AI9" s="24" t="n">
        <v>29.706</v>
      </c>
      <c r="AJ9" s="24" t="n">
        <v>10</v>
      </c>
      <c r="AK9" s="24"/>
      <c r="AL9" s="24"/>
      <c r="AM9" s="24"/>
      <c r="AN9" s="24"/>
      <c r="AO9" s="24"/>
      <c r="AP9" s="24"/>
      <c r="AQ9" s="24"/>
      <c r="AR9" s="24" t="s">
        <v>3514</v>
      </c>
      <c r="AS9" s="24" t="s">
        <v>1742</v>
      </c>
      <c r="AT9" s="24" t="s">
        <v>1743</v>
      </c>
      <c r="AU9" s="24" t="s">
        <v>1744</v>
      </c>
      <c r="AV9" s="24" t="s">
        <v>3106</v>
      </c>
      <c r="AW9" s="25" t="s">
        <v>3525</v>
      </c>
      <c r="AX9" s="24" t="s">
        <v>1046</v>
      </c>
      <c r="AY9" s="24" t="s">
        <v>3523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3526</v>
      </c>
      <c r="Q1" s="27" t="s">
        <v>3527</v>
      </c>
      <c r="R1" s="27" t="s">
        <v>3528</v>
      </c>
      <c r="S1" s="27" t="s">
        <v>3529</v>
      </c>
      <c r="T1" s="27" t="s">
        <v>3530</v>
      </c>
      <c r="U1" s="27" t="s">
        <v>3531</v>
      </c>
      <c r="V1" s="27" t="s">
        <v>3532</v>
      </c>
      <c r="W1" s="27" t="s">
        <v>3533</v>
      </c>
      <c r="X1" s="30" t="s">
        <v>3534</v>
      </c>
      <c r="Y1" s="30" t="s">
        <v>3535</v>
      </c>
      <c r="Z1" s="30" t="s">
        <v>3536</v>
      </c>
      <c r="AA1" s="30" t="s">
        <v>3537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24" t="s">
        <v>1034</v>
      </c>
      <c r="B2" s="24" t="s">
        <v>1034</v>
      </c>
      <c r="C2" s="24" t="s">
        <v>1035</v>
      </c>
      <c r="D2" s="24" t="n">
        <v>2022</v>
      </c>
      <c r="E2" s="24" t="s">
        <v>80</v>
      </c>
      <c r="F2" s="24" t="s">
        <v>912</v>
      </c>
      <c r="G2" s="24" t="s">
        <v>913</v>
      </c>
      <c r="H2" s="24" t="n">
        <v>29.706</v>
      </c>
      <c r="I2" s="24" t="n">
        <v>76.956</v>
      </c>
      <c r="J2" s="24" t="s">
        <v>83</v>
      </c>
      <c r="K2" s="24" t="n">
        <v>2019</v>
      </c>
      <c r="L2" s="24" t="s">
        <v>84</v>
      </c>
      <c r="M2" s="24" t="s">
        <v>85</v>
      </c>
      <c r="N2" s="24" t="s">
        <v>86</v>
      </c>
      <c r="O2" s="24" t="s">
        <v>1720</v>
      </c>
      <c r="P2" s="24" t="n">
        <v>87.35</v>
      </c>
      <c r="Q2" s="24" t="n">
        <v>81.03</v>
      </c>
      <c r="R2" s="24"/>
      <c r="S2" s="24"/>
      <c r="T2" s="24"/>
      <c r="U2" s="24"/>
      <c r="V2" s="24"/>
      <c r="W2" s="24"/>
      <c r="X2" s="24" t="n">
        <v>85.18</v>
      </c>
      <c r="Y2" s="24"/>
      <c r="Z2" s="24"/>
      <c r="AA2" s="24"/>
      <c r="AB2" s="24" t="n">
        <v>2</v>
      </c>
      <c r="AC2" s="24" t="n">
        <v>3</v>
      </c>
      <c r="AD2" s="24" t="n">
        <f aca="false">IF(AND(N(AB2)&gt;0,N(AC2)&gt;0),SQRT(2*AB2/AC2),"")</f>
        <v>1.15470053837925</v>
      </c>
      <c r="AE2" s="24"/>
      <c r="AF2" s="24"/>
      <c r="AG2" s="24"/>
      <c r="AH2" s="24" t="n">
        <v>670</v>
      </c>
      <c r="AI2" s="24" t="n">
        <v>29.706</v>
      </c>
      <c r="AJ2" s="24" t="n">
        <v>10</v>
      </c>
      <c r="AK2" s="24"/>
      <c r="AL2" s="24"/>
      <c r="AM2" s="24"/>
      <c r="AN2" s="24"/>
      <c r="AO2" s="24"/>
      <c r="AP2" s="24"/>
      <c r="AQ2" s="24"/>
      <c r="AR2" s="24" t="s">
        <v>1240</v>
      </c>
      <c r="AS2" s="24" t="s">
        <v>1742</v>
      </c>
      <c r="AT2" s="24" t="s">
        <v>1743</v>
      </c>
      <c r="AU2" s="24" t="s">
        <v>1744</v>
      </c>
      <c r="AV2" s="24" t="s">
        <v>1670</v>
      </c>
      <c r="AW2" s="25" t="s">
        <v>3538</v>
      </c>
      <c r="AX2" s="24" t="s">
        <v>1046</v>
      </c>
      <c r="AY2" s="24" t="s">
        <v>3539</v>
      </c>
      <c r="BA2" s="33" t="s">
        <v>1240</v>
      </c>
    </row>
    <row r="3" customFormat="false" ht="14.25" hidden="false" customHeight="false" outlineLevel="0" collapsed="false">
      <c r="A3" s="24" t="s">
        <v>1034</v>
      </c>
      <c r="B3" s="24" t="s">
        <v>1034</v>
      </c>
      <c r="C3" s="24" t="s">
        <v>1035</v>
      </c>
      <c r="D3" s="24" t="n">
        <v>2022</v>
      </c>
      <c r="E3" s="24" t="s">
        <v>80</v>
      </c>
      <c r="F3" s="24" t="s">
        <v>912</v>
      </c>
      <c r="G3" s="24" t="s">
        <v>913</v>
      </c>
      <c r="H3" s="24" t="n">
        <v>29.706</v>
      </c>
      <c r="I3" s="24" t="n">
        <v>76.956</v>
      </c>
      <c r="J3" s="24" t="s">
        <v>83</v>
      </c>
      <c r="K3" s="24" t="n">
        <v>2019</v>
      </c>
      <c r="L3" s="24" t="s">
        <v>84</v>
      </c>
      <c r="M3" s="24" t="s">
        <v>85</v>
      </c>
      <c r="N3" s="24" t="s">
        <v>86</v>
      </c>
      <c r="O3" s="24" t="s">
        <v>1747</v>
      </c>
      <c r="P3" s="24" t="n">
        <v>67.19</v>
      </c>
      <c r="Q3" s="24" t="n">
        <v>46.84</v>
      </c>
      <c r="R3" s="24"/>
      <c r="S3" s="24"/>
      <c r="T3" s="24"/>
      <c r="U3" s="24"/>
      <c r="V3" s="24"/>
      <c r="W3" s="24"/>
      <c r="X3" s="24" t="n">
        <v>94.27</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1240</v>
      </c>
      <c r="AS3" s="24" t="s">
        <v>1742</v>
      </c>
      <c r="AT3" s="24" t="s">
        <v>1743</v>
      </c>
      <c r="AU3" s="24" t="s">
        <v>1744</v>
      </c>
      <c r="AV3" s="24" t="s">
        <v>1670</v>
      </c>
      <c r="AW3" s="25" t="s">
        <v>3540</v>
      </c>
      <c r="AX3" s="24" t="s">
        <v>1046</v>
      </c>
      <c r="AY3" s="24" t="s">
        <v>3539</v>
      </c>
    </row>
    <row r="4" customFormat="false" ht="14.25" hidden="false" customHeight="false" outlineLevel="0" collapsed="false">
      <c r="A4" s="24" t="s">
        <v>1034</v>
      </c>
      <c r="B4" s="24" t="s">
        <v>1034</v>
      </c>
      <c r="C4" s="24" t="s">
        <v>1035</v>
      </c>
      <c r="D4" s="24" t="n">
        <v>2022</v>
      </c>
      <c r="E4" s="24" t="s">
        <v>80</v>
      </c>
      <c r="F4" s="24" t="s">
        <v>912</v>
      </c>
      <c r="G4" s="24" t="s">
        <v>913</v>
      </c>
      <c r="H4" s="24" t="n">
        <v>29.706</v>
      </c>
      <c r="I4" s="24" t="n">
        <v>76.956</v>
      </c>
      <c r="J4" s="24" t="s">
        <v>83</v>
      </c>
      <c r="K4" s="24" t="n">
        <v>2019</v>
      </c>
      <c r="L4" s="24" t="s">
        <v>84</v>
      </c>
      <c r="M4" s="24" t="s">
        <v>85</v>
      </c>
      <c r="N4" s="24" t="s">
        <v>1673</v>
      </c>
      <c r="O4" s="24" t="s">
        <v>1674</v>
      </c>
      <c r="P4" s="24" t="n">
        <v>15.22</v>
      </c>
      <c r="Q4" s="24" t="n">
        <v>23.12</v>
      </c>
      <c r="R4" s="24"/>
      <c r="S4" s="24"/>
      <c r="T4" s="24"/>
      <c r="U4" s="24"/>
      <c r="V4" s="24"/>
      <c r="W4" s="24"/>
      <c r="X4" s="24" t="n">
        <v>38.34</v>
      </c>
      <c r="Y4" s="24"/>
      <c r="Z4" s="24"/>
      <c r="AA4" s="24"/>
      <c r="AB4" s="24" t="n">
        <v>1</v>
      </c>
      <c r="AC4" s="24" t="n">
        <v>3</v>
      </c>
      <c r="AD4" s="24" t="n">
        <f aca="false">IF(AND(N(AB4)&gt;0,N(AC4)&gt;0),SQRT(2*AB4/AC4),"")</f>
        <v>0.816496580927726</v>
      </c>
      <c r="AE4" s="24"/>
      <c r="AF4" s="24"/>
      <c r="AG4" s="24"/>
      <c r="AH4" s="24" t="n">
        <v>670</v>
      </c>
      <c r="AI4" s="24" t="n">
        <v>29.706</v>
      </c>
      <c r="AJ4" s="24" t="n">
        <v>10</v>
      </c>
      <c r="AK4" s="24"/>
      <c r="AL4" s="24"/>
      <c r="AM4" s="24"/>
      <c r="AN4" s="24"/>
      <c r="AO4" s="24"/>
      <c r="AP4" s="24"/>
      <c r="AQ4" s="24"/>
      <c r="AR4" s="24" t="s">
        <v>1240</v>
      </c>
      <c r="AS4" s="24" t="s">
        <v>1742</v>
      </c>
      <c r="AT4" s="24" t="s">
        <v>1743</v>
      </c>
      <c r="AU4" s="24" t="s">
        <v>1744</v>
      </c>
      <c r="AV4" s="24" t="s">
        <v>1670</v>
      </c>
      <c r="AW4" s="25" t="s">
        <v>3541</v>
      </c>
      <c r="AX4" s="24" t="s">
        <v>1046</v>
      </c>
      <c r="AY4" s="24" t="s">
        <v>3539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3542</v>
      </c>
      <c r="Q1" s="27" t="s">
        <v>3543</v>
      </c>
      <c r="R1" s="27" t="s">
        <v>3544</v>
      </c>
      <c r="S1" s="27" t="s">
        <v>3545</v>
      </c>
      <c r="T1" s="27" t="s">
        <v>3546</v>
      </c>
      <c r="U1" s="27" t="s">
        <v>3547</v>
      </c>
      <c r="V1" s="27" t="s">
        <v>3548</v>
      </c>
      <c r="W1" s="27" t="s">
        <v>3549</v>
      </c>
      <c r="X1" s="30" t="s">
        <v>3550</v>
      </c>
      <c r="Y1" s="30" t="s">
        <v>3551</v>
      </c>
      <c r="Z1" s="30" t="s">
        <v>3552</v>
      </c>
      <c r="AA1" s="30" t="s">
        <v>3553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1893</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1240</v>
      </c>
      <c r="AS2" s="18" t="s">
        <v>3510</v>
      </c>
      <c r="AT2" s="18" t="s">
        <v>1668</v>
      </c>
      <c r="AU2" s="18" t="s">
        <v>1669</v>
      </c>
      <c r="AV2" s="18" t="s">
        <v>1902</v>
      </c>
      <c r="AW2" s="32" t="s">
        <v>3554</v>
      </c>
      <c r="AX2" s="18" t="s">
        <v>898</v>
      </c>
      <c r="AY2" s="18" t="s">
        <v>3555</v>
      </c>
      <c r="BA2" s="33" t="s">
        <v>1242</v>
      </c>
    </row>
    <row r="3" customFormat="false" ht="14.25" hidden="false" customHeight="false" outlineLevel="0" collapsed="false">
      <c r="A3" s="24" t="s">
        <v>1034</v>
      </c>
      <c r="B3" s="24" t="s">
        <v>1034</v>
      </c>
      <c r="C3" s="24" t="s">
        <v>1035</v>
      </c>
      <c r="D3" s="24" t="n">
        <v>2022</v>
      </c>
      <c r="E3" s="24" t="s">
        <v>80</v>
      </c>
      <c r="F3" s="24" t="s">
        <v>912</v>
      </c>
      <c r="G3" s="24" t="s">
        <v>913</v>
      </c>
      <c r="H3" s="24" t="n">
        <v>29.706</v>
      </c>
      <c r="I3" s="24" t="n">
        <v>76.956</v>
      </c>
      <c r="J3" s="24" t="s">
        <v>83</v>
      </c>
      <c r="K3" s="24" t="n">
        <v>2019</v>
      </c>
      <c r="L3" s="24" t="s">
        <v>84</v>
      </c>
      <c r="M3" s="24" t="s">
        <v>85</v>
      </c>
      <c r="N3" s="24" t="s">
        <v>86</v>
      </c>
      <c r="O3" s="24" t="s">
        <v>1720</v>
      </c>
      <c r="P3" s="24" t="n">
        <v>65.13</v>
      </c>
      <c r="Q3" s="24" t="n">
        <v>74.08</v>
      </c>
      <c r="R3" s="24"/>
      <c r="S3" s="24"/>
      <c r="T3" s="24"/>
      <c r="U3" s="24"/>
      <c r="V3" s="24"/>
      <c r="W3" s="24"/>
      <c r="X3" s="24" t="n">
        <v>85.77</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1240</v>
      </c>
      <c r="AS3" s="24" t="s">
        <v>1742</v>
      </c>
      <c r="AT3" s="24" t="s">
        <v>1743</v>
      </c>
      <c r="AU3" s="24" t="s">
        <v>1744</v>
      </c>
      <c r="AV3" s="24" t="s">
        <v>1670</v>
      </c>
      <c r="AW3" s="25" t="s">
        <v>3556</v>
      </c>
      <c r="AX3" s="24" t="s">
        <v>1046</v>
      </c>
      <c r="AY3" s="24" t="s">
        <v>3557</v>
      </c>
    </row>
    <row r="4" customFormat="false" ht="14.25" hidden="false" customHeight="false" outlineLevel="0" collapsed="false">
      <c r="A4" s="24" t="s">
        <v>1034</v>
      </c>
      <c r="B4" s="24" t="s">
        <v>1034</v>
      </c>
      <c r="C4" s="24" t="s">
        <v>1035</v>
      </c>
      <c r="D4" s="24" t="n">
        <v>2022</v>
      </c>
      <c r="E4" s="24" t="s">
        <v>80</v>
      </c>
      <c r="F4" s="24" t="s">
        <v>912</v>
      </c>
      <c r="G4" s="24" t="s">
        <v>913</v>
      </c>
      <c r="H4" s="24" t="n">
        <v>29.706</v>
      </c>
      <c r="I4" s="24" t="n">
        <v>76.956</v>
      </c>
      <c r="J4" s="24" t="s">
        <v>83</v>
      </c>
      <c r="K4" s="24" t="n">
        <v>2019</v>
      </c>
      <c r="L4" s="24" t="s">
        <v>84</v>
      </c>
      <c r="M4" s="24" t="s">
        <v>85</v>
      </c>
      <c r="N4" s="24" t="s">
        <v>86</v>
      </c>
      <c r="O4" s="24" t="s">
        <v>1747</v>
      </c>
      <c r="P4" s="24" t="n">
        <v>56.32</v>
      </c>
      <c r="Q4" s="24" t="n">
        <v>63.37</v>
      </c>
      <c r="R4" s="24"/>
      <c r="S4" s="24"/>
      <c r="T4" s="24"/>
      <c r="U4" s="24"/>
      <c r="V4" s="24"/>
      <c r="W4" s="24"/>
      <c r="X4" s="24" t="n">
        <v>81.31</v>
      </c>
      <c r="Y4" s="24"/>
      <c r="Z4" s="24"/>
      <c r="AA4" s="24"/>
      <c r="AB4" s="24" t="n">
        <v>2</v>
      </c>
      <c r="AC4" s="24" t="n">
        <v>3</v>
      </c>
      <c r="AD4" s="24" t="n">
        <f aca="false">IF(AND(N(AB4)&gt;0,N(AC4)&gt;0),SQRT(2*AB4/AC4),"")</f>
        <v>1.15470053837925</v>
      </c>
      <c r="AE4" s="24"/>
      <c r="AF4" s="24"/>
      <c r="AG4" s="24"/>
      <c r="AH4" s="24" t="n">
        <v>670</v>
      </c>
      <c r="AI4" s="24" t="n">
        <v>29.706</v>
      </c>
      <c r="AJ4" s="24" t="n">
        <v>10</v>
      </c>
      <c r="AK4" s="24"/>
      <c r="AL4" s="24"/>
      <c r="AM4" s="24"/>
      <c r="AN4" s="24"/>
      <c r="AO4" s="24"/>
      <c r="AP4" s="24"/>
      <c r="AQ4" s="24"/>
      <c r="AR4" s="24" t="s">
        <v>1240</v>
      </c>
      <c r="AS4" s="24" t="s">
        <v>1742</v>
      </c>
      <c r="AT4" s="24" t="s">
        <v>1743</v>
      </c>
      <c r="AU4" s="24" t="s">
        <v>1744</v>
      </c>
      <c r="AV4" s="24" t="s">
        <v>1670</v>
      </c>
      <c r="AW4" s="25" t="s">
        <v>3558</v>
      </c>
      <c r="AX4" s="24" t="s">
        <v>1046</v>
      </c>
      <c r="AY4" s="24" t="s">
        <v>3557</v>
      </c>
    </row>
    <row r="5" customFormat="false" ht="14.25" hidden="false" customHeight="false" outlineLevel="0" collapsed="false">
      <c r="A5" s="24" t="s">
        <v>1034</v>
      </c>
      <c r="B5" s="24" t="s">
        <v>1034</v>
      </c>
      <c r="C5" s="24" t="s">
        <v>1035</v>
      </c>
      <c r="D5" s="24" t="n">
        <v>2022</v>
      </c>
      <c r="E5" s="24" t="s">
        <v>80</v>
      </c>
      <c r="F5" s="24" t="s">
        <v>912</v>
      </c>
      <c r="G5" s="24" t="s">
        <v>913</v>
      </c>
      <c r="H5" s="24" t="n">
        <v>29.706</v>
      </c>
      <c r="I5" s="24" t="n">
        <v>76.956</v>
      </c>
      <c r="J5" s="24" t="s">
        <v>83</v>
      </c>
      <c r="K5" s="24" t="n">
        <v>2019</v>
      </c>
      <c r="L5" s="24" t="s">
        <v>84</v>
      </c>
      <c r="M5" s="24" t="s">
        <v>85</v>
      </c>
      <c r="N5" s="24" t="s">
        <v>1673</v>
      </c>
      <c r="O5" s="24" t="s">
        <v>1674</v>
      </c>
      <c r="P5" s="24" t="n">
        <v>75.03</v>
      </c>
      <c r="Q5" s="24" t="n">
        <v>43.26</v>
      </c>
      <c r="R5" s="24"/>
      <c r="S5" s="24"/>
      <c r="T5" s="24"/>
      <c r="U5" s="24"/>
      <c r="V5" s="24"/>
      <c r="W5" s="24"/>
      <c r="X5" s="24" t="n">
        <v>68.78</v>
      </c>
      <c r="Y5" s="24"/>
      <c r="Z5" s="24"/>
      <c r="AA5" s="24"/>
      <c r="AB5" s="24" t="n">
        <v>1</v>
      </c>
      <c r="AC5" s="24" t="n">
        <v>3</v>
      </c>
      <c r="AD5" s="24" t="n">
        <f aca="false">IF(AND(N(AB5)&gt;0,N(AC5)&gt;0),SQRT(2*AB5/AC5),"")</f>
        <v>0.816496580927726</v>
      </c>
      <c r="AE5" s="24"/>
      <c r="AF5" s="24"/>
      <c r="AG5" s="24"/>
      <c r="AH5" s="24" t="n">
        <v>670</v>
      </c>
      <c r="AI5" s="24" t="n">
        <v>29.706</v>
      </c>
      <c r="AJ5" s="24" t="n">
        <v>10</v>
      </c>
      <c r="AK5" s="24"/>
      <c r="AL5" s="24"/>
      <c r="AM5" s="24"/>
      <c r="AN5" s="24"/>
      <c r="AO5" s="24"/>
      <c r="AP5" s="24"/>
      <c r="AQ5" s="24"/>
      <c r="AR5" s="24" t="s">
        <v>1240</v>
      </c>
      <c r="AS5" s="24" t="s">
        <v>1742</v>
      </c>
      <c r="AT5" s="24" t="s">
        <v>1743</v>
      </c>
      <c r="AU5" s="24" t="s">
        <v>1744</v>
      </c>
      <c r="AV5" s="24" t="s">
        <v>1670</v>
      </c>
      <c r="AW5" s="25" t="s">
        <v>3559</v>
      </c>
      <c r="AX5" s="24" t="s">
        <v>1046</v>
      </c>
      <c r="AY5" s="24" t="s">
        <v>3557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3560</v>
      </c>
      <c r="Q1" s="27" t="s">
        <v>3561</v>
      </c>
      <c r="R1" s="27" t="s">
        <v>3562</v>
      </c>
      <c r="S1" s="27" t="s">
        <v>3563</v>
      </c>
      <c r="T1" s="27" t="s">
        <v>3564</v>
      </c>
      <c r="U1" s="27" t="s">
        <v>3565</v>
      </c>
      <c r="V1" s="27" t="s">
        <v>3566</v>
      </c>
      <c r="W1" s="27" t="s">
        <v>3567</v>
      </c>
      <c r="X1" s="30" t="s">
        <v>3568</v>
      </c>
      <c r="Y1" s="30" t="s">
        <v>3569</v>
      </c>
      <c r="Z1" s="30" t="s">
        <v>3570</v>
      </c>
      <c r="AA1" s="30" t="s">
        <v>3571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1893</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1240</v>
      </c>
      <c r="AS2" s="18" t="s">
        <v>3510</v>
      </c>
      <c r="AT2" s="18" t="s">
        <v>1668</v>
      </c>
      <c r="AU2" s="18" t="s">
        <v>1669</v>
      </c>
      <c r="AV2" s="18" t="s">
        <v>1898</v>
      </c>
      <c r="AW2" s="32" t="s">
        <v>3572</v>
      </c>
      <c r="AX2" s="18" t="s">
        <v>898</v>
      </c>
      <c r="AY2" s="18" t="s">
        <v>3573</v>
      </c>
      <c r="BA2" s="36" t="s">
        <v>1245</v>
      </c>
    </row>
    <row r="3" customFormat="false" ht="15" hidden="false" customHeight="true" outlineLevel="0" collapsed="false">
      <c r="A3" s="18" t="s">
        <v>925</v>
      </c>
      <c r="B3" s="18" t="s">
        <v>925</v>
      </c>
      <c r="C3" s="18" t="s">
        <v>926</v>
      </c>
      <c r="D3" s="18" t="n">
        <v>2019</v>
      </c>
      <c r="E3" s="18" t="s">
        <v>2764</v>
      </c>
      <c r="F3" s="18" t="s">
        <v>912</v>
      </c>
      <c r="G3" s="18" t="s">
        <v>913</v>
      </c>
      <c r="H3" s="18" t="n">
        <v>29.7</v>
      </c>
      <c r="I3" s="18" t="n">
        <v>76.96</v>
      </c>
      <c r="J3" s="18" t="s">
        <v>83</v>
      </c>
      <c r="K3" s="18" t="n">
        <v>2013</v>
      </c>
      <c r="L3" s="18" t="s">
        <v>84</v>
      </c>
      <c r="M3" s="18" t="s">
        <v>85</v>
      </c>
      <c r="N3" s="18" t="s">
        <v>86</v>
      </c>
      <c r="O3" s="18" t="s">
        <v>1666</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1240</v>
      </c>
      <c r="AS3" s="18" t="s">
        <v>1913</v>
      </c>
      <c r="AT3" s="18" t="s">
        <v>2766</v>
      </c>
      <c r="AU3" s="18" t="s">
        <v>1915</v>
      </c>
      <c r="AV3" s="18" t="s">
        <v>91</v>
      </c>
      <c r="AW3" s="32" t="s">
        <v>3451</v>
      </c>
      <c r="AX3" s="18" t="s">
        <v>932</v>
      </c>
      <c r="AY3" s="18" t="s">
        <v>3574</v>
      </c>
    </row>
    <row r="4" customFormat="false" ht="15" hidden="false" customHeight="true" outlineLevel="0" collapsed="false">
      <c r="A4" s="18" t="s">
        <v>925</v>
      </c>
      <c r="B4" s="18" t="s">
        <v>925</v>
      </c>
      <c r="C4" s="18" t="s">
        <v>926</v>
      </c>
      <c r="D4" s="18" t="n">
        <v>2019</v>
      </c>
      <c r="E4" s="18" t="s">
        <v>2764</v>
      </c>
      <c r="F4" s="18" t="s">
        <v>912</v>
      </c>
      <c r="G4" s="18" t="s">
        <v>913</v>
      </c>
      <c r="H4" s="18" t="n">
        <v>29.7</v>
      </c>
      <c r="I4" s="18" t="n">
        <v>76.96</v>
      </c>
      <c r="J4" s="18" t="s">
        <v>83</v>
      </c>
      <c r="K4" s="18" t="n">
        <v>2013</v>
      </c>
      <c r="L4" s="18" t="s">
        <v>84</v>
      </c>
      <c r="M4" s="18" t="s">
        <v>85</v>
      </c>
      <c r="N4" s="18" t="s">
        <v>1673</v>
      </c>
      <c r="O4" s="18" t="s">
        <v>1674</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1240</v>
      </c>
      <c r="AS4" s="18" t="s">
        <v>1913</v>
      </c>
      <c r="AT4" s="18" t="s">
        <v>2766</v>
      </c>
      <c r="AU4" s="18" t="s">
        <v>1915</v>
      </c>
      <c r="AV4" s="18" t="s">
        <v>91</v>
      </c>
      <c r="AW4" s="32" t="s">
        <v>3451</v>
      </c>
      <c r="AX4" s="18" t="s">
        <v>932</v>
      </c>
      <c r="AY4" s="18" t="s">
        <v>3574</v>
      </c>
    </row>
    <row r="5" customFormat="false" ht="15" hidden="false" customHeight="true" outlineLevel="0" collapsed="false">
      <c r="A5" s="24" t="s">
        <v>1034</v>
      </c>
      <c r="B5" s="24" t="s">
        <v>1034</v>
      </c>
      <c r="C5" s="24" t="s">
        <v>1035</v>
      </c>
      <c r="D5" s="24" t="n">
        <v>2022</v>
      </c>
      <c r="E5" s="24" t="s">
        <v>80</v>
      </c>
      <c r="F5" s="24" t="s">
        <v>912</v>
      </c>
      <c r="G5" s="24" t="s">
        <v>913</v>
      </c>
      <c r="H5" s="24" t="n">
        <v>29.706</v>
      </c>
      <c r="I5" s="24" t="n">
        <v>76.956</v>
      </c>
      <c r="J5" s="24" t="s">
        <v>83</v>
      </c>
      <c r="K5" s="24" t="n">
        <v>2019</v>
      </c>
      <c r="L5" s="24" t="s">
        <v>84</v>
      </c>
      <c r="M5" s="24" t="s">
        <v>85</v>
      </c>
      <c r="N5" s="24" t="s">
        <v>86</v>
      </c>
      <c r="O5" s="24" t="s">
        <v>1720</v>
      </c>
      <c r="P5" s="24" t="n">
        <v>39.6</v>
      </c>
      <c r="Q5" s="24" t="n">
        <v>68.52</v>
      </c>
      <c r="R5" s="24"/>
      <c r="S5" s="24"/>
      <c r="T5" s="24"/>
      <c r="U5" s="24"/>
      <c r="V5" s="24"/>
      <c r="W5" s="24"/>
      <c r="X5" s="24" t="n">
        <v>80.06</v>
      </c>
      <c r="Y5" s="24"/>
      <c r="Z5" s="24"/>
      <c r="AA5" s="24"/>
      <c r="AB5" s="24" t="n">
        <v>2</v>
      </c>
      <c r="AC5" s="24" t="n">
        <v>3</v>
      </c>
      <c r="AD5" s="24" t="n">
        <f aca="false">IF(AND(N(AB5)&gt;0,N(AC5)&gt;0),SQRT(2*AB5/AC5),"")</f>
        <v>1.15470053837925</v>
      </c>
      <c r="AE5" s="24"/>
      <c r="AF5" s="24"/>
      <c r="AG5" s="24"/>
      <c r="AH5" s="24" t="n">
        <v>670</v>
      </c>
      <c r="AI5" s="24" t="n">
        <v>29.706</v>
      </c>
      <c r="AJ5" s="24" t="n">
        <v>10</v>
      </c>
      <c r="AK5" s="24"/>
      <c r="AL5" s="24"/>
      <c r="AM5" s="24"/>
      <c r="AN5" s="24"/>
      <c r="AO5" s="24"/>
      <c r="AP5" s="24"/>
      <c r="AQ5" s="24"/>
      <c r="AR5" s="24" t="s">
        <v>1240</v>
      </c>
      <c r="AS5" s="24" t="s">
        <v>1742</v>
      </c>
      <c r="AT5" s="24" t="s">
        <v>1743</v>
      </c>
      <c r="AU5" s="24" t="s">
        <v>1744</v>
      </c>
      <c r="AV5" s="24" t="s">
        <v>1670</v>
      </c>
      <c r="AW5" s="25" t="s">
        <v>3575</v>
      </c>
      <c r="AX5" s="24" t="s">
        <v>1046</v>
      </c>
      <c r="AY5" s="24" t="s">
        <v>3557</v>
      </c>
    </row>
    <row r="6" customFormat="false" ht="15" hidden="false" customHeight="true" outlineLevel="0" collapsed="false">
      <c r="A6" s="24" t="s">
        <v>1034</v>
      </c>
      <c r="B6" s="24" t="s">
        <v>1034</v>
      </c>
      <c r="C6" s="24" t="s">
        <v>1035</v>
      </c>
      <c r="D6" s="24" t="n">
        <v>2022</v>
      </c>
      <c r="E6" s="24" t="s">
        <v>80</v>
      </c>
      <c r="F6" s="24" t="s">
        <v>912</v>
      </c>
      <c r="G6" s="24" t="s">
        <v>913</v>
      </c>
      <c r="H6" s="24" t="n">
        <v>29.706</v>
      </c>
      <c r="I6" s="24" t="n">
        <v>76.956</v>
      </c>
      <c r="J6" s="24" t="s">
        <v>83</v>
      </c>
      <c r="K6" s="24" t="n">
        <v>2019</v>
      </c>
      <c r="L6" s="24" t="s">
        <v>84</v>
      </c>
      <c r="M6" s="24" t="s">
        <v>85</v>
      </c>
      <c r="N6" s="24" t="s">
        <v>86</v>
      </c>
      <c r="O6" s="24" t="s">
        <v>1747</v>
      </c>
      <c r="P6" s="24" t="n">
        <v>48.6</v>
      </c>
      <c r="Q6" s="24" t="n">
        <v>83.2</v>
      </c>
      <c r="R6" s="24"/>
      <c r="S6" s="24"/>
      <c r="T6" s="24"/>
      <c r="U6" s="24"/>
      <c r="V6" s="24"/>
      <c r="W6" s="24"/>
      <c r="X6" s="24" t="n">
        <v>41.25</v>
      </c>
      <c r="Y6" s="24"/>
      <c r="Z6" s="24"/>
      <c r="AA6" s="24"/>
      <c r="AB6" s="24" t="n">
        <v>2</v>
      </c>
      <c r="AC6" s="24" t="n">
        <v>3</v>
      </c>
      <c r="AD6" s="24" t="n">
        <f aca="false">IF(AND(N(AB6)&gt;0,N(AC6)&gt;0),SQRT(2*AB6/AC6),"")</f>
        <v>1.15470053837925</v>
      </c>
      <c r="AE6" s="24"/>
      <c r="AF6" s="24"/>
      <c r="AG6" s="24"/>
      <c r="AH6" s="24" t="n">
        <v>670</v>
      </c>
      <c r="AI6" s="24" t="n">
        <v>29.706</v>
      </c>
      <c r="AJ6" s="24" t="n">
        <v>10</v>
      </c>
      <c r="AK6" s="24"/>
      <c r="AL6" s="24"/>
      <c r="AM6" s="24"/>
      <c r="AN6" s="24"/>
      <c r="AO6" s="24"/>
      <c r="AP6" s="24"/>
      <c r="AQ6" s="24"/>
      <c r="AR6" s="24" t="s">
        <v>1240</v>
      </c>
      <c r="AS6" s="24" t="s">
        <v>1742</v>
      </c>
      <c r="AT6" s="24" t="s">
        <v>1743</v>
      </c>
      <c r="AU6" s="24" t="s">
        <v>1744</v>
      </c>
      <c r="AV6" s="24" t="s">
        <v>1670</v>
      </c>
      <c r="AW6" s="25" t="s">
        <v>3576</v>
      </c>
      <c r="AX6" s="24" t="s">
        <v>1046</v>
      </c>
      <c r="AY6" s="24" t="s">
        <v>3557</v>
      </c>
    </row>
    <row r="7" customFormat="false" ht="14.25" hidden="false" customHeight="false" outlineLevel="0" collapsed="false">
      <c r="A7" s="24" t="s">
        <v>1034</v>
      </c>
      <c r="B7" s="24" t="s">
        <v>1034</v>
      </c>
      <c r="C7" s="24" t="s">
        <v>1035</v>
      </c>
      <c r="D7" s="24" t="n">
        <v>2022</v>
      </c>
      <c r="E7" s="24" t="s">
        <v>80</v>
      </c>
      <c r="F7" s="24" t="s">
        <v>912</v>
      </c>
      <c r="G7" s="24" t="s">
        <v>913</v>
      </c>
      <c r="H7" s="24" t="n">
        <v>29.706</v>
      </c>
      <c r="I7" s="24" t="n">
        <v>76.956</v>
      </c>
      <c r="J7" s="24" t="s">
        <v>83</v>
      </c>
      <c r="K7" s="24" t="n">
        <v>2019</v>
      </c>
      <c r="L7" s="24" t="s">
        <v>84</v>
      </c>
      <c r="M7" s="24" t="s">
        <v>85</v>
      </c>
      <c r="N7" s="24" t="s">
        <v>1673</v>
      </c>
      <c r="O7" s="24" t="s">
        <v>1674</v>
      </c>
      <c r="P7" s="24" t="n">
        <v>46.14</v>
      </c>
      <c r="Q7" s="24" t="n">
        <v>53.04</v>
      </c>
      <c r="R7" s="24"/>
      <c r="S7" s="24"/>
      <c r="T7" s="24"/>
      <c r="U7" s="24"/>
      <c r="V7" s="24"/>
      <c r="W7" s="24"/>
      <c r="X7" s="24" t="n">
        <v>64.2</v>
      </c>
      <c r="Y7" s="24"/>
      <c r="Z7" s="24"/>
      <c r="AA7" s="24"/>
      <c r="AB7" s="24" t="n">
        <v>1</v>
      </c>
      <c r="AC7" s="24" t="n">
        <v>3</v>
      </c>
      <c r="AD7" s="24" t="n">
        <f aca="false">IF(AND(N(AB7)&gt;0,N(AC7)&gt;0),SQRT(2*AB7/AC7),"")</f>
        <v>0.816496580927726</v>
      </c>
      <c r="AE7" s="24"/>
      <c r="AF7" s="24"/>
      <c r="AG7" s="24"/>
      <c r="AH7" s="24" t="n">
        <v>670</v>
      </c>
      <c r="AI7" s="24" t="n">
        <v>29.706</v>
      </c>
      <c r="AJ7" s="24" t="n">
        <v>10</v>
      </c>
      <c r="AK7" s="24"/>
      <c r="AL7" s="24"/>
      <c r="AM7" s="24"/>
      <c r="AN7" s="24"/>
      <c r="AO7" s="24"/>
      <c r="AP7" s="24"/>
      <c r="AQ7" s="24"/>
      <c r="AR7" s="24" t="s">
        <v>1240</v>
      </c>
      <c r="AS7" s="24" t="s">
        <v>1742</v>
      </c>
      <c r="AT7" s="24" t="s">
        <v>1743</v>
      </c>
      <c r="AU7" s="24" t="s">
        <v>1744</v>
      </c>
      <c r="AV7" s="24" t="s">
        <v>1670</v>
      </c>
      <c r="AW7" s="25" t="s">
        <v>3577</v>
      </c>
      <c r="AX7" s="24" t="s">
        <v>1046</v>
      </c>
      <c r="AY7" s="24" t="s">
        <v>3557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3578</v>
      </c>
      <c r="Q1" s="27" t="s">
        <v>3579</v>
      </c>
      <c r="R1" s="27" t="s">
        <v>3580</v>
      </c>
      <c r="S1" s="27" t="s">
        <v>3581</v>
      </c>
      <c r="T1" s="27" t="s">
        <v>3582</v>
      </c>
      <c r="U1" s="27" t="s">
        <v>3583</v>
      </c>
      <c r="V1" s="27" t="s">
        <v>3584</v>
      </c>
      <c r="W1" s="27" t="s">
        <v>3585</v>
      </c>
      <c r="X1" s="30" t="s">
        <v>3586</v>
      </c>
      <c r="Y1" s="30" t="s">
        <v>3587</v>
      </c>
      <c r="Z1" s="30" t="s">
        <v>3588</v>
      </c>
      <c r="AA1" s="30" t="s">
        <v>3589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1" t="s">
        <v>1248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3590</v>
      </c>
      <c r="Q1" s="27" t="s">
        <v>3591</v>
      </c>
      <c r="R1" s="27" t="s">
        <v>3592</v>
      </c>
      <c r="S1" s="27" t="s">
        <v>3593</v>
      </c>
      <c r="T1" s="27" t="s">
        <v>3594</v>
      </c>
      <c r="U1" s="27" t="s">
        <v>3595</v>
      </c>
      <c r="V1" s="27" t="s">
        <v>3596</v>
      </c>
      <c r="W1" s="27" t="s">
        <v>3597</v>
      </c>
      <c r="X1" s="30" t="s">
        <v>3598</v>
      </c>
      <c r="Y1" s="30" t="s">
        <v>3599</v>
      </c>
      <c r="Z1" s="30" t="s">
        <v>3600</v>
      </c>
      <c r="AA1" s="30" t="s">
        <v>3601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1250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3602</v>
      </c>
      <c r="Q1" s="27" t="s">
        <v>3603</v>
      </c>
      <c r="R1" s="27" t="s">
        <v>3604</v>
      </c>
      <c r="S1" s="27" t="s">
        <v>3605</v>
      </c>
      <c r="T1" s="27" t="s">
        <v>3606</v>
      </c>
      <c r="U1" s="27" t="s">
        <v>3607</v>
      </c>
      <c r="V1" s="27" t="s">
        <v>3608</v>
      </c>
      <c r="W1" s="27" t="s">
        <v>3609</v>
      </c>
      <c r="X1" s="30" t="s">
        <v>3610</v>
      </c>
      <c r="Y1" s="30" t="s">
        <v>3611</v>
      </c>
      <c r="Z1" s="30" t="s">
        <v>3612</v>
      </c>
      <c r="AA1" s="30" t="s">
        <v>3613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3614</v>
      </c>
      <c r="Q1" s="27" t="s">
        <v>3615</v>
      </c>
      <c r="R1" s="27" t="s">
        <v>3616</v>
      </c>
      <c r="S1" s="27" t="s">
        <v>3617</v>
      </c>
      <c r="T1" s="27" t="s">
        <v>3618</v>
      </c>
      <c r="U1" s="27" t="s">
        <v>3619</v>
      </c>
      <c r="V1" s="27" t="s">
        <v>3620</v>
      </c>
      <c r="W1" s="27" t="s">
        <v>3621</v>
      </c>
      <c r="X1" s="30" t="s">
        <v>3622</v>
      </c>
      <c r="Y1" s="30" t="s">
        <v>3623</v>
      </c>
      <c r="Z1" s="30" t="s">
        <v>3624</v>
      </c>
      <c r="AA1" s="30" t="s">
        <v>3625</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3626</v>
      </c>
      <c r="Q1" s="27" t="s">
        <v>3627</v>
      </c>
      <c r="R1" s="27" t="s">
        <v>3628</v>
      </c>
      <c r="S1" s="27" t="s">
        <v>3629</v>
      </c>
      <c r="T1" s="27" t="s">
        <v>3630</v>
      </c>
      <c r="U1" s="27" t="s">
        <v>3631</v>
      </c>
      <c r="V1" s="27" t="s">
        <v>3632</v>
      </c>
      <c r="W1" s="27" t="s">
        <v>3633</v>
      </c>
      <c r="X1" s="30" t="s">
        <v>3634</v>
      </c>
      <c r="Y1" s="30" t="s">
        <v>3635</v>
      </c>
      <c r="Z1" s="30" t="s">
        <v>3636</v>
      </c>
      <c r="AA1" s="30" t="s">
        <v>3637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1256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3638</v>
      </c>
      <c r="Q1" s="27" t="s">
        <v>3639</v>
      </c>
      <c r="R1" s="27" t="s">
        <v>3640</v>
      </c>
      <c r="S1" s="27" t="s">
        <v>3641</v>
      </c>
      <c r="T1" s="27" t="s">
        <v>3642</v>
      </c>
      <c r="U1" s="27" t="s">
        <v>3643</v>
      </c>
      <c r="V1" s="27" t="s">
        <v>3644</v>
      </c>
      <c r="W1" s="27" t="s">
        <v>3645</v>
      </c>
      <c r="X1" s="30" t="s">
        <v>3646</v>
      </c>
      <c r="Y1" s="30" t="s">
        <v>3647</v>
      </c>
      <c r="Z1" s="30" t="s">
        <v>3648</v>
      </c>
      <c r="AA1" s="30" t="s">
        <v>3649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18" t="n">
        <v>168</v>
      </c>
      <c r="B2" s="18" t="n">
        <v>168</v>
      </c>
      <c r="C2" s="18" t="s">
        <v>883</v>
      </c>
      <c r="D2" s="18" t="n">
        <v>2020</v>
      </c>
      <c r="E2" s="18" t="s">
        <v>884</v>
      </c>
      <c r="F2" s="18" t="s">
        <v>887</v>
      </c>
      <c r="G2" s="18" t="s">
        <v>888</v>
      </c>
      <c r="H2" s="18" t="n">
        <v>30.933</v>
      </c>
      <c r="I2" s="18" t="n">
        <v>75.867</v>
      </c>
      <c r="J2" s="18" t="s">
        <v>891</v>
      </c>
      <c r="K2" s="18" t="n">
        <v>2016</v>
      </c>
      <c r="L2" s="18" t="s">
        <v>84</v>
      </c>
      <c r="M2" s="18" t="s">
        <v>85</v>
      </c>
      <c r="N2" s="18" t="s">
        <v>86</v>
      </c>
      <c r="O2" s="18" t="s">
        <v>1893</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3650</v>
      </c>
      <c r="AS2" s="18" t="s">
        <v>3510</v>
      </c>
      <c r="AT2" s="18" t="s">
        <v>1668</v>
      </c>
      <c r="AU2" s="18" t="s">
        <v>1669</v>
      </c>
      <c r="AV2" s="18" t="s">
        <v>3651</v>
      </c>
      <c r="AW2" s="32" t="s">
        <v>3652</v>
      </c>
      <c r="AX2" s="18" t="s">
        <v>898</v>
      </c>
      <c r="AY2" s="18" t="s">
        <v>3653</v>
      </c>
      <c r="BA2" s="33" t="s">
        <v>1258</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3654</v>
      </c>
      <c r="Q1" s="27" t="s">
        <v>3655</v>
      </c>
      <c r="R1" s="27" t="s">
        <v>3656</v>
      </c>
      <c r="S1" s="27" t="s">
        <v>3657</v>
      </c>
      <c r="T1" s="27" t="s">
        <v>3658</v>
      </c>
      <c r="U1" s="27" t="s">
        <v>3659</v>
      </c>
      <c r="V1" s="27" t="s">
        <v>3660</v>
      </c>
      <c r="W1" s="27" t="s">
        <v>3661</v>
      </c>
      <c r="X1" s="30" t="s">
        <v>3662</v>
      </c>
      <c r="Y1" s="30" t="s">
        <v>3663</v>
      </c>
      <c r="Z1" s="30" t="s">
        <v>3664</v>
      </c>
      <c r="AA1" s="30" t="s">
        <v>3665</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3666</v>
      </c>
      <c r="Q1" s="27" t="s">
        <v>3667</v>
      </c>
      <c r="R1" s="27" t="s">
        <v>3668</v>
      </c>
      <c r="S1" s="27" t="s">
        <v>3669</v>
      </c>
      <c r="T1" s="27" t="s">
        <v>3670</v>
      </c>
      <c r="U1" s="27" t="s">
        <v>3671</v>
      </c>
      <c r="V1" s="27" t="s">
        <v>3672</v>
      </c>
      <c r="W1" s="27" t="s">
        <v>3673</v>
      </c>
      <c r="X1" s="30" t="s">
        <v>3674</v>
      </c>
      <c r="Y1" s="30" t="s">
        <v>3675</v>
      </c>
      <c r="Z1" s="30" t="s">
        <v>3676</v>
      </c>
      <c r="AA1" s="30" t="s">
        <v>3677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3678</v>
      </c>
      <c r="Q1" s="27" t="s">
        <v>3679</v>
      </c>
      <c r="R1" s="27" t="s">
        <v>3680</v>
      </c>
      <c r="S1" s="27" t="s">
        <v>3681</v>
      </c>
      <c r="T1" s="27" t="s">
        <v>3682</v>
      </c>
      <c r="U1" s="27" t="s">
        <v>3683</v>
      </c>
      <c r="V1" s="27" t="s">
        <v>3684</v>
      </c>
      <c r="W1" s="27" t="s">
        <v>3685</v>
      </c>
      <c r="X1" s="30" t="s">
        <v>3686</v>
      </c>
      <c r="Y1" s="30" t="s">
        <v>3687</v>
      </c>
      <c r="Z1" s="30" t="s">
        <v>3688</v>
      </c>
      <c r="AA1" s="30" t="s">
        <v>3689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1264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3690</v>
      </c>
      <c r="Q1" s="27" t="s">
        <v>3691</v>
      </c>
      <c r="R1" s="27" t="s">
        <v>3692</v>
      </c>
      <c r="S1" s="27" t="s">
        <v>3693</v>
      </c>
      <c r="T1" s="27" t="s">
        <v>3694</v>
      </c>
      <c r="U1" s="27" t="s">
        <v>3695</v>
      </c>
      <c r="V1" s="27" t="s">
        <v>3696</v>
      </c>
      <c r="W1" s="27" t="s">
        <v>3697</v>
      </c>
      <c r="X1" s="30" t="s">
        <v>3698</v>
      </c>
      <c r="Y1" s="30" t="s">
        <v>3699</v>
      </c>
      <c r="Z1" s="30" t="s">
        <v>3700</v>
      </c>
      <c r="AA1" s="30" t="s">
        <v>3701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1266</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3702</v>
      </c>
      <c r="Q1" s="27" t="s">
        <v>3703</v>
      </c>
      <c r="R1" s="27" t="s">
        <v>3704</v>
      </c>
      <c r="S1" s="27" t="s">
        <v>3705</v>
      </c>
      <c r="T1" s="27" t="s">
        <v>3706</v>
      </c>
      <c r="U1" s="27" t="s">
        <v>3707</v>
      </c>
      <c r="V1" s="27" t="s">
        <v>3708</v>
      </c>
      <c r="W1" s="27" t="s">
        <v>3709</v>
      </c>
      <c r="X1" s="30" t="s">
        <v>3710</v>
      </c>
      <c r="Y1" s="30" t="s">
        <v>3711</v>
      </c>
      <c r="Z1" s="30" t="s">
        <v>3712</v>
      </c>
      <c r="AA1" s="30" t="s">
        <v>3713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3714</v>
      </c>
      <c r="Q1" s="27" t="s">
        <v>3715</v>
      </c>
      <c r="R1" s="27" t="s">
        <v>3716</v>
      </c>
      <c r="S1" s="27" t="s">
        <v>3717</v>
      </c>
      <c r="T1" s="27" t="s">
        <v>3718</v>
      </c>
      <c r="U1" s="27" t="s">
        <v>3719</v>
      </c>
      <c r="V1" s="27" t="s">
        <v>3720</v>
      </c>
      <c r="W1" s="27" t="s">
        <v>3721</v>
      </c>
      <c r="X1" s="30" t="s">
        <v>3722</v>
      </c>
      <c r="Y1" s="30" t="s">
        <v>3723</v>
      </c>
      <c r="Z1" s="30" t="s">
        <v>3724</v>
      </c>
      <c r="AA1" s="30" t="s">
        <v>3725</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3726</v>
      </c>
      <c r="Q1" s="27" t="s">
        <v>3727</v>
      </c>
      <c r="R1" s="27" t="s">
        <v>3728</v>
      </c>
      <c r="S1" s="27" t="s">
        <v>3729</v>
      </c>
      <c r="T1" s="27" t="s">
        <v>3730</v>
      </c>
      <c r="U1" s="27" t="s">
        <v>3731</v>
      </c>
      <c r="V1" s="27" t="s">
        <v>3732</v>
      </c>
      <c r="W1" s="27" t="s">
        <v>3733</v>
      </c>
      <c r="X1" s="30" t="s">
        <v>3734</v>
      </c>
      <c r="Y1" s="30" t="s">
        <v>3735</v>
      </c>
      <c r="Z1" s="30" t="s">
        <v>3736</v>
      </c>
      <c r="AA1" s="30" t="s">
        <v>3737</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3738</v>
      </c>
      <c r="Q1" s="27" t="s">
        <v>3739</v>
      </c>
      <c r="R1" s="27" t="s">
        <v>3740</v>
      </c>
      <c r="S1" s="27" t="s">
        <v>3741</v>
      </c>
      <c r="T1" s="27" t="s">
        <v>3742</v>
      </c>
      <c r="U1" s="27" t="s">
        <v>3743</v>
      </c>
      <c r="V1" s="27" t="s">
        <v>3744</v>
      </c>
      <c r="W1" s="27" t="s">
        <v>3745</v>
      </c>
      <c r="X1" s="30" t="s">
        <v>3746</v>
      </c>
      <c r="Y1" s="30" t="s">
        <v>3747</v>
      </c>
      <c r="Z1" s="30" t="s">
        <v>3748</v>
      </c>
      <c r="AA1" s="30" t="s">
        <v>3749</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1274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3750</v>
      </c>
      <c r="Q1" s="27" t="s">
        <v>3751</v>
      </c>
      <c r="R1" s="27" t="s">
        <v>3752</v>
      </c>
      <c r="S1" s="27" t="s">
        <v>3753</v>
      </c>
      <c r="T1" s="27" t="s">
        <v>3754</v>
      </c>
      <c r="U1" s="27" t="s">
        <v>3755</v>
      </c>
      <c r="V1" s="27" t="s">
        <v>3756</v>
      </c>
      <c r="W1" s="27" t="s">
        <v>3757</v>
      </c>
      <c r="X1" s="30" t="s">
        <v>3758</v>
      </c>
      <c r="Y1" s="30" t="s">
        <v>3759</v>
      </c>
      <c r="Z1" s="30" t="s">
        <v>3760</v>
      </c>
      <c r="AA1" s="30" t="s">
        <v>3761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1276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3762</v>
      </c>
      <c r="Q1" s="27" t="s">
        <v>3763</v>
      </c>
      <c r="R1" s="27" t="s">
        <v>3764</v>
      </c>
      <c r="S1" s="27" t="s">
        <v>3765</v>
      </c>
      <c r="T1" s="27" t="s">
        <v>3766</v>
      </c>
      <c r="U1" s="27" t="s">
        <v>3767</v>
      </c>
      <c r="V1" s="27" t="s">
        <v>3768</v>
      </c>
      <c r="W1" s="27" t="s">
        <v>3769</v>
      </c>
      <c r="X1" s="30" t="s">
        <v>3770</v>
      </c>
      <c r="Y1" s="30" t="s">
        <v>3771</v>
      </c>
      <c r="Z1" s="30" t="s">
        <v>3772</v>
      </c>
      <c r="AA1" s="30" t="s">
        <v>3773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3774</v>
      </c>
      <c r="Q1" s="27" t="s">
        <v>3775</v>
      </c>
      <c r="R1" s="27" t="s">
        <v>3776</v>
      </c>
      <c r="S1" s="27" t="s">
        <v>3777</v>
      </c>
      <c r="T1" s="27" t="s">
        <v>3778</v>
      </c>
      <c r="U1" s="27" t="s">
        <v>3779</v>
      </c>
      <c r="V1" s="27" t="s">
        <v>3780</v>
      </c>
      <c r="W1" s="27" t="s">
        <v>3781</v>
      </c>
      <c r="X1" s="30" t="s">
        <v>3782</v>
      </c>
      <c r="Y1" s="30" t="s">
        <v>3783</v>
      </c>
      <c r="Z1" s="30" t="s">
        <v>3784</v>
      </c>
      <c r="AA1" s="30" t="s">
        <v>3785</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1675</v>
      </c>
      <c r="L2" s="5" t="s">
        <v>842</v>
      </c>
      <c r="M2" s="5" t="s">
        <v>85</v>
      </c>
      <c r="N2" s="5" t="s">
        <v>86</v>
      </c>
      <c r="O2" s="5" t="s">
        <v>2496</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3786</v>
      </c>
      <c r="AS2" s="5" t="s">
        <v>1676</v>
      </c>
      <c r="AT2" s="5" t="s">
        <v>2962</v>
      </c>
      <c r="AU2" s="5" t="s">
        <v>1678</v>
      </c>
      <c r="AV2" s="5" t="s">
        <v>2414</v>
      </c>
      <c r="AW2" s="23" t="s">
        <v>3787</v>
      </c>
      <c r="AX2" s="5" t="s">
        <v>850</v>
      </c>
      <c r="AY2" s="5" t="s">
        <v>3788</v>
      </c>
      <c r="BA2" s="33" t="s">
        <v>1280</v>
      </c>
    </row>
    <row r="3" customFormat="false" ht="14.2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2496</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3786</v>
      </c>
      <c r="AS3" s="5" t="s">
        <v>1682</v>
      </c>
      <c r="AT3" s="5" t="s">
        <v>2962</v>
      </c>
      <c r="AU3" s="5" t="s">
        <v>1678</v>
      </c>
      <c r="AV3" s="5" t="s">
        <v>2414</v>
      </c>
      <c r="AW3" s="23" t="s">
        <v>3789</v>
      </c>
      <c r="AX3" s="5" t="s">
        <v>850</v>
      </c>
      <c r="AY3" s="5" t="s">
        <v>3788</v>
      </c>
    </row>
    <row r="4" customFormat="false" ht="14.25" hidden="false" customHeight="true" outlineLevel="0" collapsed="false">
      <c r="A4" s="18" t="s">
        <v>925</v>
      </c>
      <c r="B4" s="18" t="s">
        <v>925</v>
      </c>
      <c r="C4" s="18" t="s">
        <v>926</v>
      </c>
      <c r="D4" s="18" t="n">
        <v>2019</v>
      </c>
      <c r="E4" s="18" t="s">
        <v>2764</v>
      </c>
      <c r="F4" s="18" t="s">
        <v>912</v>
      </c>
      <c r="G4" s="18" t="s">
        <v>913</v>
      </c>
      <c r="H4" s="18" t="n">
        <v>29.7</v>
      </c>
      <c r="I4" s="18" t="n">
        <v>76.96</v>
      </c>
      <c r="J4" s="18" t="s">
        <v>83</v>
      </c>
      <c r="K4" s="18" t="n">
        <v>2013</v>
      </c>
      <c r="L4" s="18" t="s">
        <v>84</v>
      </c>
      <c r="M4" s="18" t="s">
        <v>85</v>
      </c>
      <c r="N4" s="18" t="s">
        <v>86</v>
      </c>
      <c r="O4" s="18" t="s">
        <v>1666</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1280</v>
      </c>
      <c r="AS4" s="18" t="s">
        <v>1913</v>
      </c>
      <c r="AT4" s="18" t="s">
        <v>2766</v>
      </c>
      <c r="AU4" s="18" t="s">
        <v>1915</v>
      </c>
      <c r="AV4" s="18" t="s">
        <v>1738</v>
      </c>
      <c r="AW4" s="32" t="s">
        <v>3451</v>
      </c>
      <c r="AX4" s="18" t="s">
        <v>932</v>
      </c>
      <c r="AY4" s="18" t="s">
        <v>3790</v>
      </c>
    </row>
    <row r="5" customFormat="false" ht="14.25" hidden="false" customHeight="true" outlineLevel="0" collapsed="false">
      <c r="A5" s="18" t="s">
        <v>925</v>
      </c>
      <c r="B5" s="18" t="s">
        <v>925</v>
      </c>
      <c r="C5" s="18" t="s">
        <v>926</v>
      </c>
      <c r="D5" s="18" t="n">
        <v>2019</v>
      </c>
      <c r="E5" s="18" t="s">
        <v>2764</v>
      </c>
      <c r="F5" s="18" t="s">
        <v>912</v>
      </c>
      <c r="G5" s="18" t="s">
        <v>913</v>
      </c>
      <c r="H5" s="18" t="n">
        <v>29.7</v>
      </c>
      <c r="I5" s="18" t="n">
        <v>76.96</v>
      </c>
      <c r="J5" s="18" t="s">
        <v>83</v>
      </c>
      <c r="K5" s="18" t="n">
        <v>2013</v>
      </c>
      <c r="L5" s="18" t="s">
        <v>84</v>
      </c>
      <c r="M5" s="18" t="s">
        <v>85</v>
      </c>
      <c r="N5" s="18" t="s">
        <v>1673</v>
      </c>
      <c r="O5" s="18" t="s">
        <v>1674</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1280</v>
      </c>
      <c r="AS5" s="18" t="s">
        <v>1913</v>
      </c>
      <c r="AT5" s="18" t="s">
        <v>2766</v>
      </c>
      <c r="AU5" s="18" t="s">
        <v>1915</v>
      </c>
      <c r="AV5" s="18" t="s">
        <v>1738</v>
      </c>
      <c r="AW5" s="32" t="s">
        <v>3451</v>
      </c>
      <c r="AX5" s="18" t="s">
        <v>932</v>
      </c>
      <c r="AY5" s="18" t="s">
        <v>3790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3791</v>
      </c>
      <c r="Q1" s="27" t="s">
        <v>3792</v>
      </c>
      <c r="R1" s="27" t="s">
        <v>3793</v>
      </c>
      <c r="S1" s="27" t="s">
        <v>3794</v>
      </c>
      <c r="T1" s="27" t="s">
        <v>3795</v>
      </c>
      <c r="U1" s="27" t="s">
        <v>3796</v>
      </c>
      <c r="V1" s="27" t="s">
        <v>3797</v>
      </c>
      <c r="W1" s="27" t="s">
        <v>3798</v>
      </c>
      <c r="X1" s="30" t="s">
        <v>3799</v>
      </c>
      <c r="Y1" s="30" t="s">
        <v>3800</v>
      </c>
      <c r="Z1" s="30" t="s">
        <v>3801</v>
      </c>
      <c r="AA1" s="30" t="s">
        <v>3802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1675</v>
      </c>
      <c r="L2" s="5" t="s">
        <v>842</v>
      </c>
      <c r="M2" s="5" t="s">
        <v>85</v>
      </c>
      <c r="N2" s="5" t="s">
        <v>86</v>
      </c>
      <c r="O2" s="5" t="s">
        <v>2496</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3803</v>
      </c>
      <c r="AS2" s="5" t="s">
        <v>1676</v>
      </c>
      <c r="AT2" s="5" t="s">
        <v>2962</v>
      </c>
      <c r="AU2" s="5" t="s">
        <v>1678</v>
      </c>
      <c r="AV2" s="5" t="s">
        <v>2414</v>
      </c>
      <c r="AW2" s="23" t="s">
        <v>3804</v>
      </c>
      <c r="AX2" s="5" t="s">
        <v>850</v>
      </c>
      <c r="AY2" s="5" t="s">
        <v>3805</v>
      </c>
      <c r="BA2" s="33" t="s">
        <v>1283</v>
      </c>
    </row>
    <row r="3" customFormat="false" ht="14.2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2496</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3803</v>
      </c>
      <c r="AS3" s="5" t="s">
        <v>1682</v>
      </c>
      <c r="AT3" s="5" t="s">
        <v>2962</v>
      </c>
      <c r="AU3" s="5" t="s">
        <v>1678</v>
      </c>
      <c r="AV3" s="5" t="s">
        <v>2414</v>
      </c>
      <c r="AW3" s="23" t="s">
        <v>3806</v>
      </c>
      <c r="AX3" s="5" t="s">
        <v>850</v>
      </c>
      <c r="AY3" s="5" t="s">
        <v>3805</v>
      </c>
    </row>
    <row r="4" customFormat="false" ht="14.25" hidden="false" customHeight="true" outlineLevel="0" collapsed="false">
      <c r="A4" s="18" t="s">
        <v>925</v>
      </c>
      <c r="B4" s="18" t="s">
        <v>925</v>
      </c>
      <c r="C4" s="18" t="s">
        <v>926</v>
      </c>
      <c r="D4" s="18" t="n">
        <v>2019</v>
      </c>
      <c r="E4" s="18" t="s">
        <v>2764</v>
      </c>
      <c r="F4" s="18" t="s">
        <v>912</v>
      </c>
      <c r="G4" s="18" t="s">
        <v>913</v>
      </c>
      <c r="H4" s="18" t="n">
        <v>29.7</v>
      </c>
      <c r="I4" s="18" t="n">
        <v>76.96</v>
      </c>
      <c r="J4" s="18" t="s">
        <v>83</v>
      </c>
      <c r="K4" s="18" t="n">
        <v>2013</v>
      </c>
      <c r="L4" s="18" t="s">
        <v>84</v>
      </c>
      <c r="M4" s="18" t="s">
        <v>85</v>
      </c>
      <c r="N4" s="18" t="s">
        <v>86</v>
      </c>
      <c r="O4" s="18" t="s">
        <v>1666</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3807</v>
      </c>
      <c r="AS4" s="18" t="s">
        <v>1913</v>
      </c>
      <c r="AT4" s="18" t="s">
        <v>2766</v>
      </c>
      <c r="AU4" s="18" t="s">
        <v>1915</v>
      </c>
      <c r="AV4" s="18" t="s">
        <v>2554</v>
      </c>
      <c r="AW4" s="32" t="s">
        <v>3808</v>
      </c>
      <c r="AX4" s="18" t="s">
        <v>932</v>
      </c>
      <c r="AY4" s="18" t="s">
        <v>3809</v>
      </c>
    </row>
    <row r="5" customFormat="false" ht="14.25" hidden="false" customHeight="true" outlineLevel="0" collapsed="false">
      <c r="A5" s="18" t="s">
        <v>925</v>
      </c>
      <c r="B5" s="18" t="s">
        <v>925</v>
      </c>
      <c r="C5" s="18" t="s">
        <v>926</v>
      </c>
      <c r="D5" s="18" t="n">
        <v>2019</v>
      </c>
      <c r="E5" s="18" t="s">
        <v>2764</v>
      </c>
      <c r="F5" s="18" t="s">
        <v>912</v>
      </c>
      <c r="G5" s="18" t="s">
        <v>913</v>
      </c>
      <c r="H5" s="18" t="n">
        <v>29.7</v>
      </c>
      <c r="I5" s="18" t="n">
        <v>76.96</v>
      </c>
      <c r="J5" s="18" t="s">
        <v>83</v>
      </c>
      <c r="K5" s="18" t="n">
        <v>2013</v>
      </c>
      <c r="L5" s="18" t="s">
        <v>84</v>
      </c>
      <c r="M5" s="18" t="s">
        <v>85</v>
      </c>
      <c r="N5" s="18" t="s">
        <v>1673</v>
      </c>
      <c r="O5" s="18" t="s">
        <v>1674</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3807</v>
      </c>
      <c r="AS5" s="18" t="s">
        <v>1913</v>
      </c>
      <c r="AT5" s="18" t="s">
        <v>2766</v>
      </c>
      <c r="AU5" s="18" t="s">
        <v>1915</v>
      </c>
      <c r="AV5" s="18" t="s">
        <v>2554</v>
      </c>
      <c r="AW5" s="32" t="s">
        <v>3810</v>
      </c>
      <c r="AX5" s="18" t="s">
        <v>932</v>
      </c>
      <c r="AY5" s="18" t="s">
        <v>3809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3811</v>
      </c>
      <c r="Q1" s="27" t="s">
        <v>3812</v>
      </c>
      <c r="R1" s="27" t="s">
        <v>3813</v>
      </c>
      <c r="S1" s="27" t="s">
        <v>3814</v>
      </c>
      <c r="T1" s="27" t="s">
        <v>3815</v>
      </c>
      <c r="U1" s="27" t="s">
        <v>3816</v>
      </c>
      <c r="V1" s="27" t="s">
        <v>3817</v>
      </c>
      <c r="W1" s="27" t="s">
        <v>3818</v>
      </c>
      <c r="X1" s="30" t="s">
        <v>3819</v>
      </c>
      <c r="Y1" s="30" t="s">
        <v>3820</v>
      </c>
      <c r="Z1" s="30" t="s">
        <v>3821</v>
      </c>
      <c r="AA1" s="30" t="s">
        <v>3822</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1675</v>
      </c>
      <c r="L2" s="5" t="s">
        <v>842</v>
      </c>
      <c r="M2" s="5" t="s">
        <v>85</v>
      </c>
      <c r="N2" s="5" t="s">
        <v>86</v>
      </c>
      <c r="O2" s="5" t="s">
        <v>2496</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3823</v>
      </c>
      <c r="AS2" s="5" t="s">
        <v>1676</v>
      </c>
      <c r="AT2" s="5" t="s">
        <v>2962</v>
      </c>
      <c r="AU2" s="5" t="s">
        <v>1678</v>
      </c>
      <c r="AV2" s="5" t="s">
        <v>3824</v>
      </c>
      <c r="AW2" s="23" t="s">
        <v>3825</v>
      </c>
      <c r="AX2" s="5" t="s">
        <v>850</v>
      </c>
      <c r="AY2" s="5" t="s">
        <v>3826</v>
      </c>
      <c r="BA2" s="33" t="s">
        <v>1285</v>
      </c>
    </row>
    <row r="3" customFormat="false" ht="14.25" hidden="false" customHeight="true" outlineLevel="0" collapsed="false">
      <c r="A3" s="5" t="n">
        <v>165</v>
      </c>
      <c r="B3" s="5" t="n">
        <v>165</v>
      </c>
      <c r="C3" s="5" t="s">
        <v>832</v>
      </c>
      <c r="D3" s="5" t="n">
        <v>2012</v>
      </c>
      <c r="E3" s="5" t="s">
        <v>833</v>
      </c>
      <c r="F3" s="5" t="s">
        <v>836</v>
      </c>
      <c r="G3" s="5" t="s">
        <v>837</v>
      </c>
      <c r="H3" s="5" t="n">
        <v>28.633</v>
      </c>
      <c r="I3" s="5" t="n">
        <v>77.183</v>
      </c>
      <c r="J3" s="5" t="s">
        <v>83</v>
      </c>
      <c r="K3" s="5" t="s">
        <v>1675</v>
      </c>
      <c r="L3" s="5" t="s">
        <v>842</v>
      </c>
      <c r="M3" s="5" t="s">
        <v>85</v>
      </c>
      <c r="N3" s="5" t="s">
        <v>86</v>
      </c>
      <c r="O3" s="5" t="s">
        <v>2496</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3823</v>
      </c>
      <c r="AS3" s="5" t="s">
        <v>1682</v>
      </c>
      <c r="AT3" s="5" t="s">
        <v>2962</v>
      </c>
      <c r="AU3" s="5" t="s">
        <v>1678</v>
      </c>
      <c r="AV3" s="5" t="s">
        <v>3824</v>
      </c>
      <c r="AW3" s="23" t="s">
        <v>3827</v>
      </c>
      <c r="AX3" s="5" t="s">
        <v>850</v>
      </c>
      <c r="AY3" s="5" t="s">
        <v>3826</v>
      </c>
    </row>
    <row r="4" customFormat="false" ht="14.25" hidden="false" customHeight="true" outlineLevel="0" collapsed="false">
      <c r="A4" s="18" t="s">
        <v>925</v>
      </c>
      <c r="B4" s="18" t="s">
        <v>925</v>
      </c>
      <c r="C4" s="18" t="s">
        <v>926</v>
      </c>
      <c r="D4" s="18" t="n">
        <v>2019</v>
      </c>
      <c r="E4" s="18" t="s">
        <v>2764</v>
      </c>
      <c r="F4" s="18" t="s">
        <v>912</v>
      </c>
      <c r="G4" s="18" t="s">
        <v>913</v>
      </c>
      <c r="H4" s="18" t="n">
        <v>29.7</v>
      </c>
      <c r="I4" s="18" t="n">
        <v>76.96</v>
      </c>
      <c r="J4" s="18" t="s">
        <v>83</v>
      </c>
      <c r="K4" s="18" t="n">
        <v>2013</v>
      </c>
      <c r="L4" s="18" t="s">
        <v>84</v>
      </c>
      <c r="M4" s="18" t="s">
        <v>85</v>
      </c>
      <c r="N4" s="18" t="s">
        <v>86</v>
      </c>
      <c r="O4" s="18" t="s">
        <v>1666</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3828</v>
      </c>
      <c r="AS4" s="18" t="s">
        <v>1913</v>
      </c>
      <c r="AT4" s="18" t="s">
        <v>2766</v>
      </c>
      <c r="AU4" s="18" t="s">
        <v>1915</v>
      </c>
      <c r="AV4" s="18" t="s">
        <v>1738</v>
      </c>
      <c r="AW4" s="32" t="s">
        <v>3451</v>
      </c>
      <c r="AX4" s="18" t="s">
        <v>932</v>
      </c>
      <c r="AY4" s="18" t="s">
        <v>3829</v>
      </c>
    </row>
    <row r="5" customFormat="false" ht="14.25" hidden="false" customHeight="true" outlineLevel="0" collapsed="false">
      <c r="A5" s="18" t="s">
        <v>925</v>
      </c>
      <c r="B5" s="18" t="s">
        <v>925</v>
      </c>
      <c r="C5" s="18" t="s">
        <v>926</v>
      </c>
      <c r="D5" s="18" t="n">
        <v>2019</v>
      </c>
      <c r="E5" s="18" t="s">
        <v>2764</v>
      </c>
      <c r="F5" s="18" t="s">
        <v>912</v>
      </c>
      <c r="G5" s="18" t="s">
        <v>913</v>
      </c>
      <c r="H5" s="18" t="n">
        <v>29.7</v>
      </c>
      <c r="I5" s="18" t="n">
        <v>76.96</v>
      </c>
      <c r="J5" s="18" t="s">
        <v>83</v>
      </c>
      <c r="K5" s="18" t="n">
        <v>2013</v>
      </c>
      <c r="L5" s="18" t="s">
        <v>84</v>
      </c>
      <c r="M5" s="18" t="s">
        <v>85</v>
      </c>
      <c r="N5" s="18" t="s">
        <v>1673</v>
      </c>
      <c r="O5" s="18" t="s">
        <v>1674</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3828</v>
      </c>
      <c r="AS5" s="18" t="s">
        <v>1913</v>
      </c>
      <c r="AT5" s="18" t="s">
        <v>2766</v>
      </c>
      <c r="AU5" s="18" t="s">
        <v>1915</v>
      </c>
      <c r="AV5" s="18" t="s">
        <v>1738</v>
      </c>
      <c r="AW5" s="32" t="s">
        <v>3451</v>
      </c>
      <c r="AX5" s="18" t="s">
        <v>932</v>
      </c>
      <c r="AY5" s="18" t="s">
        <v>3829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3830</v>
      </c>
      <c r="Q1" s="27" t="s">
        <v>3831</v>
      </c>
      <c r="R1" s="27" t="s">
        <v>3832</v>
      </c>
      <c r="S1" s="27" t="s">
        <v>3833</v>
      </c>
      <c r="T1" s="27" t="s">
        <v>3834</v>
      </c>
      <c r="U1" s="27" t="s">
        <v>3835</v>
      </c>
      <c r="V1" s="27" t="s">
        <v>3836</v>
      </c>
      <c r="W1" s="27" t="s">
        <v>3837</v>
      </c>
      <c r="X1" s="30" t="s">
        <v>3838</v>
      </c>
      <c r="Y1" s="30" t="s">
        <v>3839</v>
      </c>
      <c r="Z1" s="30" t="s">
        <v>3840</v>
      </c>
      <c r="AA1" s="30" t="s">
        <v>3841</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1287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3842</v>
      </c>
      <c r="Q1" s="27" t="s">
        <v>3843</v>
      </c>
      <c r="R1" s="27" t="s">
        <v>3844</v>
      </c>
      <c r="S1" s="27" t="s">
        <v>3845</v>
      </c>
      <c r="T1" s="27" t="s">
        <v>3846</v>
      </c>
      <c r="U1" s="27" t="s">
        <v>3847</v>
      </c>
      <c r="V1" s="27" t="s">
        <v>3848</v>
      </c>
      <c r="W1" s="27" t="s">
        <v>3849</v>
      </c>
      <c r="X1" s="30" t="s">
        <v>3850</v>
      </c>
      <c r="Y1" s="30" t="s">
        <v>3851</v>
      </c>
      <c r="Z1" s="30" t="s">
        <v>3852</v>
      </c>
      <c r="AA1" s="30" t="s">
        <v>3853</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BA2" s="33" t="s">
        <v>1289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3854</v>
      </c>
      <c r="Q1" s="27" t="s">
        <v>3855</v>
      </c>
      <c r="R1" s="27" t="s">
        <v>3856</v>
      </c>
      <c r="S1" s="27" t="s">
        <v>3857</v>
      </c>
      <c r="T1" s="27" t="s">
        <v>3858</v>
      </c>
      <c r="U1" s="27" t="s">
        <v>3859</v>
      </c>
      <c r="V1" s="27" t="s">
        <v>3860</v>
      </c>
      <c r="W1" s="27" t="s">
        <v>3861</v>
      </c>
      <c r="X1" s="30" t="s">
        <v>3862</v>
      </c>
      <c r="Y1" s="30" t="s">
        <v>3863</v>
      </c>
      <c r="Z1" s="30" t="s">
        <v>3864</v>
      </c>
      <c r="AA1" s="30" t="s">
        <v>3865</v>
      </c>
      <c r="AB1" s="27" t="s">
        <v>3866</v>
      </c>
      <c r="AC1" s="27" t="s">
        <v>3867</v>
      </c>
      <c r="AD1" s="27" t="s">
        <v>3868</v>
      </c>
      <c r="AE1" s="27" t="s">
        <v>3869</v>
      </c>
      <c r="AF1" s="27" t="s">
        <v>3870</v>
      </c>
      <c r="AG1" s="27" t="s">
        <v>3871</v>
      </c>
      <c r="AH1" s="27" t="s">
        <v>3872</v>
      </c>
      <c r="AI1" s="27" t="s">
        <v>3873</v>
      </c>
      <c r="AJ1" s="30" t="s">
        <v>3874</v>
      </c>
      <c r="AK1" s="30" t="s">
        <v>3875</v>
      </c>
      <c r="AL1" s="30" t="s">
        <v>3876</v>
      </c>
      <c r="AM1" s="30" t="s">
        <v>3877</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1291</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3878</v>
      </c>
      <c r="Q1" s="27" t="s">
        <v>3879</v>
      </c>
      <c r="R1" s="27" t="s">
        <v>3880</v>
      </c>
      <c r="S1" s="27" t="s">
        <v>3881</v>
      </c>
      <c r="T1" s="27" t="s">
        <v>3882</v>
      </c>
      <c r="U1" s="27" t="s">
        <v>3883</v>
      </c>
      <c r="V1" s="27" t="s">
        <v>3884</v>
      </c>
      <c r="W1" s="27" t="s">
        <v>3885</v>
      </c>
      <c r="X1" s="30" t="s">
        <v>3886</v>
      </c>
      <c r="Y1" s="30" t="s">
        <v>3887</v>
      </c>
      <c r="Z1" s="30" t="s">
        <v>3888</v>
      </c>
      <c r="AA1" s="30" t="s">
        <v>3889</v>
      </c>
      <c r="AB1" s="27" t="s">
        <v>3890</v>
      </c>
      <c r="AC1" s="27" t="s">
        <v>3891</v>
      </c>
      <c r="AD1" s="27" t="s">
        <v>3892</v>
      </c>
      <c r="AE1" s="27" t="s">
        <v>3893</v>
      </c>
      <c r="AF1" s="27" t="s">
        <v>3894</v>
      </c>
      <c r="AG1" s="27" t="s">
        <v>3895</v>
      </c>
      <c r="AH1" s="27" t="s">
        <v>3896</v>
      </c>
      <c r="AI1" s="27" t="s">
        <v>3897</v>
      </c>
      <c r="AJ1" s="30" t="s">
        <v>3898</v>
      </c>
      <c r="AK1" s="30" t="s">
        <v>3899</v>
      </c>
      <c r="AL1" s="30" t="s">
        <v>3900</v>
      </c>
      <c r="AM1" s="30" t="s">
        <v>3901</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1293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3902</v>
      </c>
      <c r="Q1" s="27" t="s">
        <v>3903</v>
      </c>
      <c r="R1" s="27" t="s">
        <v>3904</v>
      </c>
      <c r="S1" s="27" t="s">
        <v>3905</v>
      </c>
      <c r="T1" s="27" t="s">
        <v>3906</v>
      </c>
      <c r="U1" s="27" t="s">
        <v>3907</v>
      </c>
      <c r="V1" s="27" t="s">
        <v>3908</v>
      </c>
      <c r="W1" s="27" t="s">
        <v>3909</v>
      </c>
      <c r="X1" s="30" t="s">
        <v>3910</v>
      </c>
      <c r="Y1" s="30" t="s">
        <v>3911</v>
      </c>
      <c r="Z1" s="30" t="s">
        <v>3912</v>
      </c>
      <c r="AA1" s="30" t="s">
        <v>3913</v>
      </c>
      <c r="AB1" s="27" t="s">
        <v>3914</v>
      </c>
      <c r="AC1" s="27" t="s">
        <v>3915</v>
      </c>
      <c r="AD1" s="27" t="s">
        <v>3916</v>
      </c>
      <c r="AE1" s="27" t="s">
        <v>3917</v>
      </c>
      <c r="AF1" s="27" t="s">
        <v>3918</v>
      </c>
      <c r="AG1" s="27" t="s">
        <v>3919</v>
      </c>
      <c r="AH1" s="27" t="s">
        <v>3920</v>
      </c>
      <c r="AI1" s="27" t="s">
        <v>3921</v>
      </c>
      <c r="AJ1" s="30" t="s">
        <v>3922</v>
      </c>
      <c r="AK1" s="30" t="s">
        <v>3923</v>
      </c>
      <c r="AL1" s="30" t="s">
        <v>3924</v>
      </c>
      <c r="AM1" s="30" t="s">
        <v>3925</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1295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3926</v>
      </c>
      <c r="Q1" s="27" t="s">
        <v>3927</v>
      </c>
      <c r="R1" s="27" t="s">
        <v>3928</v>
      </c>
      <c r="S1" s="27" t="s">
        <v>3929</v>
      </c>
      <c r="T1" s="27" t="s">
        <v>3930</v>
      </c>
      <c r="U1" s="27" t="s">
        <v>3931</v>
      </c>
      <c r="V1" s="27" t="s">
        <v>3932</v>
      </c>
      <c r="W1" s="27" t="s">
        <v>3933</v>
      </c>
      <c r="X1" s="30" t="s">
        <v>3934</v>
      </c>
      <c r="Y1" s="30" t="s">
        <v>3935</v>
      </c>
      <c r="Z1" s="30" t="s">
        <v>3936</v>
      </c>
      <c r="AA1" s="30" t="s">
        <v>3937</v>
      </c>
      <c r="AB1" s="27" t="s">
        <v>3938</v>
      </c>
      <c r="AC1" s="27" t="s">
        <v>3939</v>
      </c>
      <c r="AD1" s="27" t="s">
        <v>3940</v>
      </c>
      <c r="AE1" s="27" t="s">
        <v>3941</v>
      </c>
      <c r="AF1" s="27" t="s">
        <v>3942</v>
      </c>
      <c r="AG1" s="27" t="s">
        <v>3943</v>
      </c>
      <c r="AH1" s="27" t="s">
        <v>3944</v>
      </c>
      <c r="AI1" s="27" t="s">
        <v>3945</v>
      </c>
      <c r="AJ1" s="30" t="s">
        <v>3946</v>
      </c>
      <c r="AK1" s="30" t="s">
        <v>3947</v>
      </c>
      <c r="AL1" s="30" t="s">
        <v>3948</v>
      </c>
      <c r="AM1" s="30" t="s">
        <v>3949</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1297</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3950</v>
      </c>
      <c r="Q1" s="27" t="s">
        <v>3951</v>
      </c>
      <c r="R1" s="27" t="s">
        <v>3952</v>
      </c>
      <c r="S1" s="27" t="s">
        <v>3953</v>
      </c>
      <c r="T1" s="27" t="s">
        <v>3954</v>
      </c>
      <c r="U1" s="27" t="s">
        <v>3955</v>
      </c>
      <c r="V1" s="27" t="s">
        <v>3956</v>
      </c>
      <c r="W1" s="27" t="s">
        <v>3957</v>
      </c>
      <c r="X1" s="30" t="s">
        <v>3958</v>
      </c>
      <c r="Y1" s="30" t="s">
        <v>3959</v>
      </c>
      <c r="Z1" s="30" t="s">
        <v>3960</v>
      </c>
      <c r="AA1" s="30" t="s">
        <v>3961</v>
      </c>
      <c r="AB1" s="27" t="s">
        <v>3962</v>
      </c>
      <c r="AC1" s="27" t="s">
        <v>3963</v>
      </c>
      <c r="AD1" s="27" t="s">
        <v>3964</v>
      </c>
      <c r="AE1" s="27" t="s">
        <v>3965</v>
      </c>
      <c r="AF1" s="27" t="s">
        <v>3966</v>
      </c>
      <c r="AG1" s="27" t="s">
        <v>3967</v>
      </c>
      <c r="AH1" s="27" t="s">
        <v>3968</v>
      </c>
      <c r="AI1" s="27" t="s">
        <v>3969</v>
      </c>
      <c r="AJ1" s="30" t="s">
        <v>3970</v>
      </c>
      <c r="AK1" s="30" t="s">
        <v>3971</v>
      </c>
      <c r="AL1" s="30" t="s">
        <v>3972</v>
      </c>
      <c r="AM1" s="30" t="s">
        <v>3973</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1299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3974</v>
      </c>
      <c r="Q1" s="27" t="s">
        <v>3975</v>
      </c>
      <c r="R1" s="27" t="s">
        <v>3976</v>
      </c>
      <c r="S1" s="27" t="s">
        <v>3977</v>
      </c>
      <c r="T1" s="27" t="s">
        <v>3978</v>
      </c>
      <c r="U1" s="27" t="s">
        <v>3979</v>
      </c>
      <c r="V1" s="27" t="s">
        <v>3980</v>
      </c>
      <c r="W1" s="27" t="s">
        <v>3981</v>
      </c>
      <c r="X1" s="30" t="s">
        <v>3982</v>
      </c>
      <c r="Y1" s="30" t="s">
        <v>3983</v>
      </c>
      <c r="Z1" s="30" t="s">
        <v>3984</v>
      </c>
      <c r="AA1" s="30" t="s">
        <v>3985</v>
      </c>
      <c r="AB1" s="27" t="s">
        <v>3986</v>
      </c>
      <c r="AC1" s="27" t="s">
        <v>3987</v>
      </c>
      <c r="AD1" s="27" t="s">
        <v>3988</v>
      </c>
      <c r="AE1" s="27" t="s">
        <v>3989</v>
      </c>
      <c r="AF1" s="27" t="s">
        <v>3990</v>
      </c>
      <c r="AG1" s="27" t="s">
        <v>3991</v>
      </c>
      <c r="AH1" s="27" t="s">
        <v>3992</v>
      </c>
      <c r="AI1" s="27" t="s">
        <v>3993</v>
      </c>
      <c r="AJ1" s="30" t="s">
        <v>3994</v>
      </c>
      <c r="AK1" s="30" t="s">
        <v>3995</v>
      </c>
      <c r="AL1" s="30" t="s">
        <v>3996</v>
      </c>
      <c r="AM1" s="30" t="s">
        <v>3997</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1301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3998</v>
      </c>
      <c r="O1" s="27" t="s">
        <v>3999</v>
      </c>
      <c r="P1" s="27" t="s">
        <v>4000</v>
      </c>
      <c r="Q1" s="27" t="s">
        <v>4001</v>
      </c>
      <c r="R1" s="27" t="s">
        <v>4002</v>
      </c>
      <c r="S1" s="27" t="s">
        <v>4003</v>
      </c>
      <c r="T1" s="27" t="s">
        <v>4004</v>
      </c>
      <c r="U1" s="27" t="s">
        <v>4005</v>
      </c>
      <c r="V1" s="30" t="s">
        <v>4006</v>
      </c>
      <c r="W1" s="30" t="s">
        <v>4007</v>
      </c>
      <c r="X1" s="30" t="s">
        <v>4008</v>
      </c>
      <c r="Y1" s="30" t="s">
        <v>4009</v>
      </c>
      <c r="Z1" s="27" t="s">
        <v>4010</v>
      </c>
      <c r="AA1" s="27" t="s">
        <v>4011</v>
      </c>
      <c r="AB1" s="27" t="s">
        <v>4012</v>
      </c>
      <c r="AC1" s="27" t="s">
        <v>4013</v>
      </c>
      <c r="AD1" s="27" t="s">
        <v>4014</v>
      </c>
      <c r="AE1" s="27" t="s">
        <v>4015</v>
      </c>
      <c r="AF1" s="27" t="s">
        <v>4016</v>
      </c>
      <c r="AG1" s="27" t="s">
        <v>4017</v>
      </c>
      <c r="AH1" s="30" t="s">
        <v>4018</v>
      </c>
      <c r="AI1" s="30" t="s">
        <v>4019</v>
      </c>
      <c r="AJ1" s="30" t="s">
        <v>4020</v>
      </c>
      <c r="AK1" s="30" t="s">
        <v>4021</v>
      </c>
      <c r="AL1" s="27" t="s">
        <v>4022</v>
      </c>
      <c r="AM1" s="27" t="s">
        <v>4023</v>
      </c>
      <c r="AN1" s="27" t="s">
        <v>4024</v>
      </c>
      <c r="AO1" s="27" t="s">
        <v>4025</v>
      </c>
      <c r="AP1" s="27" t="s">
        <v>4026</v>
      </c>
      <c r="AQ1" s="27" t="s">
        <v>4027</v>
      </c>
      <c r="AR1" s="27" t="s">
        <v>4028</v>
      </c>
      <c r="AS1" s="27" t="s">
        <v>4029</v>
      </c>
      <c r="AT1" s="30" t="s">
        <v>4030</v>
      </c>
      <c r="AU1" s="30" t="s">
        <v>4031</v>
      </c>
      <c r="AV1" s="30" t="s">
        <v>4032</v>
      </c>
      <c r="AW1" s="30" t="s">
        <v>4033</v>
      </c>
      <c r="AX1" s="27" t="s">
        <v>4034</v>
      </c>
      <c r="AY1" s="27" t="s">
        <v>4035</v>
      </c>
      <c r="AZ1" s="27" t="s">
        <v>4036</v>
      </c>
      <c r="BA1" s="27" t="s">
        <v>4037</v>
      </c>
      <c r="BB1" s="27" t="s">
        <v>4038</v>
      </c>
      <c r="BC1" s="27" t="s">
        <v>4039</v>
      </c>
      <c r="BD1" s="27" t="s">
        <v>4040</v>
      </c>
      <c r="BE1" s="27" t="s">
        <v>4041</v>
      </c>
      <c r="BF1" s="30" t="s">
        <v>4042</v>
      </c>
      <c r="BG1" s="30" t="s">
        <v>4043</v>
      </c>
      <c r="BH1" s="30" t="s">
        <v>4044</v>
      </c>
      <c r="BI1" s="30" t="s">
        <v>4045</v>
      </c>
      <c r="BJ1" s="27" t="s">
        <v>4046</v>
      </c>
      <c r="BK1" s="27" t="s">
        <v>4047</v>
      </c>
      <c r="BL1" s="27" t="s">
        <v>4048</v>
      </c>
      <c r="BM1" s="27" t="s">
        <v>4049</v>
      </c>
      <c r="BN1" s="27" t="s">
        <v>4050</v>
      </c>
      <c r="BO1" s="27" t="s">
        <v>4051</v>
      </c>
      <c r="BP1" s="27" t="s">
        <v>4052</v>
      </c>
      <c r="BQ1" s="27" t="s">
        <v>4053</v>
      </c>
      <c r="BR1" s="30" t="s">
        <v>4054</v>
      </c>
      <c r="BS1" s="30" t="s">
        <v>4055</v>
      </c>
      <c r="BT1" s="30" t="s">
        <v>4056</v>
      </c>
      <c r="BU1" s="30" t="s">
        <v>4057</v>
      </c>
      <c r="BV1" s="28" t="s">
        <v>35</v>
      </c>
      <c r="BW1" s="28" t="s">
        <v>33</v>
      </c>
      <c r="BX1" s="28" t="s">
        <v>37</v>
      </c>
      <c r="BY1" s="21" t="s">
        <v>73</v>
      </c>
      <c r="BZ1" s="21" t="s">
        <v>796</v>
      </c>
      <c r="CA1" s="21" t="s">
        <v>797</v>
      </c>
      <c r="CB1" s="21" t="s">
        <v>74</v>
      </c>
      <c r="CC1" s="21" t="s">
        <v>1659</v>
      </c>
      <c r="CD1" s="21" t="s">
        <v>1660</v>
      </c>
      <c r="CE1" s="21" t="s">
        <v>798</v>
      </c>
      <c r="CF1" s="21" t="s">
        <v>799</v>
      </c>
      <c r="CG1" s="21" t="s">
        <v>75</v>
      </c>
      <c r="CH1" s="21" t="s">
        <v>794</v>
      </c>
      <c r="CI1" s="21" t="s">
        <v>795</v>
      </c>
      <c r="CJ1" s="21" t="s">
        <v>792</v>
      </c>
      <c r="CK1" s="21" t="s">
        <v>793</v>
      </c>
      <c r="CL1" s="22" t="s">
        <v>76</v>
      </c>
      <c r="CM1" s="22" t="s">
        <v>77</v>
      </c>
      <c r="CN1" s="22" t="s">
        <v>1661</v>
      </c>
      <c r="CO1" s="22" t="s">
        <v>1662</v>
      </c>
      <c r="CP1" s="22" t="s">
        <v>78</v>
      </c>
      <c r="CQ1" s="22" t="s">
        <v>811</v>
      </c>
      <c r="CR1" s="22" t="s">
        <v>1663</v>
      </c>
      <c r="CS1" s="22" t="s">
        <v>1664</v>
      </c>
      <c r="CU1" s="31" t="s">
        <v>1665</v>
      </c>
    </row>
    <row r="2" customFormat="false" ht="15" hidden="false" customHeight="true" outlineLevel="0" collapsed="false">
      <c r="A2" s="5" t="n">
        <v>165</v>
      </c>
      <c r="B2" s="5" t="n">
        <v>165</v>
      </c>
      <c r="C2" s="5" t="s">
        <v>832</v>
      </c>
      <c r="D2" s="5" t="n">
        <v>2012</v>
      </c>
      <c r="E2" s="5" t="s">
        <v>833</v>
      </c>
      <c r="F2" s="5" t="s">
        <v>836</v>
      </c>
      <c r="G2" s="5" t="s">
        <v>837</v>
      </c>
      <c r="H2" s="5" t="n">
        <v>28.633</v>
      </c>
      <c r="I2" s="5" t="n">
        <v>77.183</v>
      </c>
      <c r="J2" s="5" t="s">
        <v>83</v>
      </c>
      <c r="K2" s="5" t="s">
        <v>2029</v>
      </c>
      <c r="L2" s="5" t="s">
        <v>842</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4058</v>
      </c>
      <c r="CM2" s="5" t="s">
        <v>1676</v>
      </c>
      <c r="CN2" s="5" t="s">
        <v>4059</v>
      </c>
      <c r="CO2" s="5" t="s">
        <v>1678</v>
      </c>
      <c r="CP2" s="5" t="s">
        <v>1670</v>
      </c>
      <c r="CQ2" s="23" t="s">
        <v>4060</v>
      </c>
      <c r="CR2" s="5" t="s">
        <v>850</v>
      </c>
      <c r="CS2" s="5" t="s">
        <v>4061</v>
      </c>
      <c r="CU2" s="36" t="s">
        <v>1303</v>
      </c>
    </row>
    <row r="3" customFormat="false" ht="15" hidden="false" customHeight="true" outlineLevel="0" collapsed="false">
      <c r="A3" s="5" t="n">
        <v>165</v>
      </c>
      <c r="B3" s="5" t="n">
        <v>165</v>
      </c>
      <c r="C3" s="5" t="s">
        <v>832</v>
      </c>
      <c r="D3" s="5" t="n">
        <v>2012</v>
      </c>
      <c r="E3" s="5" t="s">
        <v>833</v>
      </c>
      <c r="F3" s="5" t="s">
        <v>836</v>
      </c>
      <c r="G3" s="5" t="s">
        <v>837</v>
      </c>
      <c r="H3" s="5" t="n">
        <v>28.633</v>
      </c>
      <c r="I3" s="5" t="n">
        <v>77.183</v>
      </c>
      <c r="J3" s="5" t="s">
        <v>83</v>
      </c>
      <c r="K3" s="5" t="s">
        <v>2029</v>
      </c>
      <c r="L3" s="5" t="s">
        <v>842</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4058</v>
      </c>
      <c r="CM3" s="5" t="s">
        <v>1682</v>
      </c>
      <c r="CN3" s="5" t="s">
        <v>4059</v>
      </c>
      <c r="CO3" s="5" t="s">
        <v>1678</v>
      </c>
      <c r="CP3" s="5" t="s">
        <v>1670</v>
      </c>
      <c r="CQ3" s="23" t="s">
        <v>4062</v>
      </c>
      <c r="CR3" s="5" t="s">
        <v>850</v>
      </c>
      <c r="CS3" s="5" t="s">
        <v>4061</v>
      </c>
    </row>
    <row r="4" customFormat="false" ht="15" hidden="false" customHeight="true" outlineLevel="0" collapsed="false">
      <c r="A4" s="5" t="n">
        <v>165</v>
      </c>
      <c r="B4" s="5" t="n">
        <v>165</v>
      </c>
      <c r="C4" s="5" t="s">
        <v>832</v>
      </c>
      <c r="D4" s="5" t="n">
        <v>2012</v>
      </c>
      <c r="E4" s="5" t="s">
        <v>833</v>
      </c>
      <c r="F4" s="5" t="s">
        <v>836</v>
      </c>
      <c r="G4" s="5" t="s">
        <v>837</v>
      </c>
      <c r="H4" s="5" t="n">
        <v>28.633</v>
      </c>
      <c r="I4" s="5" t="n">
        <v>77.183</v>
      </c>
      <c r="J4" s="5" t="s">
        <v>83</v>
      </c>
      <c r="K4" s="5" t="s">
        <v>1675</v>
      </c>
      <c r="L4" s="5" t="s">
        <v>842</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4058</v>
      </c>
      <c r="CM4" s="5" t="s">
        <v>1676</v>
      </c>
      <c r="CN4" s="5" t="s">
        <v>4063</v>
      </c>
      <c r="CO4" s="5" t="s">
        <v>1678</v>
      </c>
      <c r="CP4" s="5" t="s">
        <v>1670</v>
      </c>
      <c r="CQ4" s="23" t="s">
        <v>4064</v>
      </c>
      <c r="CR4" s="5" t="s">
        <v>850</v>
      </c>
      <c r="CS4" s="5" t="s">
        <v>4061</v>
      </c>
    </row>
    <row r="5" customFormat="false" ht="15" hidden="false" customHeight="true" outlineLevel="0" collapsed="false">
      <c r="A5" s="5" t="n">
        <v>165</v>
      </c>
      <c r="B5" s="5" t="n">
        <v>165</v>
      </c>
      <c r="C5" s="5" t="s">
        <v>832</v>
      </c>
      <c r="D5" s="5" t="n">
        <v>2012</v>
      </c>
      <c r="E5" s="5" t="s">
        <v>833</v>
      </c>
      <c r="F5" s="5" t="s">
        <v>836</v>
      </c>
      <c r="G5" s="5" t="s">
        <v>837</v>
      </c>
      <c r="H5" s="5" t="n">
        <v>28.633</v>
      </c>
      <c r="I5" s="5" t="n">
        <v>77.183</v>
      </c>
      <c r="J5" s="5" t="s">
        <v>83</v>
      </c>
      <c r="K5" s="5" t="s">
        <v>1675</v>
      </c>
      <c r="L5" s="5" t="s">
        <v>842</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4058</v>
      </c>
      <c r="CM5" s="5" t="s">
        <v>1682</v>
      </c>
      <c r="CN5" s="5" t="s">
        <v>4063</v>
      </c>
      <c r="CO5" s="5" t="s">
        <v>1678</v>
      </c>
      <c r="CP5" s="5" t="s">
        <v>1670</v>
      </c>
      <c r="CQ5" s="23" t="s">
        <v>4065</v>
      </c>
      <c r="CR5" s="5" t="s">
        <v>850</v>
      </c>
      <c r="CS5" s="5" t="s">
        <v>4061</v>
      </c>
    </row>
    <row r="6" customFormat="false" ht="15" hidden="false" customHeight="true" outlineLevel="0" collapsed="false">
      <c r="A6" s="5" t="n">
        <v>166</v>
      </c>
      <c r="B6" s="5" t="n">
        <v>166</v>
      </c>
      <c r="C6" s="5" t="s">
        <v>853</v>
      </c>
      <c r="D6" s="5" t="n">
        <v>2014</v>
      </c>
      <c r="E6" s="5" t="s">
        <v>854</v>
      </c>
      <c r="F6" s="5" t="s">
        <v>857</v>
      </c>
      <c r="G6" s="5" t="s">
        <v>858</v>
      </c>
      <c r="H6" s="5" t="n">
        <v>29.067</v>
      </c>
      <c r="I6" s="5" t="n">
        <v>77.767</v>
      </c>
      <c r="J6" s="5" t="s">
        <v>83</v>
      </c>
      <c r="K6" s="5" t="s">
        <v>4066</v>
      </c>
      <c r="L6" s="5" t="s">
        <v>842</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4067</v>
      </c>
      <c r="CM6" s="5" t="s">
        <v>1895</v>
      </c>
      <c r="CN6" s="5" t="s">
        <v>4068</v>
      </c>
      <c r="CO6" s="5" t="s">
        <v>1897</v>
      </c>
      <c r="CP6" s="5" t="s">
        <v>4069</v>
      </c>
      <c r="CQ6" s="23" t="s">
        <v>4070</v>
      </c>
      <c r="CR6" s="5" t="s">
        <v>869</v>
      </c>
      <c r="CS6" s="5" t="s">
        <v>4071</v>
      </c>
    </row>
    <row r="7" customFormat="false" ht="15" hidden="false" customHeight="true" outlineLevel="0" collapsed="false">
      <c r="A7" s="5" t="n">
        <v>166</v>
      </c>
      <c r="B7" s="5" t="n">
        <v>166</v>
      </c>
      <c r="C7" s="5" t="s">
        <v>853</v>
      </c>
      <c r="D7" s="5" t="n">
        <v>2014</v>
      </c>
      <c r="E7" s="5" t="s">
        <v>854</v>
      </c>
      <c r="F7" s="5" t="s">
        <v>857</v>
      </c>
      <c r="G7" s="5" t="s">
        <v>858</v>
      </c>
      <c r="H7" s="5" t="n">
        <v>29.067</v>
      </c>
      <c r="I7" s="5" t="n">
        <v>77.767</v>
      </c>
      <c r="J7" s="5" t="s">
        <v>83</v>
      </c>
      <c r="K7" s="5" t="s">
        <v>4072</v>
      </c>
      <c r="L7" s="5" t="s">
        <v>823</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4067</v>
      </c>
      <c r="CM7" s="5" t="s">
        <v>1895</v>
      </c>
      <c r="CN7" s="5" t="s">
        <v>4073</v>
      </c>
      <c r="CO7" s="5" t="s">
        <v>1897</v>
      </c>
      <c r="CP7" s="5" t="s">
        <v>4069</v>
      </c>
      <c r="CQ7" s="23" t="s">
        <v>4074</v>
      </c>
      <c r="CR7" s="5" t="s">
        <v>869</v>
      </c>
      <c r="CS7" s="5" t="s">
        <v>4071</v>
      </c>
    </row>
    <row r="8" customFormat="false" ht="15" hidden="false" customHeight="true" outlineLevel="0" collapsed="false">
      <c r="A8" s="5" t="n">
        <v>164</v>
      </c>
      <c r="B8" s="5" t="n">
        <v>164</v>
      </c>
      <c r="C8" s="5" t="s">
        <v>812</v>
      </c>
      <c r="D8" s="5" t="n">
        <v>2000</v>
      </c>
      <c r="E8" s="5" t="s">
        <v>813</v>
      </c>
      <c r="F8" s="5" t="s">
        <v>887</v>
      </c>
      <c r="G8" s="5" t="s">
        <v>2504</v>
      </c>
      <c r="H8" s="5" t="n">
        <v>30.933</v>
      </c>
      <c r="I8" s="5" t="n">
        <v>75.867</v>
      </c>
      <c r="J8" s="5" t="s">
        <v>891</v>
      </c>
      <c r="K8" s="5" t="s">
        <v>4075</v>
      </c>
      <c r="L8" s="5" t="s">
        <v>842</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4076</v>
      </c>
      <c r="CM8" s="5" t="s">
        <v>2506</v>
      </c>
      <c r="CN8" s="5" t="s">
        <v>4077</v>
      </c>
      <c r="CO8" s="5" t="s">
        <v>2508</v>
      </c>
      <c r="CP8" s="5" t="s">
        <v>4078</v>
      </c>
      <c r="CQ8" s="23" t="s">
        <v>4079</v>
      </c>
      <c r="CR8" s="5" t="s">
        <v>828</v>
      </c>
      <c r="CS8" s="5" t="s">
        <v>4080</v>
      </c>
    </row>
    <row r="9" customFormat="false" ht="15" hidden="false" customHeight="true" outlineLevel="0" collapsed="false">
      <c r="A9" s="5" t="n">
        <v>164</v>
      </c>
      <c r="B9" s="5" t="n">
        <v>164</v>
      </c>
      <c r="C9" s="5" t="s">
        <v>812</v>
      </c>
      <c r="D9" s="5" t="n">
        <v>2000</v>
      </c>
      <c r="E9" s="5" t="s">
        <v>813</v>
      </c>
      <c r="F9" s="5" t="s">
        <v>887</v>
      </c>
      <c r="G9" s="5" t="s">
        <v>2504</v>
      </c>
      <c r="H9" s="5" t="n">
        <v>30.933</v>
      </c>
      <c r="I9" s="5" t="n">
        <v>75.867</v>
      </c>
      <c r="J9" s="5" t="s">
        <v>891</v>
      </c>
      <c r="K9" s="5" t="s">
        <v>4081</v>
      </c>
      <c r="L9" s="5" t="s">
        <v>842</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4076</v>
      </c>
      <c r="CM9" s="5" t="s">
        <v>2506</v>
      </c>
      <c r="CN9" s="5" t="s">
        <v>4082</v>
      </c>
      <c r="CO9" s="5" t="s">
        <v>2508</v>
      </c>
      <c r="CP9" s="5" t="s">
        <v>4078</v>
      </c>
      <c r="CQ9" s="23" t="s">
        <v>4079</v>
      </c>
      <c r="CR9" s="5" t="s">
        <v>828</v>
      </c>
      <c r="CS9" s="5" t="s">
        <v>4080</v>
      </c>
    </row>
    <row r="10" customFormat="false" ht="15" hidden="false" customHeight="true" outlineLevel="0" collapsed="false">
      <c r="A10" s="5" t="n">
        <v>164</v>
      </c>
      <c r="B10" s="5" t="n">
        <v>164</v>
      </c>
      <c r="C10" s="5" t="s">
        <v>812</v>
      </c>
      <c r="D10" s="5" t="n">
        <v>2000</v>
      </c>
      <c r="E10" s="5" t="s">
        <v>813</v>
      </c>
      <c r="F10" s="5" t="s">
        <v>887</v>
      </c>
      <c r="G10" s="5" t="s">
        <v>2504</v>
      </c>
      <c r="H10" s="5" t="n">
        <v>30.933</v>
      </c>
      <c r="I10" s="5" t="n">
        <v>75.867</v>
      </c>
      <c r="J10" s="5" t="s">
        <v>891</v>
      </c>
      <c r="K10" s="5" t="s">
        <v>4083</v>
      </c>
      <c r="L10" s="5" t="s">
        <v>842</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4076</v>
      </c>
      <c r="CM10" s="5" t="s">
        <v>2506</v>
      </c>
      <c r="CN10" s="5" t="s">
        <v>4084</v>
      </c>
      <c r="CO10" s="5" t="s">
        <v>2508</v>
      </c>
      <c r="CP10" s="5" t="s">
        <v>4078</v>
      </c>
      <c r="CQ10" s="23" t="s">
        <v>4079</v>
      </c>
      <c r="CR10" s="5" t="s">
        <v>828</v>
      </c>
      <c r="CS10" s="5" t="s">
        <v>4080</v>
      </c>
    </row>
    <row r="11" customFormat="false" ht="15" hidden="false" customHeight="true" outlineLevel="0" collapsed="false">
      <c r="A11" s="5" t="n">
        <v>164</v>
      </c>
      <c r="B11" s="5" t="n">
        <v>164</v>
      </c>
      <c r="C11" s="5" t="s">
        <v>812</v>
      </c>
      <c r="D11" s="5" t="n">
        <v>2000</v>
      </c>
      <c r="E11" s="5" t="s">
        <v>813</v>
      </c>
      <c r="F11" s="5" t="s">
        <v>887</v>
      </c>
      <c r="G11" s="5" t="s">
        <v>2504</v>
      </c>
      <c r="H11" s="5" t="n">
        <v>30.933</v>
      </c>
      <c r="I11" s="5" t="n">
        <v>75.867</v>
      </c>
      <c r="J11" s="5" t="s">
        <v>891</v>
      </c>
      <c r="K11" s="5" t="s">
        <v>4085</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4076</v>
      </c>
      <c r="CM11" s="5" t="s">
        <v>2506</v>
      </c>
      <c r="CN11" s="5" t="s">
        <v>4086</v>
      </c>
      <c r="CO11" s="5" t="s">
        <v>2508</v>
      </c>
      <c r="CP11" s="5" t="s">
        <v>4078</v>
      </c>
      <c r="CQ11" s="23" t="s">
        <v>4079</v>
      </c>
      <c r="CR11" s="5" t="s">
        <v>828</v>
      </c>
      <c r="CS11" s="5" t="s">
        <v>4080</v>
      </c>
    </row>
    <row r="12" customFormat="false" ht="15" hidden="false" customHeight="true" outlineLevel="0" collapsed="false">
      <c r="A12" s="5" t="n">
        <v>164</v>
      </c>
      <c r="B12" s="5" t="n">
        <v>164</v>
      </c>
      <c r="C12" s="5" t="s">
        <v>812</v>
      </c>
      <c r="D12" s="5" t="n">
        <v>2000</v>
      </c>
      <c r="E12" s="5" t="s">
        <v>813</v>
      </c>
      <c r="F12" s="5" t="s">
        <v>887</v>
      </c>
      <c r="G12" s="5" t="s">
        <v>2504</v>
      </c>
      <c r="H12" s="5" t="n">
        <v>30.933</v>
      </c>
      <c r="I12" s="5" t="n">
        <v>75.867</v>
      </c>
      <c r="J12" s="5" t="s">
        <v>891</v>
      </c>
      <c r="K12" s="5" t="s">
        <v>4087</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4076</v>
      </c>
      <c r="CM12" s="5" t="s">
        <v>2506</v>
      </c>
      <c r="CN12" s="5" t="s">
        <v>4088</v>
      </c>
      <c r="CO12" s="5" t="s">
        <v>2508</v>
      </c>
      <c r="CP12" s="5" t="s">
        <v>4078</v>
      </c>
      <c r="CQ12" s="23" t="s">
        <v>4079</v>
      </c>
      <c r="CR12" s="5" t="s">
        <v>828</v>
      </c>
      <c r="CS12" s="5" t="s">
        <v>4080</v>
      </c>
    </row>
    <row r="13" customFormat="false" ht="15" hidden="false" customHeight="true" outlineLevel="0" collapsed="false">
      <c r="A13" s="5" t="n">
        <v>164</v>
      </c>
      <c r="B13" s="5" t="n">
        <v>164</v>
      </c>
      <c r="C13" s="5" t="s">
        <v>812</v>
      </c>
      <c r="D13" s="5" t="n">
        <v>2000</v>
      </c>
      <c r="E13" s="5" t="s">
        <v>813</v>
      </c>
      <c r="F13" s="5" t="s">
        <v>887</v>
      </c>
      <c r="G13" s="5" t="s">
        <v>2504</v>
      </c>
      <c r="H13" s="5" t="n">
        <v>30.933</v>
      </c>
      <c r="I13" s="5" t="n">
        <v>75.867</v>
      </c>
      <c r="J13" s="5" t="s">
        <v>891</v>
      </c>
      <c r="K13" s="5" t="s">
        <v>4089</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4076</v>
      </c>
      <c r="CM13" s="5" t="s">
        <v>2506</v>
      </c>
      <c r="CN13" s="5" t="s">
        <v>4090</v>
      </c>
      <c r="CO13" s="5" t="s">
        <v>2508</v>
      </c>
      <c r="CP13" s="5" t="s">
        <v>4078</v>
      </c>
      <c r="CQ13" s="23" t="s">
        <v>4079</v>
      </c>
      <c r="CR13" s="5" t="s">
        <v>828</v>
      </c>
      <c r="CS13" s="5" t="s">
        <v>4080</v>
      </c>
    </row>
    <row r="14" customFormat="false" ht="15" hidden="false" customHeight="true" outlineLevel="0" collapsed="false">
      <c r="A14" s="5" t="n">
        <v>164</v>
      </c>
      <c r="B14" s="5" t="n">
        <v>164</v>
      </c>
      <c r="C14" s="5" t="s">
        <v>812</v>
      </c>
      <c r="D14" s="5" t="n">
        <v>2000</v>
      </c>
      <c r="E14" s="5" t="s">
        <v>813</v>
      </c>
      <c r="F14" s="5" t="s">
        <v>887</v>
      </c>
      <c r="G14" s="5" t="s">
        <v>2504</v>
      </c>
      <c r="H14" s="5" t="n">
        <v>30.933</v>
      </c>
      <c r="I14" s="5" t="n">
        <v>75.867</v>
      </c>
      <c r="J14" s="5" t="s">
        <v>891</v>
      </c>
      <c r="K14" s="5" t="s">
        <v>4091</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4076</v>
      </c>
      <c r="CM14" s="5" t="s">
        <v>2506</v>
      </c>
      <c r="CN14" s="5" t="s">
        <v>4092</v>
      </c>
      <c r="CO14" s="5" t="s">
        <v>2508</v>
      </c>
      <c r="CP14" s="5" t="s">
        <v>4078</v>
      </c>
      <c r="CQ14" s="23" t="s">
        <v>4079</v>
      </c>
      <c r="CR14" s="5" t="s">
        <v>828</v>
      </c>
      <c r="CS14" s="5" t="s">
        <v>4080</v>
      </c>
    </row>
    <row r="15" customFormat="false" ht="15" hidden="false" customHeight="true" outlineLevel="0" collapsed="false">
      <c r="A15" s="5" t="n">
        <v>164</v>
      </c>
      <c r="B15" s="5" t="n">
        <v>164</v>
      </c>
      <c r="C15" s="5" t="s">
        <v>812</v>
      </c>
      <c r="D15" s="5" t="n">
        <v>2000</v>
      </c>
      <c r="E15" s="5" t="s">
        <v>813</v>
      </c>
      <c r="F15" s="5" t="s">
        <v>887</v>
      </c>
      <c r="G15" s="5" t="s">
        <v>2504</v>
      </c>
      <c r="H15" s="5" t="n">
        <v>30.933</v>
      </c>
      <c r="I15" s="5" t="n">
        <v>75.867</v>
      </c>
      <c r="J15" s="5" t="s">
        <v>891</v>
      </c>
      <c r="K15" s="5" t="s">
        <v>4093</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4076</v>
      </c>
      <c r="CM15" s="5" t="s">
        <v>2506</v>
      </c>
      <c r="CN15" s="5" t="s">
        <v>4094</v>
      </c>
      <c r="CO15" s="5" t="s">
        <v>2508</v>
      </c>
      <c r="CP15" s="5" t="s">
        <v>4078</v>
      </c>
      <c r="CQ15" s="23" t="s">
        <v>4079</v>
      </c>
      <c r="CR15" s="5" t="s">
        <v>828</v>
      </c>
      <c r="CS15" s="5" t="s">
        <v>4080</v>
      </c>
    </row>
    <row r="16" customFormat="false" ht="15" hidden="false" customHeight="true" outlineLevel="0" collapsed="false">
      <c r="A16" s="5" t="n">
        <v>164</v>
      </c>
      <c r="B16" s="5" t="n">
        <v>164</v>
      </c>
      <c r="C16" s="5" t="s">
        <v>812</v>
      </c>
      <c r="D16" s="5" t="n">
        <v>2000</v>
      </c>
      <c r="E16" s="5" t="s">
        <v>813</v>
      </c>
      <c r="F16" s="5" t="s">
        <v>887</v>
      </c>
      <c r="G16" s="5" t="s">
        <v>2504</v>
      </c>
      <c r="H16" s="5" t="n">
        <v>30.933</v>
      </c>
      <c r="I16" s="5" t="n">
        <v>75.867</v>
      </c>
      <c r="J16" s="5" t="s">
        <v>891</v>
      </c>
      <c r="K16" s="5" t="s">
        <v>4095</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4076</v>
      </c>
      <c r="CM16" s="5" t="s">
        <v>2506</v>
      </c>
      <c r="CN16" s="5" t="s">
        <v>4096</v>
      </c>
      <c r="CO16" s="5" t="s">
        <v>2508</v>
      </c>
      <c r="CP16" s="5" t="s">
        <v>4078</v>
      </c>
      <c r="CQ16" s="23" t="s">
        <v>4079</v>
      </c>
      <c r="CR16" s="5" t="s">
        <v>828</v>
      </c>
      <c r="CS16" s="5" t="s">
        <v>4080</v>
      </c>
    </row>
    <row r="17" customFormat="false" ht="15" hidden="false" customHeight="true" outlineLevel="0" collapsed="false">
      <c r="A17" s="5" t="n">
        <v>164</v>
      </c>
      <c r="B17" s="5" t="n">
        <v>164</v>
      </c>
      <c r="C17" s="5" t="s">
        <v>812</v>
      </c>
      <c r="D17" s="5" t="n">
        <v>2000</v>
      </c>
      <c r="E17" s="5" t="s">
        <v>813</v>
      </c>
      <c r="F17" s="5" t="s">
        <v>887</v>
      </c>
      <c r="G17" s="5" t="s">
        <v>2504</v>
      </c>
      <c r="H17" s="5" t="n">
        <v>30.933</v>
      </c>
      <c r="I17" s="5" t="n">
        <v>75.867</v>
      </c>
      <c r="J17" s="5" t="s">
        <v>891</v>
      </c>
      <c r="K17" s="5" t="s">
        <v>4097</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4076</v>
      </c>
      <c r="CM17" s="5" t="s">
        <v>2506</v>
      </c>
      <c r="CN17" s="5" t="s">
        <v>4098</v>
      </c>
      <c r="CO17" s="5" t="s">
        <v>2508</v>
      </c>
      <c r="CP17" s="5" t="s">
        <v>4078</v>
      </c>
      <c r="CQ17" s="23" t="s">
        <v>4079</v>
      </c>
      <c r="CR17" s="5" t="s">
        <v>828</v>
      </c>
      <c r="CS17" s="5" t="s">
        <v>4080</v>
      </c>
    </row>
    <row r="18" customFormat="false" ht="15" hidden="false" customHeight="true" outlineLevel="0" collapsed="false">
      <c r="A18" s="5" t="n">
        <v>164</v>
      </c>
      <c r="B18" s="5" t="n">
        <v>164</v>
      </c>
      <c r="C18" s="5" t="s">
        <v>812</v>
      </c>
      <c r="D18" s="5" t="n">
        <v>2000</v>
      </c>
      <c r="E18" s="5" t="s">
        <v>813</v>
      </c>
      <c r="F18" s="5" t="s">
        <v>887</v>
      </c>
      <c r="G18" s="5" t="s">
        <v>2504</v>
      </c>
      <c r="H18" s="5" t="n">
        <v>30.933</v>
      </c>
      <c r="I18" s="5" t="n">
        <v>75.867</v>
      </c>
      <c r="J18" s="5" t="s">
        <v>891</v>
      </c>
      <c r="K18" s="5" t="s">
        <v>4099</v>
      </c>
      <c r="L18" s="5" t="s">
        <v>823</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4076</v>
      </c>
      <c r="CM18" s="5" t="s">
        <v>2506</v>
      </c>
      <c r="CN18" s="5" t="s">
        <v>4100</v>
      </c>
      <c r="CO18" s="5" t="s">
        <v>2508</v>
      </c>
      <c r="CP18" s="5" t="s">
        <v>4078</v>
      </c>
      <c r="CQ18" s="23" t="s">
        <v>4079</v>
      </c>
      <c r="CR18" s="5" t="s">
        <v>828</v>
      </c>
      <c r="CS18" s="5" t="s">
        <v>4080</v>
      </c>
    </row>
    <row r="19" customFormat="false" ht="15" hidden="false" customHeight="true" outlineLevel="0" collapsed="false">
      <c r="A19" s="5" t="n">
        <v>164</v>
      </c>
      <c r="B19" s="5" t="n">
        <v>164</v>
      </c>
      <c r="C19" s="5" t="s">
        <v>812</v>
      </c>
      <c r="D19" s="5" t="n">
        <v>2000</v>
      </c>
      <c r="E19" s="5" t="s">
        <v>813</v>
      </c>
      <c r="F19" s="5" t="s">
        <v>887</v>
      </c>
      <c r="G19" s="5" t="s">
        <v>2504</v>
      </c>
      <c r="H19" s="5" t="n">
        <v>30.933</v>
      </c>
      <c r="I19" s="5" t="n">
        <v>75.867</v>
      </c>
      <c r="J19" s="5" t="s">
        <v>891</v>
      </c>
      <c r="K19" s="5" t="s">
        <v>4101</v>
      </c>
      <c r="L19" s="5" t="s">
        <v>823</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4076</v>
      </c>
      <c r="CM19" s="5" t="s">
        <v>2506</v>
      </c>
      <c r="CN19" s="5" t="s">
        <v>4102</v>
      </c>
      <c r="CO19" s="5" t="s">
        <v>2508</v>
      </c>
      <c r="CP19" s="5" t="s">
        <v>4078</v>
      </c>
      <c r="CQ19" s="23" t="s">
        <v>4079</v>
      </c>
      <c r="CR19" s="5" t="s">
        <v>828</v>
      </c>
      <c r="CS19" s="5" t="s">
        <v>4080</v>
      </c>
    </row>
    <row r="20" customFormat="false" ht="15" hidden="false" customHeight="true" outlineLevel="0" collapsed="false">
      <c r="A20" s="5" t="n">
        <v>164</v>
      </c>
      <c r="B20" s="5" t="n">
        <v>164</v>
      </c>
      <c r="C20" s="5" t="s">
        <v>812</v>
      </c>
      <c r="D20" s="5" t="n">
        <v>2000</v>
      </c>
      <c r="E20" s="5" t="s">
        <v>813</v>
      </c>
      <c r="F20" s="5" t="s">
        <v>887</v>
      </c>
      <c r="G20" s="5" t="s">
        <v>2504</v>
      </c>
      <c r="H20" s="5" t="n">
        <v>30.933</v>
      </c>
      <c r="I20" s="5" t="n">
        <v>75.867</v>
      </c>
      <c r="J20" s="5" t="s">
        <v>891</v>
      </c>
      <c r="K20" s="5" t="s">
        <v>4103</v>
      </c>
      <c r="L20" s="5" t="s">
        <v>823</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4076</v>
      </c>
      <c r="CM20" s="5" t="s">
        <v>2506</v>
      </c>
      <c r="CN20" s="5" t="s">
        <v>4104</v>
      </c>
      <c r="CO20" s="5" t="s">
        <v>2508</v>
      </c>
      <c r="CP20" s="5" t="s">
        <v>4078</v>
      </c>
      <c r="CQ20" s="23" t="s">
        <v>4079</v>
      </c>
      <c r="CR20" s="5" t="s">
        <v>828</v>
      </c>
      <c r="CS20" s="5" t="s">
        <v>4080</v>
      </c>
    </row>
    <row r="21" customFormat="false" ht="15" hidden="false" customHeight="true" outlineLevel="0" collapsed="false">
      <c r="A21" s="5" t="n">
        <v>164</v>
      </c>
      <c r="B21" s="5" t="n">
        <v>164</v>
      </c>
      <c r="C21" s="5" t="s">
        <v>812</v>
      </c>
      <c r="D21" s="5" t="n">
        <v>2000</v>
      </c>
      <c r="E21" s="5" t="s">
        <v>813</v>
      </c>
      <c r="F21" s="5" t="s">
        <v>887</v>
      </c>
      <c r="G21" s="5" t="s">
        <v>2504</v>
      </c>
      <c r="H21" s="5" t="n">
        <v>30.933</v>
      </c>
      <c r="I21" s="5" t="n">
        <v>75.867</v>
      </c>
      <c r="J21" s="5" t="s">
        <v>891</v>
      </c>
      <c r="K21" s="5" t="s">
        <v>1773</v>
      </c>
      <c r="L21" s="5" t="s">
        <v>823</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4076</v>
      </c>
      <c r="CM21" s="5" t="s">
        <v>2506</v>
      </c>
      <c r="CN21" s="5" t="s">
        <v>4105</v>
      </c>
      <c r="CO21" s="5" t="s">
        <v>2508</v>
      </c>
      <c r="CP21" s="5" t="s">
        <v>4078</v>
      </c>
      <c r="CQ21" s="23" t="s">
        <v>4079</v>
      </c>
      <c r="CR21" s="5" t="s">
        <v>828</v>
      </c>
      <c r="CS21" s="5" t="s">
        <v>4080</v>
      </c>
    </row>
    <row r="22" customFormat="false" ht="15" hidden="false" customHeight="true" outlineLevel="0" collapsed="false">
      <c r="A22" s="5" t="n">
        <v>164</v>
      </c>
      <c r="B22" s="5" t="n">
        <v>164</v>
      </c>
      <c r="C22" s="5" t="s">
        <v>812</v>
      </c>
      <c r="D22" s="5" t="n">
        <v>2000</v>
      </c>
      <c r="E22" s="5" t="s">
        <v>813</v>
      </c>
      <c r="F22" s="5" t="s">
        <v>887</v>
      </c>
      <c r="G22" s="5" t="s">
        <v>2504</v>
      </c>
      <c r="H22" s="5" t="n">
        <v>30.933</v>
      </c>
      <c r="I22" s="5" t="n">
        <v>75.867</v>
      </c>
      <c r="J22" s="5" t="s">
        <v>891</v>
      </c>
      <c r="K22" s="5" t="s">
        <v>2505</v>
      </c>
      <c r="L22" s="5" t="s">
        <v>823</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4076</v>
      </c>
      <c r="CM22" s="5" t="s">
        <v>2506</v>
      </c>
      <c r="CN22" s="5" t="s">
        <v>4106</v>
      </c>
      <c r="CO22" s="5" t="s">
        <v>2508</v>
      </c>
      <c r="CP22" s="5" t="s">
        <v>4078</v>
      </c>
      <c r="CQ22" s="23" t="s">
        <v>4079</v>
      </c>
      <c r="CR22" s="5" t="s">
        <v>828</v>
      </c>
      <c r="CS22" s="5" t="s">
        <v>4080</v>
      </c>
    </row>
    <row r="23" customFormat="false" ht="15" hidden="false" customHeight="true" outlineLevel="0" collapsed="false">
      <c r="A23" s="5" t="n">
        <v>164</v>
      </c>
      <c r="B23" s="5" t="n">
        <v>164</v>
      </c>
      <c r="C23" s="5" t="s">
        <v>812</v>
      </c>
      <c r="D23" s="5" t="n">
        <v>2000</v>
      </c>
      <c r="E23" s="5" t="s">
        <v>813</v>
      </c>
      <c r="F23" s="5" t="s">
        <v>1605</v>
      </c>
      <c r="G23" s="5" t="s">
        <v>2512</v>
      </c>
      <c r="H23" s="5" t="n">
        <v>29</v>
      </c>
      <c r="I23" s="5" t="n">
        <v>79.083</v>
      </c>
      <c r="J23" s="5" t="s">
        <v>83</v>
      </c>
      <c r="K23" s="5" t="s">
        <v>4075</v>
      </c>
      <c r="L23" s="5" t="s">
        <v>842</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4076</v>
      </c>
      <c r="CM23" s="5" t="s">
        <v>2506</v>
      </c>
      <c r="CN23" s="5" t="s">
        <v>4077</v>
      </c>
      <c r="CO23" s="5" t="s">
        <v>2513</v>
      </c>
      <c r="CP23" s="5" t="s">
        <v>4107</v>
      </c>
      <c r="CQ23" s="23" t="s">
        <v>4108</v>
      </c>
      <c r="CR23" s="5" t="s">
        <v>828</v>
      </c>
      <c r="CS23" s="5" t="s">
        <v>4080</v>
      </c>
    </row>
    <row r="24" customFormat="false" ht="15" hidden="false" customHeight="true" outlineLevel="0" collapsed="false">
      <c r="A24" s="5" t="n">
        <v>164</v>
      </c>
      <c r="B24" s="5" t="n">
        <v>164</v>
      </c>
      <c r="C24" s="5" t="s">
        <v>812</v>
      </c>
      <c r="D24" s="5" t="n">
        <v>2000</v>
      </c>
      <c r="E24" s="5" t="s">
        <v>813</v>
      </c>
      <c r="F24" s="5" t="s">
        <v>1605</v>
      </c>
      <c r="G24" s="5" t="s">
        <v>2512</v>
      </c>
      <c r="H24" s="5" t="n">
        <v>29</v>
      </c>
      <c r="I24" s="5" t="n">
        <v>79.083</v>
      </c>
      <c r="J24" s="5" t="s">
        <v>83</v>
      </c>
      <c r="K24" s="5" t="s">
        <v>4081</v>
      </c>
      <c r="L24" s="5" t="s">
        <v>842</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4076</v>
      </c>
      <c r="CM24" s="5" t="s">
        <v>2506</v>
      </c>
      <c r="CN24" s="5" t="s">
        <v>4082</v>
      </c>
      <c r="CO24" s="5" t="s">
        <v>2513</v>
      </c>
      <c r="CP24" s="5" t="s">
        <v>4107</v>
      </c>
      <c r="CQ24" s="23" t="s">
        <v>4108</v>
      </c>
      <c r="CR24" s="5" t="s">
        <v>828</v>
      </c>
      <c r="CS24" s="5" t="s">
        <v>4080</v>
      </c>
    </row>
    <row r="25" customFormat="false" ht="15" hidden="false" customHeight="true" outlineLevel="0" collapsed="false">
      <c r="A25" s="5" t="n">
        <v>164</v>
      </c>
      <c r="B25" s="5" t="n">
        <v>164</v>
      </c>
      <c r="C25" s="5" t="s">
        <v>812</v>
      </c>
      <c r="D25" s="5" t="n">
        <v>2000</v>
      </c>
      <c r="E25" s="5" t="s">
        <v>813</v>
      </c>
      <c r="F25" s="5" t="s">
        <v>1605</v>
      </c>
      <c r="G25" s="5" t="s">
        <v>2512</v>
      </c>
      <c r="H25" s="5" t="n">
        <v>29</v>
      </c>
      <c r="I25" s="5" t="n">
        <v>79.083</v>
      </c>
      <c r="J25" s="5" t="s">
        <v>83</v>
      </c>
      <c r="K25" s="5" t="s">
        <v>4083</v>
      </c>
      <c r="L25" s="5" t="s">
        <v>842</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4076</v>
      </c>
      <c r="CM25" s="5" t="s">
        <v>2506</v>
      </c>
      <c r="CN25" s="5" t="s">
        <v>4084</v>
      </c>
      <c r="CO25" s="5" t="s">
        <v>2513</v>
      </c>
      <c r="CP25" s="5" t="s">
        <v>4107</v>
      </c>
      <c r="CQ25" s="23" t="s">
        <v>4108</v>
      </c>
      <c r="CR25" s="5" t="s">
        <v>828</v>
      </c>
      <c r="CS25" s="5" t="s">
        <v>4080</v>
      </c>
    </row>
    <row r="26" customFormat="false" ht="15" hidden="false" customHeight="true" outlineLevel="0" collapsed="false">
      <c r="A26" s="5" t="n">
        <v>164</v>
      </c>
      <c r="B26" s="5" t="n">
        <v>164</v>
      </c>
      <c r="C26" s="5" t="s">
        <v>812</v>
      </c>
      <c r="D26" s="5" t="n">
        <v>2000</v>
      </c>
      <c r="E26" s="5" t="s">
        <v>813</v>
      </c>
      <c r="F26" s="5" t="s">
        <v>1605</v>
      </c>
      <c r="G26" s="5" t="s">
        <v>2512</v>
      </c>
      <c r="H26" s="5" t="n">
        <v>29</v>
      </c>
      <c r="I26" s="5" t="n">
        <v>79.083</v>
      </c>
      <c r="J26" s="5" t="s">
        <v>83</v>
      </c>
      <c r="K26" s="5" t="s">
        <v>4085</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4076</v>
      </c>
      <c r="CM26" s="5" t="s">
        <v>2506</v>
      </c>
      <c r="CN26" s="5" t="s">
        <v>4086</v>
      </c>
      <c r="CO26" s="5" t="s">
        <v>2513</v>
      </c>
      <c r="CP26" s="5" t="s">
        <v>4107</v>
      </c>
      <c r="CQ26" s="23" t="s">
        <v>4108</v>
      </c>
      <c r="CR26" s="5" t="s">
        <v>828</v>
      </c>
      <c r="CS26" s="5" t="s">
        <v>4080</v>
      </c>
    </row>
    <row r="27" customFormat="false" ht="15" hidden="false" customHeight="true" outlineLevel="0" collapsed="false">
      <c r="A27" s="5" t="n">
        <v>164</v>
      </c>
      <c r="B27" s="5" t="n">
        <v>164</v>
      </c>
      <c r="C27" s="5" t="s">
        <v>812</v>
      </c>
      <c r="D27" s="5" t="n">
        <v>2000</v>
      </c>
      <c r="E27" s="5" t="s">
        <v>813</v>
      </c>
      <c r="F27" s="5" t="s">
        <v>1605</v>
      </c>
      <c r="G27" s="5" t="s">
        <v>2512</v>
      </c>
      <c r="H27" s="5" t="n">
        <v>29</v>
      </c>
      <c r="I27" s="5" t="n">
        <v>79.083</v>
      </c>
      <c r="J27" s="5" t="s">
        <v>83</v>
      </c>
      <c r="K27" s="5" t="s">
        <v>4087</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4076</v>
      </c>
      <c r="CM27" s="5" t="s">
        <v>2506</v>
      </c>
      <c r="CN27" s="5" t="s">
        <v>4088</v>
      </c>
      <c r="CO27" s="5" t="s">
        <v>2513</v>
      </c>
      <c r="CP27" s="5" t="s">
        <v>4107</v>
      </c>
      <c r="CQ27" s="23" t="s">
        <v>4108</v>
      </c>
      <c r="CR27" s="5" t="s">
        <v>828</v>
      </c>
      <c r="CS27" s="5" t="s">
        <v>4080</v>
      </c>
    </row>
    <row r="28" customFormat="false" ht="15" hidden="false" customHeight="true" outlineLevel="0" collapsed="false">
      <c r="A28" s="5" t="n">
        <v>164</v>
      </c>
      <c r="B28" s="5" t="n">
        <v>164</v>
      </c>
      <c r="C28" s="5" t="s">
        <v>812</v>
      </c>
      <c r="D28" s="5" t="n">
        <v>2000</v>
      </c>
      <c r="E28" s="5" t="s">
        <v>813</v>
      </c>
      <c r="F28" s="5" t="s">
        <v>1605</v>
      </c>
      <c r="G28" s="5" t="s">
        <v>2512</v>
      </c>
      <c r="H28" s="5" t="n">
        <v>29</v>
      </c>
      <c r="I28" s="5" t="n">
        <v>79.083</v>
      </c>
      <c r="J28" s="5" t="s">
        <v>83</v>
      </c>
      <c r="K28" s="5" t="s">
        <v>4089</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4076</v>
      </c>
      <c r="CM28" s="5" t="s">
        <v>2506</v>
      </c>
      <c r="CN28" s="5" t="s">
        <v>4090</v>
      </c>
      <c r="CO28" s="5" t="s">
        <v>2513</v>
      </c>
      <c r="CP28" s="5" t="s">
        <v>4107</v>
      </c>
      <c r="CQ28" s="23" t="s">
        <v>4108</v>
      </c>
      <c r="CR28" s="5" t="s">
        <v>828</v>
      </c>
      <c r="CS28" s="5" t="s">
        <v>4080</v>
      </c>
    </row>
    <row r="29" customFormat="false" ht="15" hidden="false" customHeight="true" outlineLevel="0" collapsed="false">
      <c r="A29" s="5" t="n">
        <v>164</v>
      </c>
      <c r="B29" s="5" t="n">
        <v>164</v>
      </c>
      <c r="C29" s="5" t="s">
        <v>812</v>
      </c>
      <c r="D29" s="5" t="n">
        <v>2000</v>
      </c>
      <c r="E29" s="5" t="s">
        <v>813</v>
      </c>
      <c r="F29" s="5" t="s">
        <v>1605</v>
      </c>
      <c r="G29" s="5" t="s">
        <v>2512</v>
      </c>
      <c r="H29" s="5" t="n">
        <v>29</v>
      </c>
      <c r="I29" s="5" t="n">
        <v>79.083</v>
      </c>
      <c r="J29" s="5" t="s">
        <v>83</v>
      </c>
      <c r="K29" s="5" t="s">
        <v>4091</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4076</v>
      </c>
      <c r="CM29" s="5" t="s">
        <v>2506</v>
      </c>
      <c r="CN29" s="5" t="s">
        <v>4092</v>
      </c>
      <c r="CO29" s="5" t="s">
        <v>2513</v>
      </c>
      <c r="CP29" s="5" t="s">
        <v>4107</v>
      </c>
      <c r="CQ29" s="23" t="s">
        <v>4108</v>
      </c>
      <c r="CR29" s="5" t="s">
        <v>828</v>
      </c>
      <c r="CS29" s="5" t="s">
        <v>4080</v>
      </c>
    </row>
    <row r="30" customFormat="false" ht="15" hidden="false" customHeight="true" outlineLevel="0" collapsed="false">
      <c r="A30" s="5" t="n">
        <v>164</v>
      </c>
      <c r="B30" s="5" t="n">
        <v>164</v>
      </c>
      <c r="C30" s="5" t="s">
        <v>812</v>
      </c>
      <c r="D30" s="5" t="n">
        <v>2000</v>
      </c>
      <c r="E30" s="5" t="s">
        <v>813</v>
      </c>
      <c r="F30" s="5" t="s">
        <v>1605</v>
      </c>
      <c r="G30" s="5" t="s">
        <v>2512</v>
      </c>
      <c r="H30" s="5" t="n">
        <v>29</v>
      </c>
      <c r="I30" s="5" t="n">
        <v>79.083</v>
      </c>
      <c r="J30" s="5" t="s">
        <v>83</v>
      </c>
      <c r="K30" s="5" t="s">
        <v>4093</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4076</v>
      </c>
      <c r="CM30" s="5" t="s">
        <v>2506</v>
      </c>
      <c r="CN30" s="5" t="s">
        <v>4094</v>
      </c>
      <c r="CO30" s="5" t="s">
        <v>2513</v>
      </c>
      <c r="CP30" s="5" t="s">
        <v>4107</v>
      </c>
      <c r="CQ30" s="23" t="s">
        <v>4108</v>
      </c>
      <c r="CR30" s="5" t="s">
        <v>828</v>
      </c>
      <c r="CS30" s="5" t="s">
        <v>4080</v>
      </c>
    </row>
    <row r="31" customFormat="false" ht="15" hidden="false" customHeight="true" outlineLevel="0" collapsed="false">
      <c r="A31" s="5" t="n">
        <v>164</v>
      </c>
      <c r="B31" s="5" t="n">
        <v>164</v>
      </c>
      <c r="C31" s="5" t="s">
        <v>812</v>
      </c>
      <c r="D31" s="5" t="n">
        <v>2000</v>
      </c>
      <c r="E31" s="5" t="s">
        <v>813</v>
      </c>
      <c r="F31" s="5" t="s">
        <v>1605</v>
      </c>
      <c r="G31" s="5" t="s">
        <v>2512</v>
      </c>
      <c r="H31" s="5" t="n">
        <v>29</v>
      </c>
      <c r="I31" s="5" t="n">
        <v>79.083</v>
      </c>
      <c r="J31" s="5" t="s">
        <v>83</v>
      </c>
      <c r="K31" s="5" t="s">
        <v>4095</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4076</v>
      </c>
      <c r="CM31" s="5" t="s">
        <v>2506</v>
      </c>
      <c r="CN31" s="5" t="s">
        <v>4096</v>
      </c>
      <c r="CO31" s="5" t="s">
        <v>2513</v>
      </c>
      <c r="CP31" s="5" t="s">
        <v>4107</v>
      </c>
      <c r="CQ31" s="23" t="s">
        <v>4108</v>
      </c>
      <c r="CR31" s="5" t="s">
        <v>828</v>
      </c>
      <c r="CS31" s="5" t="s">
        <v>4080</v>
      </c>
    </row>
    <row r="32" customFormat="false" ht="15" hidden="false" customHeight="true" outlineLevel="0" collapsed="false">
      <c r="A32" s="5" t="n">
        <v>164</v>
      </c>
      <c r="B32" s="5" t="n">
        <v>164</v>
      </c>
      <c r="C32" s="5" t="s">
        <v>812</v>
      </c>
      <c r="D32" s="5" t="n">
        <v>2000</v>
      </c>
      <c r="E32" s="5" t="s">
        <v>813</v>
      </c>
      <c r="F32" s="5" t="s">
        <v>1605</v>
      </c>
      <c r="G32" s="5" t="s">
        <v>2512</v>
      </c>
      <c r="H32" s="5" t="n">
        <v>29</v>
      </c>
      <c r="I32" s="5" t="n">
        <v>79.083</v>
      </c>
      <c r="J32" s="5" t="s">
        <v>83</v>
      </c>
      <c r="K32" s="5" t="s">
        <v>4097</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4076</v>
      </c>
      <c r="CM32" s="5" t="s">
        <v>2506</v>
      </c>
      <c r="CN32" s="5" t="s">
        <v>4098</v>
      </c>
      <c r="CO32" s="5" t="s">
        <v>2513</v>
      </c>
      <c r="CP32" s="5" t="s">
        <v>4107</v>
      </c>
      <c r="CQ32" s="23" t="s">
        <v>4108</v>
      </c>
      <c r="CR32" s="5" t="s">
        <v>828</v>
      </c>
      <c r="CS32" s="5" t="s">
        <v>4080</v>
      </c>
    </row>
    <row r="33" customFormat="false" ht="15" hidden="false" customHeight="true" outlineLevel="0" collapsed="false">
      <c r="A33" s="5" t="n">
        <v>164</v>
      </c>
      <c r="B33" s="5" t="n">
        <v>164</v>
      </c>
      <c r="C33" s="5" t="s">
        <v>812</v>
      </c>
      <c r="D33" s="5" t="n">
        <v>2000</v>
      </c>
      <c r="E33" s="5" t="s">
        <v>813</v>
      </c>
      <c r="F33" s="5" t="s">
        <v>1605</v>
      </c>
      <c r="G33" s="5" t="s">
        <v>2512</v>
      </c>
      <c r="H33" s="5" t="n">
        <v>29</v>
      </c>
      <c r="I33" s="5" t="n">
        <v>79.083</v>
      </c>
      <c r="J33" s="5" t="s">
        <v>83</v>
      </c>
      <c r="K33" s="5" t="s">
        <v>4099</v>
      </c>
      <c r="L33" s="5" t="s">
        <v>823</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4076</v>
      </c>
      <c r="CM33" s="5" t="s">
        <v>2506</v>
      </c>
      <c r="CN33" s="5" t="s">
        <v>4100</v>
      </c>
      <c r="CO33" s="5" t="s">
        <v>2513</v>
      </c>
      <c r="CP33" s="5" t="s">
        <v>4107</v>
      </c>
      <c r="CQ33" s="23" t="s">
        <v>4108</v>
      </c>
      <c r="CR33" s="5" t="s">
        <v>828</v>
      </c>
      <c r="CS33" s="5" t="s">
        <v>4080</v>
      </c>
    </row>
    <row r="34" customFormat="false" ht="15" hidden="false" customHeight="true" outlineLevel="0" collapsed="false">
      <c r="A34" s="5" t="n">
        <v>164</v>
      </c>
      <c r="B34" s="5" t="n">
        <v>164</v>
      </c>
      <c r="C34" s="5" t="s">
        <v>812</v>
      </c>
      <c r="D34" s="5" t="n">
        <v>2000</v>
      </c>
      <c r="E34" s="5" t="s">
        <v>813</v>
      </c>
      <c r="F34" s="5" t="s">
        <v>1605</v>
      </c>
      <c r="G34" s="5" t="s">
        <v>2512</v>
      </c>
      <c r="H34" s="5" t="n">
        <v>29</v>
      </c>
      <c r="I34" s="5" t="n">
        <v>79.083</v>
      </c>
      <c r="J34" s="5" t="s">
        <v>83</v>
      </c>
      <c r="K34" s="5" t="s">
        <v>4101</v>
      </c>
      <c r="L34" s="5" t="s">
        <v>823</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4076</v>
      </c>
      <c r="CM34" s="5" t="s">
        <v>2506</v>
      </c>
      <c r="CN34" s="5" t="s">
        <v>4102</v>
      </c>
      <c r="CO34" s="5" t="s">
        <v>2513</v>
      </c>
      <c r="CP34" s="5" t="s">
        <v>4107</v>
      </c>
      <c r="CQ34" s="23" t="s">
        <v>4108</v>
      </c>
      <c r="CR34" s="5" t="s">
        <v>828</v>
      </c>
      <c r="CS34" s="5" t="s">
        <v>4080</v>
      </c>
    </row>
    <row r="35" customFormat="false" ht="15" hidden="false" customHeight="true" outlineLevel="0" collapsed="false">
      <c r="A35" s="5" t="n">
        <v>164</v>
      </c>
      <c r="B35" s="5" t="n">
        <v>164</v>
      </c>
      <c r="C35" s="5" t="s">
        <v>812</v>
      </c>
      <c r="D35" s="5" t="n">
        <v>2000</v>
      </c>
      <c r="E35" s="5" t="s">
        <v>813</v>
      </c>
      <c r="F35" s="5" t="s">
        <v>1605</v>
      </c>
      <c r="G35" s="5" t="s">
        <v>2512</v>
      </c>
      <c r="H35" s="5" t="n">
        <v>29</v>
      </c>
      <c r="I35" s="5" t="n">
        <v>79.083</v>
      </c>
      <c r="J35" s="5" t="s">
        <v>83</v>
      </c>
      <c r="K35" s="5" t="s">
        <v>4103</v>
      </c>
      <c r="L35" s="5" t="s">
        <v>823</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4076</v>
      </c>
      <c r="CM35" s="5" t="s">
        <v>2506</v>
      </c>
      <c r="CN35" s="5" t="s">
        <v>4104</v>
      </c>
      <c r="CO35" s="5" t="s">
        <v>2513</v>
      </c>
      <c r="CP35" s="5" t="s">
        <v>4107</v>
      </c>
      <c r="CQ35" s="23" t="s">
        <v>4108</v>
      </c>
      <c r="CR35" s="5" t="s">
        <v>828</v>
      </c>
      <c r="CS35" s="5" t="s">
        <v>4080</v>
      </c>
    </row>
    <row r="36" customFormat="false" ht="15" hidden="false" customHeight="true" outlineLevel="0" collapsed="false">
      <c r="A36" s="5" t="n">
        <v>164</v>
      </c>
      <c r="B36" s="5" t="n">
        <v>164</v>
      </c>
      <c r="C36" s="5" t="s">
        <v>812</v>
      </c>
      <c r="D36" s="5" t="n">
        <v>2000</v>
      </c>
      <c r="E36" s="5" t="s">
        <v>813</v>
      </c>
      <c r="F36" s="5" t="s">
        <v>1605</v>
      </c>
      <c r="G36" s="5" t="s">
        <v>2512</v>
      </c>
      <c r="H36" s="5" t="n">
        <v>29</v>
      </c>
      <c r="I36" s="5" t="n">
        <v>79.083</v>
      </c>
      <c r="J36" s="5" t="s">
        <v>83</v>
      </c>
      <c r="K36" s="5" t="s">
        <v>1773</v>
      </c>
      <c r="L36" s="5" t="s">
        <v>823</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4076</v>
      </c>
      <c r="CM36" s="5" t="s">
        <v>2506</v>
      </c>
      <c r="CN36" s="5" t="s">
        <v>4105</v>
      </c>
      <c r="CO36" s="5" t="s">
        <v>2513</v>
      </c>
      <c r="CP36" s="5" t="s">
        <v>4107</v>
      </c>
      <c r="CQ36" s="23" t="s">
        <v>4108</v>
      </c>
      <c r="CR36" s="5" t="s">
        <v>828</v>
      </c>
      <c r="CS36" s="5" t="s">
        <v>4080</v>
      </c>
    </row>
    <row r="37" customFormat="false" ht="15" hidden="false" customHeight="true" outlineLevel="0" collapsed="false">
      <c r="A37" s="5" t="n">
        <v>164</v>
      </c>
      <c r="B37" s="5" t="n">
        <v>164</v>
      </c>
      <c r="C37" s="5" t="s">
        <v>812</v>
      </c>
      <c r="D37" s="5" t="n">
        <v>2000</v>
      </c>
      <c r="E37" s="5" t="s">
        <v>813</v>
      </c>
      <c r="F37" s="5" t="s">
        <v>1605</v>
      </c>
      <c r="G37" s="5" t="s">
        <v>2512</v>
      </c>
      <c r="H37" s="5" t="n">
        <v>29</v>
      </c>
      <c r="I37" s="5" t="n">
        <v>79.083</v>
      </c>
      <c r="J37" s="5" t="s">
        <v>83</v>
      </c>
      <c r="K37" s="5" t="s">
        <v>2505</v>
      </c>
      <c r="L37" s="5" t="s">
        <v>823</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4076</v>
      </c>
      <c r="CM37" s="5" t="s">
        <v>2506</v>
      </c>
      <c r="CN37" s="5" t="s">
        <v>4106</v>
      </c>
      <c r="CO37" s="5" t="s">
        <v>2513</v>
      </c>
      <c r="CP37" s="5" t="s">
        <v>4107</v>
      </c>
      <c r="CQ37" s="23" t="s">
        <v>4108</v>
      </c>
      <c r="CR37" s="5" t="s">
        <v>828</v>
      </c>
      <c r="CS37" s="5" t="s">
        <v>4080</v>
      </c>
    </row>
    <row r="38" customFormat="false" ht="15" hidden="false" customHeight="true" outlineLevel="0" collapsed="false">
      <c r="A38" s="5" t="n">
        <v>164</v>
      </c>
      <c r="B38" s="5" t="n">
        <v>164</v>
      </c>
      <c r="C38" s="5" t="s">
        <v>812</v>
      </c>
      <c r="D38" s="5" t="n">
        <v>2000</v>
      </c>
      <c r="E38" s="5" t="s">
        <v>813</v>
      </c>
      <c r="F38" s="5" t="s">
        <v>857</v>
      </c>
      <c r="G38" s="5" t="s">
        <v>2515</v>
      </c>
      <c r="H38" s="5" t="n">
        <v>26.967</v>
      </c>
      <c r="I38" s="5" t="n">
        <v>80.567</v>
      </c>
      <c r="J38" s="5" t="s">
        <v>83</v>
      </c>
      <c r="K38" s="5" t="s">
        <v>4083</v>
      </c>
      <c r="L38" s="5" t="s">
        <v>842</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4076</v>
      </c>
      <c r="CM38" s="5" t="s">
        <v>2506</v>
      </c>
      <c r="CN38" s="5" t="s">
        <v>4084</v>
      </c>
      <c r="CO38" s="5" t="s">
        <v>2516</v>
      </c>
      <c r="CP38" s="5" t="s">
        <v>4109</v>
      </c>
      <c r="CQ38" s="23" t="s">
        <v>4110</v>
      </c>
      <c r="CR38" s="5" t="s">
        <v>828</v>
      </c>
      <c r="CS38" s="5" t="s">
        <v>4080</v>
      </c>
    </row>
    <row r="39" customFormat="false" ht="15" hidden="false" customHeight="true" outlineLevel="0" collapsed="false">
      <c r="A39" s="5" t="n">
        <v>164</v>
      </c>
      <c r="B39" s="5" t="n">
        <v>164</v>
      </c>
      <c r="C39" s="5" t="s">
        <v>812</v>
      </c>
      <c r="D39" s="5" t="n">
        <v>2000</v>
      </c>
      <c r="E39" s="5" t="s">
        <v>813</v>
      </c>
      <c r="F39" s="5" t="s">
        <v>857</v>
      </c>
      <c r="G39" s="5" t="s">
        <v>2515</v>
      </c>
      <c r="H39" s="5" t="n">
        <v>26.967</v>
      </c>
      <c r="I39" s="5" t="n">
        <v>80.567</v>
      </c>
      <c r="J39" s="5" t="s">
        <v>83</v>
      </c>
      <c r="K39" s="5" t="s">
        <v>4085</v>
      </c>
      <c r="L39" s="5" t="s">
        <v>842</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4076</v>
      </c>
      <c r="CM39" s="5" t="s">
        <v>2506</v>
      </c>
      <c r="CN39" s="5" t="s">
        <v>4086</v>
      </c>
      <c r="CO39" s="5" t="s">
        <v>2516</v>
      </c>
      <c r="CP39" s="5" t="s">
        <v>4109</v>
      </c>
      <c r="CQ39" s="23" t="s">
        <v>4110</v>
      </c>
      <c r="CR39" s="5" t="s">
        <v>828</v>
      </c>
      <c r="CS39" s="5" t="s">
        <v>4080</v>
      </c>
    </row>
    <row r="40" customFormat="false" ht="15" hidden="false" customHeight="true" outlineLevel="0" collapsed="false">
      <c r="A40" s="5" t="n">
        <v>164</v>
      </c>
      <c r="B40" s="5" t="n">
        <v>164</v>
      </c>
      <c r="C40" s="5" t="s">
        <v>812</v>
      </c>
      <c r="D40" s="5" t="n">
        <v>2000</v>
      </c>
      <c r="E40" s="5" t="s">
        <v>813</v>
      </c>
      <c r="F40" s="5" t="s">
        <v>857</v>
      </c>
      <c r="G40" s="5" t="s">
        <v>2515</v>
      </c>
      <c r="H40" s="5" t="n">
        <v>26.967</v>
      </c>
      <c r="I40" s="5" t="n">
        <v>80.567</v>
      </c>
      <c r="J40" s="5" t="s">
        <v>83</v>
      </c>
      <c r="K40" s="5" t="s">
        <v>4087</v>
      </c>
      <c r="L40" s="5" t="s">
        <v>842</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4076</v>
      </c>
      <c r="CM40" s="5" t="s">
        <v>2506</v>
      </c>
      <c r="CN40" s="5" t="s">
        <v>4088</v>
      </c>
      <c r="CO40" s="5" t="s">
        <v>2516</v>
      </c>
      <c r="CP40" s="5" t="s">
        <v>4109</v>
      </c>
      <c r="CQ40" s="23" t="s">
        <v>4110</v>
      </c>
      <c r="CR40" s="5" t="s">
        <v>828</v>
      </c>
      <c r="CS40" s="5" t="s">
        <v>4080</v>
      </c>
    </row>
    <row r="41" customFormat="false" ht="15" hidden="false" customHeight="true" outlineLevel="0" collapsed="false">
      <c r="A41" s="5" t="n">
        <v>164</v>
      </c>
      <c r="B41" s="5" t="n">
        <v>164</v>
      </c>
      <c r="C41" s="5" t="s">
        <v>812</v>
      </c>
      <c r="D41" s="5" t="n">
        <v>2000</v>
      </c>
      <c r="E41" s="5" t="s">
        <v>813</v>
      </c>
      <c r="F41" s="5" t="s">
        <v>857</v>
      </c>
      <c r="G41" s="5" t="s">
        <v>2515</v>
      </c>
      <c r="H41" s="5" t="n">
        <v>26.967</v>
      </c>
      <c r="I41" s="5" t="n">
        <v>80.567</v>
      </c>
      <c r="J41" s="5" t="s">
        <v>83</v>
      </c>
      <c r="K41" s="5" t="s">
        <v>4089</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4076</v>
      </c>
      <c r="CM41" s="5" t="s">
        <v>2506</v>
      </c>
      <c r="CN41" s="5" t="s">
        <v>4090</v>
      </c>
      <c r="CO41" s="5" t="s">
        <v>2516</v>
      </c>
      <c r="CP41" s="5" t="s">
        <v>4109</v>
      </c>
      <c r="CQ41" s="23" t="s">
        <v>4110</v>
      </c>
      <c r="CR41" s="5" t="s">
        <v>828</v>
      </c>
      <c r="CS41" s="5" t="s">
        <v>4080</v>
      </c>
    </row>
    <row r="42" customFormat="false" ht="15" hidden="false" customHeight="true" outlineLevel="0" collapsed="false">
      <c r="A42" s="5" t="n">
        <v>164</v>
      </c>
      <c r="B42" s="5" t="n">
        <v>164</v>
      </c>
      <c r="C42" s="5" t="s">
        <v>812</v>
      </c>
      <c r="D42" s="5" t="n">
        <v>2000</v>
      </c>
      <c r="E42" s="5" t="s">
        <v>813</v>
      </c>
      <c r="F42" s="5" t="s">
        <v>857</v>
      </c>
      <c r="G42" s="5" t="s">
        <v>2515</v>
      </c>
      <c r="H42" s="5" t="n">
        <v>26.967</v>
      </c>
      <c r="I42" s="5" t="n">
        <v>80.567</v>
      </c>
      <c r="J42" s="5" t="s">
        <v>83</v>
      </c>
      <c r="K42" s="5" t="s">
        <v>4091</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4076</v>
      </c>
      <c r="CM42" s="5" t="s">
        <v>2506</v>
      </c>
      <c r="CN42" s="5" t="s">
        <v>4092</v>
      </c>
      <c r="CO42" s="5" t="s">
        <v>2516</v>
      </c>
      <c r="CP42" s="5" t="s">
        <v>4109</v>
      </c>
      <c r="CQ42" s="23" t="s">
        <v>4110</v>
      </c>
      <c r="CR42" s="5" t="s">
        <v>828</v>
      </c>
      <c r="CS42" s="5" t="s">
        <v>4080</v>
      </c>
    </row>
    <row r="43" customFormat="false" ht="15" hidden="false" customHeight="true" outlineLevel="0" collapsed="false">
      <c r="A43" s="5" t="n">
        <v>164</v>
      </c>
      <c r="B43" s="5" t="n">
        <v>164</v>
      </c>
      <c r="C43" s="5" t="s">
        <v>812</v>
      </c>
      <c r="D43" s="5" t="n">
        <v>2000</v>
      </c>
      <c r="E43" s="5" t="s">
        <v>813</v>
      </c>
      <c r="F43" s="5" t="s">
        <v>857</v>
      </c>
      <c r="G43" s="5" t="s">
        <v>2515</v>
      </c>
      <c r="H43" s="5" t="n">
        <v>26.967</v>
      </c>
      <c r="I43" s="5" t="n">
        <v>80.567</v>
      </c>
      <c r="J43" s="5" t="s">
        <v>83</v>
      </c>
      <c r="K43" s="5" t="s">
        <v>4093</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4076</v>
      </c>
      <c r="CM43" s="5" t="s">
        <v>2506</v>
      </c>
      <c r="CN43" s="5" t="s">
        <v>4094</v>
      </c>
      <c r="CO43" s="5" t="s">
        <v>2516</v>
      </c>
      <c r="CP43" s="5" t="s">
        <v>4109</v>
      </c>
      <c r="CQ43" s="23" t="s">
        <v>4110</v>
      </c>
      <c r="CR43" s="5" t="s">
        <v>828</v>
      </c>
      <c r="CS43" s="5" t="s">
        <v>4080</v>
      </c>
    </row>
    <row r="44" customFormat="false" ht="15" hidden="false" customHeight="true" outlineLevel="0" collapsed="false">
      <c r="A44" s="5" t="n">
        <v>164</v>
      </c>
      <c r="B44" s="5" t="n">
        <v>164</v>
      </c>
      <c r="C44" s="5" t="s">
        <v>812</v>
      </c>
      <c r="D44" s="5" t="n">
        <v>2000</v>
      </c>
      <c r="E44" s="5" t="s">
        <v>813</v>
      </c>
      <c r="F44" s="5" t="s">
        <v>857</v>
      </c>
      <c r="G44" s="5" t="s">
        <v>2515</v>
      </c>
      <c r="H44" s="5" t="n">
        <v>26.967</v>
      </c>
      <c r="I44" s="5" t="n">
        <v>80.567</v>
      </c>
      <c r="J44" s="5" t="s">
        <v>83</v>
      </c>
      <c r="K44" s="5" t="s">
        <v>4095</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4076</v>
      </c>
      <c r="CM44" s="5" t="s">
        <v>2506</v>
      </c>
      <c r="CN44" s="5" t="s">
        <v>4096</v>
      </c>
      <c r="CO44" s="5" t="s">
        <v>2516</v>
      </c>
      <c r="CP44" s="5" t="s">
        <v>4109</v>
      </c>
      <c r="CQ44" s="23" t="s">
        <v>4110</v>
      </c>
      <c r="CR44" s="5" t="s">
        <v>828</v>
      </c>
      <c r="CS44" s="5" t="s">
        <v>4080</v>
      </c>
    </row>
    <row r="45" customFormat="false" ht="15" hidden="false" customHeight="true" outlineLevel="0" collapsed="false">
      <c r="A45" s="5" t="n">
        <v>164</v>
      </c>
      <c r="B45" s="5" t="n">
        <v>164</v>
      </c>
      <c r="C45" s="5" t="s">
        <v>812</v>
      </c>
      <c r="D45" s="5" t="n">
        <v>2000</v>
      </c>
      <c r="E45" s="5" t="s">
        <v>813</v>
      </c>
      <c r="F45" s="5" t="s">
        <v>857</v>
      </c>
      <c r="G45" s="5" t="s">
        <v>2515</v>
      </c>
      <c r="H45" s="5" t="n">
        <v>26.967</v>
      </c>
      <c r="I45" s="5" t="n">
        <v>80.567</v>
      </c>
      <c r="J45" s="5" t="s">
        <v>83</v>
      </c>
      <c r="K45" s="5" t="s">
        <v>4097</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4076</v>
      </c>
      <c r="CM45" s="5" t="s">
        <v>2506</v>
      </c>
      <c r="CN45" s="5" t="s">
        <v>4098</v>
      </c>
      <c r="CO45" s="5" t="s">
        <v>2516</v>
      </c>
      <c r="CP45" s="5" t="s">
        <v>4109</v>
      </c>
      <c r="CQ45" s="23" t="s">
        <v>4110</v>
      </c>
      <c r="CR45" s="5" t="s">
        <v>828</v>
      </c>
      <c r="CS45" s="5" t="s">
        <v>4080</v>
      </c>
    </row>
    <row r="46" customFormat="false" ht="15" hidden="false" customHeight="true" outlineLevel="0" collapsed="false">
      <c r="A46" s="5" t="n">
        <v>164</v>
      </c>
      <c r="B46" s="5" t="n">
        <v>164</v>
      </c>
      <c r="C46" s="5" t="s">
        <v>812</v>
      </c>
      <c r="D46" s="5" t="n">
        <v>2000</v>
      </c>
      <c r="E46" s="5" t="s">
        <v>813</v>
      </c>
      <c r="F46" s="5" t="s">
        <v>857</v>
      </c>
      <c r="G46" s="5" t="s">
        <v>2515</v>
      </c>
      <c r="H46" s="5" t="n">
        <v>26.967</v>
      </c>
      <c r="I46" s="5" t="n">
        <v>80.567</v>
      </c>
      <c r="J46" s="5" t="s">
        <v>83</v>
      </c>
      <c r="K46" s="5" t="s">
        <v>4099</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4076</v>
      </c>
      <c r="CM46" s="5" t="s">
        <v>2506</v>
      </c>
      <c r="CN46" s="5" t="s">
        <v>4100</v>
      </c>
      <c r="CO46" s="5" t="s">
        <v>2516</v>
      </c>
      <c r="CP46" s="5" t="s">
        <v>4109</v>
      </c>
      <c r="CQ46" s="23" t="s">
        <v>4110</v>
      </c>
      <c r="CR46" s="5" t="s">
        <v>828</v>
      </c>
      <c r="CS46" s="5" t="s">
        <v>4080</v>
      </c>
    </row>
    <row r="47" customFormat="false" ht="15" hidden="false" customHeight="true" outlineLevel="0" collapsed="false">
      <c r="A47" s="5" t="n">
        <v>164</v>
      </c>
      <c r="B47" s="5" t="n">
        <v>164</v>
      </c>
      <c r="C47" s="5" t="s">
        <v>812</v>
      </c>
      <c r="D47" s="5" t="n">
        <v>2000</v>
      </c>
      <c r="E47" s="5" t="s">
        <v>813</v>
      </c>
      <c r="F47" s="5" t="s">
        <v>857</v>
      </c>
      <c r="G47" s="5" t="s">
        <v>2515</v>
      </c>
      <c r="H47" s="5" t="n">
        <v>26.967</v>
      </c>
      <c r="I47" s="5" t="n">
        <v>80.567</v>
      </c>
      <c r="J47" s="5" t="s">
        <v>83</v>
      </c>
      <c r="K47" s="5" t="s">
        <v>4101</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4076</v>
      </c>
      <c r="CM47" s="5" t="s">
        <v>2506</v>
      </c>
      <c r="CN47" s="5" t="s">
        <v>4102</v>
      </c>
      <c r="CO47" s="5" t="s">
        <v>2516</v>
      </c>
      <c r="CP47" s="5" t="s">
        <v>4109</v>
      </c>
      <c r="CQ47" s="23" t="s">
        <v>4110</v>
      </c>
      <c r="CR47" s="5" t="s">
        <v>828</v>
      </c>
      <c r="CS47" s="5" t="s">
        <v>4080</v>
      </c>
    </row>
    <row r="48" customFormat="false" ht="15" hidden="false" customHeight="true" outlineLevel="0" collapsed="false">
      <c r="A48" s="5" t="n">
        <v>164</v>
      </c>
      <c r="B48" s="5" t="n">
        <v>164</v>
      </c>
      <c r="C48" s="5" t="s">
        <v>812</v>
      </c>
      <c r="D48" s="5" t="n">
        <v>2000</v>
      </c>
      <c r="E48" s="5" t="s">
        <v>813</v>
      </c>
      <c r="F48" s="5" t="s">
        <v>857</v>
      </c>
      <c r="G48" s="5" t="s">
        <v>2515</v>
      </c>
      <c r="H48" s="5" t="n">
        <v>26.967</v>
      </c>
      <c r="I48" s="5" t="n">
        <v>80.567</v>
      </c>
      <c r="J48" s="5" t="s">
        <v>83</v>
      </c>
      <c r="K48" s="5" t="s">
        <v>4103</v>
      </c>
      <c r="L48" s="5" t="s">
        <v>823</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4076</v>
      </c>
      <c r="CM48" s="5" t="s">
        <v>2506</v>
      </c>
      <c r="CN48" s="5" t="s">
        <v>4104</v>
      </c>
      <c r="CO48" s="5" t="s">
        <v>2516</v>
      </c>
      <c r="CP48" s="5" t="s">
        <v>4109</v>
      </c>
      <c r="CQ48" s="23" t="s">
        <v>4110</v>
      </c>
      <c r="CR48" s="5" t="s">
        <v>828</v>
      </c>
      <c r="CS48" s="5" t="s">
        <v>4080</v>
      </c>
    </row>
    <row r="49" customFormat="false" ht="15" hidden="false" customHeight="true" outlineLevel="0" collapsed="false">
      <c r="A49" s="5" t="n">
        <v>164</v>
      </c>
      <c r="B49" s="5" t="n">
        <v>164</v>
      </c>
      <c r="C49" s="5" t="s">
        <v>812</v>
      </c>
      <c r="D49" s="5" t="n">
        <v>2000</v>
      </c>
      <c r="E49" s="5" t="s">
        <v>813</v>
      </c>
      <c r="F49" s="5" t="s">
        <v>857</v>
      </c>
      <c r="G49" s="5" t="s">
        <v>2515</v>
      </c>
      <c r="H49" s="5" t="n">
        <v>26.967</v>
      </c>
      <c r="I49" s="5" t="n">
        <v>80.567</v>
      </c>
      <c r="J49" s="5" t="s">
        <v>83</v>
      </c>
      <c r="K49" s="5" t="s">
        <v>1773</v>
      </c>
      <c r="L49" s="5" t="s">
        <v>823</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4076</v>
      </c>
      <c r="CM49" s="5" t="s">
        <v>2506</v>
      </c>
      <c r="CN49" s="5" t="s">
        <v>4105</v>
      </c>
      <c r="CO49" s="5" t="s">
        <v>2516</v>
      </c>
      <c r="CP49" s="5" t="s">
        <v>4109</v>
      </c>
      <c r="CQ49" s="23" t="s">
        <v>4110</v>
      </c>
      <c r="CR49" s="5" t="s">
        <v>828</v>
      </c>
      <c r="CS49" s="5" t="s">
        <v>4080</v>
      </c>
    </row>
    <row r="50" customFormat="false" ht="15" hidden="false" customHeight="true" outlineLevel="0" collapsed="false">
      <c r="A50" s="5" t="n">
        <v>164</v>
      </c>
      <c r="B50" s="5" t="n">
        <v>164</v>
      </c>
      <c r="C50" s="5" t="s">
        <v>812</v>
      </c>
      <c r="D50" s="5" t="n">
        <v>2000</v>
      </c>
      <c r="E50" s="5" t="s">
        <v>813</v>
      </c>
      <c r="F50" s="5" t="s">
        <v>857</v>
      </c>
      <c r="G50" s="5" t="s">
        <v>2515</v>
      </c>
      <c r="H50" s="5" t="n">
        <v>26.967</v>
      </c>
      <c r="I50" s="5" t="n">
        <v>80.567</v>
      </c>
      <c r="J50" s="5" t="s">
        <v>83</v>
      </c>
      <c r="K50" s="5" t="s">
        <v>2505</v>
      </c>
      <c r="L50" s="5" t="s">
        <v>823</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4076</v>
      </c>
      <c r="CM50" s="5" t="s">
        <v>2506</v>
      </c>
      <c r="CN50" s="5" t="s">
        <v>4106</v>
      </c>
      <c r="CO50" s="5" t="s">
        <v>2516</v>
      </c>
      <c r="CP50" s="5" t="s">
        <v>4109</v>
      </c>
      <c r="CQ50" s="23" t="s">
        <v>4110</v>
      </c>
      <c r="CR50" s="5" t="s">
        <v>828</v>
      </c>
      <c r="CS50" s="5" t="s">
        <v>4080</v>
      </c>
    </row>
    <row r="51" customFormat="false" ht="15" hidden="false" customHeight="true" outlineLevel="0" collapsed="false">
      <c r="A51" s="5" t="n">
        <v>164</v>
      </c>
      <c r="B51" s="5" t="n">
        <v>164</v>
      </c>
      <c r="C51" s="5" t="s">
        <v>812</v>
      </c>
      <c r="D51" s="5" t="n">
        <v>2000</v>
      </c>
      <c r="E51" s="5" t="s">
        <v>813</v>
      </c>
      <c r="F51" s="5" t="s">
        <v>857</v>
      </c>
      <c r="G51" s="5" t="s">
        <v>2518</v>
      </c>
      <c r="H51" s="5" t="n">
        <v>26.067</v>
      </c>
      <c r="I51" s="5" t="n">
        <v>82.133</v>
      </c>
      <c r="J51" s="5" t="s">
        <v>83</v>
      </c>
      <c r="K51" s="5" t="s">
        <v>4081</v>
      </c>
      <c r="L51" s="5" t="s">
        <v>842</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4076</v>
      </c>
      <c r="CM51" s="5" t="s">
        <v>2506</v>
      </c>
      <c r="CN51" s="5" t="s">
        <v>4082</v>
      </c>
      <c r="CO51" s="5" t="s">
        <v>2519</v>
      </c>
      <c r="CP51" s="5" t="s">
        <v>4111</v>
      </c>
      <c r="CQ51" s="23" t="s">
        <v>4112</v>
      </c>
      <c r="CR51" s="5" t="s">
        <v>828</v>
      </c>
      <c r="CS51" s="5" t="s">
        <v>4080</v>
      </c>
    </row>
    <row r="52" customFormat="false" ht="15" hidden="false" customHeight="true" outlineLevel="0" collapsed="false">
      <c r="A52" s="5" t="n">
        <v>164</v>
      </c>
      <c r="B52" s="5" t="n">
        <v>164</v>
      </c>
      <c r="C52" s="5" t="s">
        <v>812</v>
      </c>
      <c r="D52" s="5" t="n">
        <v>2000</v>
      </c>
      <c r="E52" s="5" t="s">
        <v>813</v>
      </c>
      <c r="F52" s="5" t="s">
        <v>857</v>
      </c>
      <c r="G52" s="5" t="s">
        <v>2518</v>
      </c>
      <c r="H52" s="5" t="n">
        <v>26.067</v>
      </c>
      <c r="I52" s="5" t="n">
        <v>82.133</v>
      </c>
      <c r="J52" s="5" t="s">
        <v>83</v>
      </c>
      <c r="K52" s="5" t="s">
        <v>4083</v>
      </c>
      <c r="L52" s="5" t="s">
        <v>842</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4076</v>
      </c>
      <c r="CM52" s="5" t="s">
        <v>2506</v>
      </c>
      <c r="CN52" s="5" t="s">
        <v>4084</v>
      </c>
      <c r="CO52" s="5" t="s">
        <v>2519</v>
      </c>
      <c r="CP52" s="5" t="s">
        <v>4111</v>
      </c>
      <c r="CQ52" s="23" t="s">
        <v>4112</v>
      </c>
      <c r="CR52" s="5" t="s">
        <v>828</v>
      </c>
      <c r="CS52" s="5" t="s">
        <v>4080</v>
      </c>
    </row>
    <row r="53" customFormat="false" ht="15" hidden="false" customHeight="true" outlineLevel="0" collapsed="false">
      <c r="A53" s="5" t="n">
        <v>164</v>
      </c>
      <c r="B53" s="5" t="n">
        <v>164</v>
      </c>
      <c r="C53" s="5" t="s">
        <v>812</v>
      </c>
      <c r="D53" s="5" t="n">
        <v>2000</v>
      </c>
      <c r="E53" s="5" t="s">
        <v>813</v>
      </c>
      <c r="F53" s="5" t="s">
        <v>857</v>
      </c>
      <c r="G53" s="5" t="s">
        <v>2518</v>
      </c>
      <c r="H53" s="5" t="n">
        <v>26.067</v>
      </c>
      <c r="I53" s="5" t="n">
        <v>82.133</v>
      </c>
      <c r="J53" s="5" t="s">
        <v>83</v>
      </c>
      <c r="K53" s="5" t="s">
        <v>4085</v>
      </c>
      <c r="L53" s="5" t="s">
        <v>842</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4076</v>
      </c>
      <c r="CM53" s="5" t="s">
        <v>2506</v>
      </c>
      <c r="CN53" s="5" t="s">
        <v>4086</v>
      </c>
      <c r="CO53" s="5" t="s">
        <v>2519</v>
      </c>
      <c r="CP53" s="5" t="s">
        <v>4111</v>
      </c>
      <c r="CQ53" s="23" t="s">
        <v>4112</v>
      </c>
      <c r="CR53" s="5" t="s">
        <v>828</v>
      </c>
      <c r="CS53" s="5" t="s">
        <v>4080</v>
      </c>
    </row>
    <row r="54" customFormat="false" ht="15" hidden="false" customHeight="true" outlineLevel="0" collapsed="false">
      <c r="A54" s="5" t="n">
        <v>164</v>
      </c>
      <c r="B54" s="5" t="n">
        <v>164</v>
      </c>
      <c r="C54" s="5" t="s">
        <v>812</v>
      </c>
      <c r="D54" s="5" t="n">
        <v>2000</v>
      </c>
      <c r="E54" s="5" t="s">
        <v>813</v>
      </c>
      <c r="F54" s="5" t="s">
        <v>857</v>
      </c>
      <c r="G54" s="5" t="s">
        <v>2518</v>
      </c>
      <c r="H54" s="5" t="n">
        <v>26.067</v>
      </c>
      <c r="I54" s="5" t="n">
        <v>82.133</v>
      </c>
      <c r="J54" s="5" t="s">
        <v>83</v>
      </c>
      <c r="K54" s="5" t="s">
        <v>4087</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4076</v>
      </c>
      <c r="CM54" s="5" t="s">
        <v>2506</v>
      </c>
      <c r="CN54" s="5" t="s">
        <v>4088</v>
      </c>
      <c r="CO54" s="5" t="s">
        <v>2519</v>
      </c>
      <c r="CP54" s="5" t="s">
        <v>4111</v>
      </c>
      <c r="CQ54" s="23" t="s">
        <v>4112</v>
      </c>
      <c r="CR54" s="5" t="s">
        <v>828</v>
      </c>
      <c r="CS54" s="5" t="s">
        <v>4080</v>
      </c>
    </row>
    <row r="55" customFormat="false" ht="15" hidden="false" customHeight="true" outlineLevel="0" collapsed="false">
      <c r="A55" s="5" t="n">
        <v>164</v>
      </c>
      <c r="B55" s="5" t="n">
        <v>164</v>
      </c>
      <c r="C55" s="5" t="s">
        <v>812</v>
      </c>
      <c r="D55" s="5" t="n">
        <v>2000</v>
      </c>
      <c r="E55" s="5" t="s">
        <v>813</v>
      </c>
      <c r="F55" s="5" t="s">
        <v>857</v>
      </c>
      <c r="G55" s="5" t="s">
        <v>2518</v>
      </c>
      <c r="H55" s="5" t="n">
        <v>26.067</v>
      </c>
      <c r="I55" s="5" t="n">
        <v>82.133</v>
      </c>
      <c r="J55" s="5" t="s">
        <v>83</v>
      </c>
      <c r="K55" s="5" t="s">
        <v>4089</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4076</v>
      </c>
      <c r="CM55" s="5" t="s">
        <v>2506</v>
      </c>
      <c r="CN55" s="5" t="s">
        <v>4090</v>
      </c>
      <c r="CO55" s="5" t="s">
        <v>2519</v>
      </c>
      <c r="CP55" s="5" t="s">
        <v>4111</v>
      </c>
      <c r="CQ55" s="23" t="s">
        <v>4112</v>
      </c>
      <c r="CR55" s="5" t="s">
        <v>828</v>
      </c>
      <c r="CS55" s="5" t="s">
        <v>4080</v>
      </c>
    </row>
    <row r="56" customFormat="false" ht="15" hidden="false" customHeight="true" outlineLevel="0" collapsed="false">
      <c r="A56" s="5" t="n">
        <v>164</v>
      </c>
      <c r="B56" s="5" t="n">
        <v>164</v>
      </c>
      <c r="C56" s="5" t="s">
        <v>812</v>
      </c>
      <c r="D56" s="5" t="n">
        <v>2000</v>
      </c>
      <c r="E56" s="5" t="s">
        <v>813</v>
      </c>
      <c r="F56" s="5" t="s">
        <v>857</v>
      </c>
      <c r="G56" s="5" t="s">
        <v>2518</v>
      </c>
      <c r="H56" s="5" t="n">
        <v>26.067</v>
      </c>
      <c r="I56" s="5" t="n">
        <v>82.133</v>
      </c>
      <c r="J56" s="5" t="s">
        <v>83</v>
      </c>
      <c r="K56" s="5" t="s">
        <v>4091</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4076</v>
      </c>
      <c r="CM56" s="5" t="s">
        <v>2506</v>
      </c>
      <c r="CN56" s="5" t="s">
        <v>4092</v>
      </c>
      <c r="CO56" s="5" t="s">
        <v>2519</v>
      </c>
      <c r="CP56" s="5" t="s">
        <v>4111</v>
      </c>
      <c r="CQ56" s="23" t="s">
        <v>4112</v>
      </c>
      <c r="CR56" s="5" t="s">
        <v>828</v>
      </c>
      <c r="CS56" s="5" t="s">
        <v>4080</v>
      </c>
    </row>
    <row r="57" customFormat="false" ht="15" hidden="false" customHeight="true" outlineLevel="0" collapsed="false">
      <c r="A57" s="5" t="n">
        <v>164</v>
      </c>
      <c r="B57" s="5" t="n">
        <v>164</v>
      </c>
      <c r="C57" s="5" t="s">
        <v>812</v>
      </c>
      <c r="D57" s="5" t="n">
        <v>2000</v>
      </c>
      <c r="E57" s="5" t="s">
        <v>813</v>
      </c>
      <c r="F57" s="5" t="s">
        <v>857</v>
      </c>
      <c r="G57" s="5" t="s">
        <v>2518</v>
      </c>
      <c r="H57" s="5" t="n">
        <v>26.067</v>
      </c>
      <c r="I57" s="5" t="n">
        <v>82.133</v>
      </c>
      <c r="J57" s="5" t="s">
        <v>83</v>
      </c>
      <c r="K57" s="5" t="s">
        <v>4093</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4076</v>
      </c>
      <c r="CM57" s="5" t="s">
        <v>2506</v>
      </c>
      <c r="CN57" s="5" t="s">
        <v>4094</v>
      </c>
      <c r="CO57" s="5" t="s">
        <v>2519</v>
      </c>
      <c r="CP57" s="5" t="s">
        <v>4111</v>
      </c>
      <c r="CQ57" s="23" t="s">
        <v>4112</v>
      </c>
      <c r="CR57" s="5" t="s">
        <v>828</v>
      </c>
      <c r="CS57" s="5" t="s">
        <v>4080</v>
      </c>
    </row>
    <row r="58" customFormat="false" ht="15" hidden="false" customHeight="true" outlineLevel="0" collapsed="false">
      <c r="A58" s="5" t="n">
        <v>164</v>
      </c>
      <c r="B58" s="5" t="n">
        <v>164</v>
      </c>
      <c r="C58" s="5" t="s">
        <v>812</v>
      </c>
      <c r="D58" s="5" t="n">
        <v>2000</v>
      </c>
      <c r="E58" s="5" t="s">
        <v>813</v>
      </c>
      <c r="F58" s="5" t="s">
        <v>857</v>
      </c>
      <c r="G58" s="5" t="s">
        <v>2518</v>
      </c>
      <c r="H58" s="5" t="n">
        <v>26.067</v>
      </c>
      <c r="I58" s="5" t="n">
        <v>82.133</v>
      </c>
      <c r="J58" s="5" t="s">
        <v>83</v>
      </c>
      <c r="K58" s="5" t="s">
        <v>4095</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4076</v>
      </c>
      <c r="CM58" s="5" t="s">
        <v>2506</v>
      </c>
      <c r="CN58" s="5" t="s">
        <v>4096</v>
      </c>
      <c r="CO58" s="5" t="s">
        <v>2519</v>
      </c>
      <c r="CP58" s="5" t="s">
        <v>4111</v>
      </c>
      <c r="CQ58" s="23" t="s">
        <v>4112</v>
      </c>
      <c r="CR58" s="5" t="s">
        <v>828</v>
      </c>
      <c r="CS58" s="5" t="s">
        <v>4080</v>
      </c>
    </row>
    <row r="59" customFormat="false" ht="15" hidden="false" customHeight="true" outlineLevel="0" collapsed="false">
      <c r="A59" s="5" t="n">
        <v>164</v>
      </c>
      <c r="B59" s="5" t="n">
        <v>164</v>
      </c>
      <c r="C59" s="5" t="s">
        <v>812</v>
      </c>
      <c r="D59" s="5" t="n">
        <v>2000</v>
      </c>
      <c r="E59" s="5" t="s">
        <v>813</v>
      </c>
      <c r="F59" s="5" t="s">
        <v>857</v>
      </c>
      <c r="G59" s="5" t="s">
        <v>2518</v>
      </c>
      <c r="H59" s="5" t="n">
        <v>26.067</v>
      </c>
      <c r="I59" s="5" t="n">
        <v>82.133</v>
      </c>
      <c r="J59" s="5" t="s">
        <v>83</v>
      </c>
      <c r="K59" s="5" t="s">
        <v>4097</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4076</v>
      </c>
      <c r="CM59" s="5" t="s">
        <v>2506</v>
      </c>
      <c r="CN59" s="5" t="s">
        <v>4098</v>
      </c>
      <c r="CO59" s="5" t="s">
        <v>2519</v>
      </c>
      <c r="CP59" s="5" t="s">
        <v>4111</v>
      </c>
      <c r="CQ59" s="23" t="s">
        <v>4112</v>
      </c>
      <c r="CR59" s="5" t="s">
        <v>828</v>
      </c>
      <c r="CS59" s="5" t="s">
        <v>4080</v>
      </c>
    </row>
    <row r="60" customFormat="false" ht="15" hidden="false" customHeight="true" outlineLevel="0" collapsed="false">
      <c r="A60" s="5" t="n">
        <v>164</v>
      </c>
      <c r="B60" s="5" t="n">
        <v>164</v>
      </c>
      <c r="C60" s="5" t="s">
        <v>812</v>
      </c>
      <c r="D60" s="5" t="n">
        <v>2000</v>
      </c>
      <c r="E60" s="5" t="s">
        <v>813</v>
      </c>
      <c r="F60" s="5" t="s">
        <v>857</v>
      </c>
      <c r="G60" s="5" t="s">
        <v>2518</v>
      </c>
      <c r="H60" s="5" t="n">
        <v>26.067</v>
      </c>
      <c r="I60" s="5" t="n">
        <v>82.133</v>
      </c>
      <c r="J60" s="5" t="s">
        <v>83</v>
      </c>
      <c r="K60" s="5" t="s">
        <v>4099</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4076</v>
      </c>
      <c r="CM60" s="5" t="s">
        <v>2506</v>
      </c>
      <c r="CN60" s="5" t="s">
        <v>4100</v>
      </c>
      <c r="CO60" s="5" t="s">
        <v>2519</v>
      </c>
      <c r="CP60" s="5" t="s">
        <v>4111</v>
      </c>
      <c r="CQ60" s="23" t="s">
        <v>4112</v>
      </c>
      <c r="CR60" s="5" t="s">
        <v>828</v>
      </c>
      <c r="CS60" s="5" t="s">
        <v>4080</v>
      </c>
    </row>
    <row r="61" customFormat="false" ht="15" hidden="false" customHeight="true" outlineLevel="0" collapsed="false">
      <c r="A61" s="5" t="n">
        <v>164</v>
      </c>
      <c r="B61" s="5" t="n">
        <v>164</v>
      </c>
      <c r="C61" s="5" t="s">
        <v>812</v>
      </c>
      <c r="D61" s="5" t="n">
        <v>2000</v>
      </c>
      <c r="E61" s="5" t="s">
        <v>813</v>
      </c>
      <c r="F61" s="5" t="s">
        <v>857</v>
      </c>
      <c r="G61" s="5" t="s">
        <v>2518</v>
      </c>
      <c r="H61" s="5" t="n">
        <v>26.067</v>
      </c>
      <c r="I61" s="5" t="n">
        <v>82.133</v>
      </c>
      <c r="J61" s="5" t="s">
        <v>83</v>
      </c>
      <c r="K61" s="5" t="s">
        <v>4101</v>
      </c>
      <c r="L61" s="5" t="s">
        <v>823</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4076</v>
      </c>
      <c r="CM61" s="5" t="s">
        <v>2506</v>
      </c>
      <c r="CN61" s="5" t="s">
        <v>4102</v>
      </c>
      <c r="CO61" s="5" t="s">
        <v>2519</v>
      </c>
      <c r="CP61" s="5" t="s">
        <v>4111</v>
      </c>
      <c r="CQ61" s="23" t="s">
        <v>4112</v>
      </c>
      <c r="CR61" s="5" t="s">
        <v>828</v>
      </c>
      <c r="CS61" s="5" t="s">
        <v>4080</v>
      </c>
    </row>
    <row r="62" customFormat="false" ht="14.25" hidden="false" customHeight="true" outlineLevel="0" collapsed="false">
      <c r="A62" s="5" t="n">
        <v>164</v>
      </c>
      <c r="B62" s="5" t="n">
        <v>164</v>
      </c>
      <c r="C62" s="5" t="s">
        <v>812</v>
      </c>
      <c r="D62" s="5" t="n">
        <v>2000</v>
      </c>
      <c r="E62" s="5" t="s">
        <v>813</v>
      </c>
      <c r="F62" s="5" t="s">
        <v>857</v>
      </c>
      <c r="G62" s="5" t="s">
        <v>2518</v>
      </c>
      <c r="H62" s="5" t="n">
        <v>26.067</v>
      </c>
      <c r="I62" s="5" t="n">
        <v>82.133</v>
      </c>
      <c r="J62" s="5" t="s">
        <v>83</v>
      </c>
      <c r="K62" s="5" t="s">
        <v>4103</v>
      </c>
      <c r="L62" s="5" t="s">
        <v>823</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4076</v>
      </c>
      <c r="CM62" s="5" t="s">
        <v>2506</v>
      </c>
      <c r="CN62" s="5" t="s">
        <v>4104</v>
      </c>
      <c r="CO62" s="5" t="s">
        <v>2519</v>
      </c>
      <c r="CP62" s="5" t="s">
        <v>4111</v>
      </c>
      <c r="CQ62" s="23" t="s">
        <v>4112</v>
      </c>
      <c r="CR62" s="5" t="s">
        <v>828</v>
      </c>
      <c r="CS62" s="5" t="s">
        <v>4080</v>
      </c>
    </row>
    <row r="63" customFormat="false" ht="14.25" hidden="false" customHeight="true" outlineLevel="0" collapsed="false">
      <c r="A63" s="5" t="n">
        <v>164</v>
      </c>
      <c r="B63" s="5" t="n">
        <v>164</v>
      </c>
      <c r="C63" s="5" t="s">
        <v>812</v>
      </c>
      <c r="D63" s="5" t="n">
        <v>2000</v>
      </c>
      <c r="E63" s="5" t="s">
        <v>813</v>
      </c>
      <c r="F63" s="5" t="s">
        <v>857</v>
      </c>
      <c r="G63" s="5" t="s">
        <v>2518</v>
      </c>
      <c r="H63" s="5" t="n">
        <v>26.067</v>
      </c>
      <c r="I63" s="5" t="n">
        <v>82.133</v>
      </c>
      <c r="J63" s="5" t="s">
        <v>83</v>
      </c>
      <c r="K63" s="5" t="s">
        <v>1773</v>
      </c>
      <c r="L63" s="5" t="s">
        <v>823</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4076</v>
      </c>
      <c r="CM63" s="5" t="s">
        <v>2506</v>
      </c>
      <c r="CN63" s="5" t="s">
        <v>4105</v>
      </c>
      <c r="CO63" s="5" t="s">
        <v>2519</v>
      </c>
      <c r="CP63" s="5" t="s">
        <v>4111</v>
      </c>
      <c r="CQ63" s="23" t="s">
        <v>4113</v>
      </c>
      <c r="CR63" s="5" t="s">
        <v>828</v>
      </c>
      <c r="CS63" s="5" t="s">
        <v>4080</v>
      </c>
    </row>
    <row r="64" customFormat="false" ht="14.25" hidden="false" customHeight="true" outlineLevel="0" collapsed="false">
      <c r="A64" s="5" t="n">
        <v>164</v>
      </c>
      <c r="B64" s="5" t="n">
        <v>164</v>
      </c>
      <c r="C64" s="5" t="s">
        <v>812</v>
      </c>
      <c r="D64" s="5" t="n">
        <v>2000</v>
      </c>
      <c r="E64" s="5" t="s">
        <v>813</v>
      </c>
      <c r="F64" s="5" t="s">
        <v>857</v>
      </c>
      <c r="G64" s="5" t="s">
        <v>2518</v>
      </c>
      <c r="H64" s="5" t="n">
        <v>26.067</v>
      </c>
      <c r="I64" s="5" t="n">
        <v>82.133</v>
      </c>
      <c r="J64" s="5" t="s">
        <v>83</v>
      </c>
      <c r="K64" s="5" t="s">
        <v>2505</v>
      </c>
      <c r="L64" s="5" t="s">
        <v>823</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4076</v>
      </c>
      <c r="CM64" s="5" t="s">
        <v>2506</v>
      </c>
      <c r="CN64" s="5" t="s">
        <v>4106</v>
      </c>
      <c r="CO64" s="5" t="s">
        <v>2519</v>
      </c>
      <c r="CP64" s="5" t="s">
        <v>4111</v>
      </c>
      <c r="CQ64" s="23" t="s">
        <v>4114</v>
      </c>
      <c r="CR64" s="5" t="s">
        <v>828</v>
      </c>
      <c r="CS64" s="5" t="s">
        <v>4080</v>
      </c>
    </row>
    <row r="65" customFormat="false" ht="14.25" hidden="false" customHeight="true" outlineLevel="0" collapsed="false">
      <c r="A65" s="5" t="n">
        <v>164</v>
      </c>
      <c r="B65" s="5" t="n">
        <v>164</v>
      </c>
      <c r="C65" s="5" t="s">
        <v>812</v>
      </c>
      <c r="D65" s="5" t="n">
        <v>2000</v>
      </c>
      <c r="E65" s="5" t="s">
        <v>813</v>
      </c>
      <c r="F65" s="5" t="s">
        <v>1617</v>
      </c>
      <c r="G65" s="5" t="s">
        <v>2521</v>
      </c>
      <c r="H65" s="5" t="n">
        <v>25.233</v>
      </c>
      <c r="I65" s="5" t="n">
        <v>87.067</v>
      </c>
      <c r="J65" s="5" t="s">
        <v>83</v>
      </c>
      <c r="K65" s="5" t="s">
        <v>4081</v>
      </c>
      <c r="L65" s="5" t="s">
        <v>842</v>
      </c>
      <c r="M65" s="5" t="s">
        <v>2522</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4076</v>
      </c>
      <c r="CM65" s="5" t="s">
        <v>2506</v>
      </c>
      <c r="CN65" s="5" t="s">
        <v>4082</v>
      </c>
      <c r="CO65" s="5" t="s">
        <v>2523</v>
      </c>
      <c r="CP65" s="5" t="s">
        <v>4115</v>
      </c>
      <c r="CQ65" s="23" t="s">
        <v>4116</v>
      </c>
      <c r="CR65" s="5" t="s">
        <v>828</v>
      </c>
      <c r="CS65" s="5" t="s">
        <v>4080</v>
      </c>
    </row>
    <row r="66" customFormat="false" ht="14.25" hidden="false" customHeight="true" outlineLevel="0" collapsed="false">
      <c r="A66" s="5" t="n">
        <v>164</v>
      </c>
      <c r="B66" s="5" t="n">
        <v>164</v>
      </c>
      <c r="C66" s="5" t="s">
        <v>812</v>
      </c>
      <c r="D66" s="5" t="n">
        <v>2000</v>
      </c>
      <c r="E66" s="5" t="s">
        <v>813</v>
      </c>
      <c r="F66" s="5" t="s">
        <v>1617</v>
      </c>
      <c r="G66" s="5" t="s">
        <v>2521</v>
      </c>
      <c r="H66" s="5" t="n">
        <v>25.233</v>
      </c>
      <c r="I66" s="5" t="n">
        <v>87.067</v>
      </c>
      <c r="J66" s="5" t="s">
        <v>83</v>
      </c>
      <c r="K66" s="5" t="s">
        <v>4083</v>
      </c>
      <c r="L66" s="5" t="s">
        <v>842</v>
      </c>
      <c r="M66" s="5" t="s">
        <v>2522</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4076</v>
      </c>
      <c r="CM66" s="5" t="s">
        <v>2506</v>
      </c>
      <c r="CN66" s="5" t="s">
        <v>4084</v>
      </c>
      <c r="CO66" s="5" t="s">
        <v>2523</v>
      </c>
      <c r="CP66" s="5" t="s">
        <v>4115</v>
      </c>
      <c r="CQ66" s="23" t="s">
        <v>4116</v>
      </c>
      <c r="CR66" s="5" t="s">
        <v>828</v>
      </c>
      <c r="CS66" s="5" t="s">
        <v>4080</v>
      </c>
    </row>
    <row r="67" customFormat="false" ht="14.25" hidden="false" customHeight="true" outlineLevel="0" collapsed="false">
      <c r="A67" s="5" t="n">
        <v>164</v>
      </c>
      <c r="B67" s="5" t="n">
        <v>164</v>
      </c>
      <c r="C67" s="5" t="s">
        <v>812</v>
      </c>
      <c r="D67" s="5" t="n">
        <v>2000</v>
      </c>
      <c r="E67" s="5" t="s">
        <v>813</v>
      </c>
      <c r="F67" s="5" t="s">
        <v>1617</v>
      </c>
      <c r="G67" s="5" t="s">
        <v>2521</v>
      </c>
      <c r="H67" s="5" t="n">
        <v>25.233</v>
      </c>
      <c r="I67" s="5" t="n">
        <v>87.067</v>
      </c>
      <c r="J67" s="5" t="s">
        <v>83</v>
      </c>
      <c r="K67" s="5" t="s">
        <v>4085</v>
      </c>
      <c r="L67" s="5" t="s">
        <v>842</v>
      </c>
      <c r="M67" s="5" t="s">
        <v>2522</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4076</v>
      </c>
      <c r="CM67" s="5" t="s">
        <v>2506</v>
      </c>
      <c r="CN67" s="5" t="s">
        <v>4086</v>
      </c>
      <c r="CO67" s="5" t="s">
        <v>2523</v>
      </c>
      <c r="CP67" s="5" t="s">
        <v>4115</v>
      </c>
      <c r="CQ67" s="23" t="s">
        <v>4116</v>
      </c>
      <c r="CR67" s="5" t="s">
        <v>828</v>
      </c>
      <c r="CS67" s="5" t="s">
        <v>4080</v>
      </c>
    </row>
    <row r="68" customFormat="false" ht="14.25" hidden="false" customHeight="true" outlineLevel="0" collapsed="false">
      <c r="A68" s="5" t="n">
        <v>164</v>
      </c>
      <c r="B68" s="5" t="n">
        <v>164</v>
      </c>
      <c r="C68" s="5" t="s">
        <v>812</v>
      </c>
      <c r="D68" s="5" t="n">
        <v>2000</v>
      </c>
      <c r="E68" s="5" t="s">
        <v>813</v>
      </c>
      <c r="F68" s="5" t="s">
        <v>1617</v>
      </c>
      <c r="G68" s="5" t="s">
        <v>2521</v>
      </c>
      <c r="H68" s="5" t="n">
        <v>25.233</v>
      </c>
      <c r="I68" s="5" t="n">
        <v>87.067</v>
      </c>
      <c r="J68" s="5" t="s">
        <v>83</v>
      </c>
      <c r="K68" s="5" t="s">
        <v>4087</v>
      </c>
      <c r="L68" s="5" t="s">
        <v>84</v>
      </c>
      <c r="M68" s="5" t="s">
        <v>2522</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4076</v>
      </c>
      <c r="CM68" s="5" t="s">
        <v>2506</v>
      </c>
      <c r="CN68" s="5" t="s">
        <v>4088</v>
      </c>
      <c r="CO68" s="5" t="s">
        <v>2523</v>
      </c>
      <c r="CP68" s="5" t="s">
        <v>4115</v>
      </c>
      <c r="CQ68" s="23" t="s">
        <v>4116</v>
      </c>
      <c r="CR68" s="5" t="s">
        <v>828</v>
      </c>
      <c r="CS68" s="5" t="s">
        <v>4080</v>
      </c>
    </row>
    <row r="69" customFormat="false" ht="14.25" hidden="false" customHeight="true" outlineLevel="0" collapsed="false">
      <c r="A69" s="5" t="n">
        <v>164</v>
      </c>
      <c r="B69" s="5" t="n">
        <v>164</v>
      </c>
      <c r="C69" s="5" t="s">
        <v>812</v>
      </c>
      <c r="D69" s="5" t="n">
        <v>2000</v>
      </c>
      <c r="E69" s="5" t="s">
        <v>813</v>
      </c>
      <c r="F69" s="5" t="s">
        <v>1617</v>
      </c>
      <c r="G69" s="5" t="s">
        <v>2521</v>
      </c>
      <c r="H69" s="5" t="n">
        <v>25.233</v>
      </c>
      <c r="I69" s="5" t="n">
        <v>87.067</v>
      </c>
      <c r="J69" s="5" t="s">
        <v>83</v>
      </c>
      <c r="K69" s="5" t="s">
        <v>4089</v>
      </c>
      <c r="L69" s="5" t="s">
        <v>84</v>
      </c>
      <c r="M69" s="5" t="s">
        <v>2522</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4076</v>
      </c>
      <c r="CM69" s="5" t="s">
        <v>2506</v>
      </c>
      <c r="CN69" s="5" t="s">
        <v>4090</v>
      </c>
      <c r="CO69" s="5" t="s">
        <v>2523</v>
      </c>
      <c r="CP69" s="5" t="s">
        <v>4115</v>
      </c>
      <c r="CQ69" s="23" t="s">
        <v>4116</v>
      </c>
      <c r="CR69" s="5" t="s">
        <v>828</v>
      </c>
      <c r="CS69" s="5" t="s">
        <v>4080</v>
      </c>
    </row>
    <row r="70" customFormat="false" ht="14.25" hidden="false" customHeight="true" outlineLevel="0" collapsed="false">
      <c r="A70" s="5" t="n">
        <v>164</v>
      </c>
      <c r="B70" s="5" t="n">
        <v>164</v>
      </c>
      <c r="C70" s="5" t="s">
        <v>812</v>
      </c>
      <c r="D70" s="5" t="n">
        <v>2000</v>
      </c>
      <c r="E70" s="5" t="s">
        <v>813</v>
      </c>
      <c r="F70" s="5" t="s">
        <v>1617</v>
      </c>
      <c r="G70" s="5" t="s">
        <v>2521</v>
      </c>
      <c r="H70" s="5" t="n">
        <v>25.233</v>
      </c>
      <c r="I70" s="5" t="n">
        <v>87.067</v>
      </c>
      <c r="J70" s="5" t="s">
        <v>83</v>
      </c>
      <c r="K70" s="5" t="s">
        <v>4091</v>
      </c>
      <c r="L70" s="5" t="s">
        <v>84</v>
      </c>
      <c r="M70" s="5" t="s">
        <v>2522</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4076</v>
      </c>
      <c r="CM70" s="5" t="s">
        <v>2506</v>
      </c>
      <c r="CN70" s="5" t="s">
        <v>4092</v>
      </c>
      <c r="CO70" s="5" t="s">
        <v>2523</v>
      </c>
      <c r="CP70" s="5" t="s">
        <v>4115</v>
      </c>
      <c r="CQ70" s="23" t="s">
        <v>4116</v>
      </c>
      <c r="CR70" s="5" t="s">
        <v>828</v>
      </c>
      <c r="CS70" s="5" t="s">
        <v>4080</v>
      </c>
    </row>
    <row r="71" customFormat="false" ht="14.25" hidden="false" customHeight="true" outlineLevel="0" collapsed="false">
      <c r="A71" s="5" t="n">
        <v>164</v>
      </c>
      <c r="B71" s="5" t="n">
        <v>164</v>
      </c>
      <c r="C71" s="5" t="s">
        <v>812</v>
      </c>
      <c r="D71" s="5" t="n">
        <v>2000</v>
      </c>
      <c r="E71" s="5" t="s">
        <v>813</v>
      </c>
      <c r="F71" s="5" t="s">
        <v>1617</v>
      </c>
      <c r="G71" s="5" t="s">
        <v>2521</v>
      </c>
      <c r="H71" s="5" t="n">
        <v>25.233</v>
      </c>
      <c r="I71" s="5" t="n">
        <v>87.067</v>
      </c>
      <c r="J71" s="5" t="s">
        <v>83</v>
      </c>
      <c r="K71" s="5" t="s">
        <v>4093</v>
      </c>
      <c r="L71" s="5" t="s">
        <v>84</v>
      </c>
      <c r="M71" s="5" t="s">
        <v>2522</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4076</v>
      </c>
      <c r="CM71" s="5" t="s">
        <v>2506</v>
      </c>
      <c r="CN71" s="5" t="s">
        <v>4094</v>
      </c>
      <c r="CO71" s="5" t="s">
        <v>2523</v>
      </c>
      <c r="CP71" s="5" t="s">
        <v>4115</v>
      </c>
      <c r="CQ71" s="23" t="s">
        <v>4116</v>
      </c>
      <c r="CR71" s="5" t="s">
        <v>828</v>
      </c>
      <c r="CS71" s="5" t="s">
        <v>4080</v>
      </c>
    </row>
    <row r="72" customFormat="false" ht="14.25" hidden="false" customHeight="true" outlineLevel="0" collapsed="false">
      <c r="A72" s="5" t="n">
        <v>164</v>
      </c>
      <c r="B72" s="5" t="n">
        <v>164</v>
      </c>
      <c r="C72" s="5" t="s">
        <v>812</v>
      </c>
      <c r="D72" s="5" t="n">
        <v>2000</v>
      </c>
      <c r="E72" s="5" t="s">
        <v>813</v>
      </c>
      <c r="F72" s="5" t="s">
        <v>1617</v>
      </c>
      <c r="G72" s="5" t="s">
        <v>2521</v>
      </c>
      <c r="H72" s="5" t="n">
        <v>25.233</v>
      </c>
      <c r="I72" s="5" t="n">
        <v>87.067</v>
      </c>
      <c r="J72" s="5" t="s">
        <v>83</v>
      </c>
      <c r="K72" s="5" t="s">
        <v>4095</v>
      </c>
      <c r="L72" s="5" t="s">
        <v>84</v>
      </c>
      <c r="M72" s="5" t="s">
        <v>2522</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4076</v>
      </c>
      <c r="CM72" s="5" t="s">
        <v>2506</v>
      </c>
      <c r="CN72" s="5" t="s">
        <v>4096</v>
      </c>
      <c r="CO72" s="5" t="s">
        <v>2523</v>
      </c>
      <c r="CP72" s="5" t="s">
        <v>4115</v>
      </c>
      <c r="CQ72" s="23" t="s">
        <v>4116</v>
      </c>
      <c r="CR72" s="5" t="s">
        <v>828</v>
      </c>
      <c r="CS72" s="5" t="s">
        <v>4080</v>
      </c>
    </row>
    <row r="73" customFormat="false" ht="14.25" hidden="false" customHeight="true" outlineLevel="0" collapsed="false">
      <c r="A73" s="5" t="n">
        <v>164</v>
      </c>
      <c r="B73" s="5" t="n">
        <v>164</v>
      </c>
      <c r="C73" s="5" t="s">
        <v>812</v>
      </c>
      <c r="D73" s="5" t="n">
        <v>2000</v>
      </c>
      <c r="E73" s="5" t="s">
        <v>813</v>
      </c>
      <c r="F73" s="5" t="s">
        <v>1617</v>
      </c>
      <c r="G73" s="5" t="s">
        <v>2521</v>
      </c>
      <c r="H73" s="5" t="n">
        <v>25.233</v>
      </c>
      <c r="I73" s="5" t="n">
        <v>87.067</v>
      </c>
      <c r="J73" s="5" t="s">
        <v>83</v>
      </c>
      <c r="K73" s="5" t="s">
        <v>4097</v>
      </c>
      <c r="L73" s="5" t="s">
        <v>84</v>
      </c>
      <c r="M73" s="5" t="s">
        <v>2522</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4076</v>
      </c>
      <c r="CM73" s="5" t="s">
        <v>2506</v>
      </c>
      <c r="CN73" s="5" t="s">
        <v>4098</v>
      </c>
      <c r="CO73" s="5" t="s">
        <v>2523</v>
      </c>
      <c r="CP73" s="5" t="s">
        <v>4115</v>
      </c>
      <c r="CQ73" s="23" t="s">
        <v>4116</v>
      </c>
      <c r="CR73" s="5" t="s">
        <v>828</v>
      </c>
      <c r="CS73" s="5" t="s">
        <v>4080</v>
      </c>
    </row>
    <row r="74" customFormat="false" ht="14.25" hidden="false" customHeight="true" outlineLevel="0" collapsed="false">
      <c r="A74" s="5" t="n">
        <v>164</v>
      </c>
      <c r="B74" s="5" t="n">
        <v>164</v>
      </c>
      <c r="C74" s="5" t="s">
        <v>812</v>
      </c>
      <c r="D74" s="5" t="n">
        <v>2000</v>
      </c>
      <c r="E74" s="5" t="s">
        <v>813</v>
      </c>
      <c r="F74" s="5" t="s">
        <v>1617</v>
      </c>
      <c r="G74" s="5" t="s">
        <v>2521</v>
      </c>
      <c r="H74" s="5" t="n">
        <v>25.233</v>
      </c>
      <c r="I74" s="5" t="n">
        <v>87.067</v>
      </c>
      <c r="J74" s="5" t="s">
        <v>83</v>
      </c>
      <c r="K74" s="5" t="s">
        <v>4117</v>
      </c>
      <c r="L74" s="5" t="s">
        <v>823</v>
      </c>
      <c r="M74" s="5" t="s">
        <v>2522</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4076</v>
      </c>
      <c r="CM74" s="5" t="s">
        <v>2506</v>
      </c>
      <c r="CN74" s="5" t="s">
        <v>4118</v>
      </c>
      <c r="CO74" s="5" t="s">
        <v>2523</v>
      </c>
      <c r="CP74" s="5" t="s">
        <v>4115</v>
      </c>
      <c r="CQ74" s="23" t="s">
        <v>4116</v>
      </c>
      <c r="CR74" s="5" t="s">
        <v>828</v>
      </c>
      <c r="CS74" s="5" t="s">
        <v>4080</v>
      </c>
    </row>
    <row r="75" customFormat="false" ht="14.25" hidden="false" customHeight="true" outlineLevel="0" collapsed="false">
      <c r="A75" s="5" t="n">
        <v>164</v>
      </c>
      <c r="B75" s="5" t="n">
        <v>164</v>
      </c>
      <c r="C75" s="5" t="s">
        <v>812</v>
      </c>
      <c r="D75" s="5" t="n">
        <v>2000</v>
      </c>
      <c r="E75" s="5" t="s">
        <v>813</v>
      </c>
      <c r="F75" s="5" t="s">
        <v>1617</v>
      </c>
      <c r="G75" s="5" t="s">
        <v>2521</v>
      </c>
      <c r="H75" s="5" t="n">
        <v>25.233</v>
      </c>
      <c r="I75" s="5" t="n">
        <v>87.067</v>
      </c>
      <c r="J75" s="5" t="s">
        <v>83</v>
      </c>
      <c r="K75" s="5" t="s">
        <v>1773</v>
      </c>
      <c r="L75" s="5" t="s">
        <v>823</v>
      </c>
      <c r="M75" s="5" t="s">
        <v>2522</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4076</v>
      </c>
      <c r="CM75" s="5" t="s">
        <v>2506</v>
      </c>
      <c r="CN75" s="5" t="s">
        <v>4105</v>
      </c>
      <c r="CO75" s="5" t="s">
        <v>2523</v>
      </c>
      <c r="CP75" s="5" t="s">
        <v>4115</v>
      </c>
      <c r="CQ75" s="23" t="s">
        <v>4116</v>
      </c>
      <c r="CR75" s="5" t="s">
        <v>828</v>
      </c>
      <c r="CS75" s="5" t="s">
        <v>4080</v>
      </c>
    </row>
    <row r="76" customFormat="false" ht="14.25" hidden="false" customHeight="true" outlineLevel="0" collapsed="false">
      <c r="A76" s="5" t="n">
        <v>164</v>
      </c>
      <c r="B76" s="5" t="n">
        <v>164</v>
      </c>
      <c r="C76" s="5" t="s">
        <v>812</v>
      </c>
      <c r="D76" s="5" t="n">
        <v>2000</v>
      </c>
      <c r="E76" s="5" t="s">
        <v>813</v>
      </c>
      <c r="F76" s="5" t="s">
        <v>1617</v>
      </c>
      <c r="G76" s="5" t="s">
        <v>2521</v>
      </c>
      <c r="H76" s="5" t="n">
        <v>25.233</v>
      </c>
      <c r="I76" s="5" t="n">
        <v>87.067</v>
      </c>
      <c r="J76" s="5" t="s">
        <v>83</v>
      </c>
      <c r="K76" s="5" t="s">
        <v>2505</v>
      </c>
      <c r="L76" s="5" t="s">
        <v>823</v>
      </c>
      <c r="M76" s="5" t="s">
        <v>2522</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4076</v>
      </c>
      <c r="CM76" s="5" t="s">
        <v>2506</v>
      </c>
      <c r="CN76" s="5" t="s">
        <v>4106</v>
      </c>
      <c r="CO76" s="5" t="s">
        <v>2523</v>
      </c>
      <c r="CP76" s="5" t="s">
        <v>4115</v>
      </c>
      <c r="CQ76" s="23" t="s">
        <v>4116</v>
      </c>
      <c r="CR76" s="5" t="s">
        <v>828</v>
      </c>
      <c r="CS76" s="5" t="s">
        <v>4080</v>
      </c>
    </row>
    <row r="77" customFormat="false" ht="14.25" hidden="false" customHeight="true" outlineLevel="0" collapsed="false">
      <c r="A77" s="5" t="n">
        <v>164</v>
      </c>
      <c r="B77" s="5" t="n">
        <v>164</v>
      </c>
      <c r="C77" s="5" t="s">
        <v>812</v>
      </c>
      <c r="D77" s="5" t="n">
        <v>2000</v>
      </c>
      <c r="E77" s="5" t="s">
        <v>813</v>
      </c>
      <c r="F77" s="5" t="s">
        <v>1621</v>
      </c>
      <c r="G77" s="5" t="s">
        <v>2525</v>
      </c>
      <c r="H77" s="5" t="n">
        <v>23</v>
      </c>
      <c r="I77" s="5" t="n">
        <v>89</v>
      </c>
      <c r="J77" s="5" t="s">
        <v>83</v>
      </c>
      <c r="K77" s="5" t="s">
        <v>4085</v>
      </c>
      <c r="L77" s="5" t="s">
        <v>842</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4076</v>
      </c>
      <c r="CM77" s="5" t="s">
        <v>2506</v>
      </c>
      <c r="CN77" s="5" t="s">
        <v>4086</v>
      </c>
      <c r="CO77" s="5" t="s">
        <v>2528</v>
      </c>
      <c r="CP77" s="5" t="s">
        <v>4119</v>
      </c>
      <c r="CQ77" s="23" t="s">
        <v>4120</v>
      </c>
      <c r="CR77" s="5" t="s">
        <v>828</v>
      </c>
      <c r="CS77" s="5" t="s">
        <v>4080</v>
      </c>
    </row>
    <row r="78" customFormat="false" ht="14.25" hidden="false" customHeight="true" outlineLevel="0" collapsed="false">
      <c r="A78" s="5" t="n">
        <v>164</v>
      </c>
      <c r="B78" s="5" t="n">
        <v>164</v>
      </c>
      <c r="C78" s="5" t="s">
        <v>812</v>
      </c>
      <c r="D78" s="5" t="n">
        <v>2000</v>
      </c>
      <c r="E78" s="5" t="s">
        <v>813</v>
      </c>
      <c r="F78" s="5" t="s">
        <v>1621</v>
      </c>
      <c r="G78" s="5" t="s">
        <v>2525</v>
      </c>
      <c r="H78" s="5" t="n">
        <v>23</v>
      </c>
      <c r="I78" s="5" t="n">
        <v>89</v>
      </c>
      <c r="J78" s="5" t="s">
        <v>83</v>
      </c>
      <c r="K78" s="5" t="s">
        <v>4087</v>
      </c>
      <c r="L78" s="5" t="s">
        <v>842</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4076</v>
      </c>
      <c r="CM78" s="5" t="s">
        <v>2506</v>
      </c>
      <c r="CN78" s="5" t="s">
        <v>4088</v>
      </c>
      <c r="CO78" s="5" t="s">
        <v>2528</v>
      </c>
      <c r="CP78" s="5" t="s">
        <v>4119</v>
      </c>
      <c r="CQ78" s="23" t="s">
        <v>4120</v>
      </c>
      <c r="CR78" s="5" t="s">
        <v>828</v>
      </c>
      <c r="CS78" s="5" t="s">
        <v>4080</v>
      </c>
    </row>
    <row r="79" customFormat="false" ht="14.25" hidden="false" customHeight="true" outlineLevel="0" collapsed="false">
      <c r="A79" s="5" t="n">
        <v>164</v>
      </c>
      <c r="B79" s="5" t="n">
        <v>164</v>
      </c>
      <c r="C79" s="5" t="s">
        <v>812</v>
      </c>
      <c r="D79" s="5" t="n">
        <v>2000</v>
      </c>
      <c r="E79" s="5" t="s">
        <v>813</v>
      </c>
      <c r="F79" s="5" t="s">
        <v>1621</v>
      </c>
      <c r="G79" s="5" t="s">
        <v>2525</v>
      </c>
      <c r="H79" s="5" t="n">
        <v>23</v>
      </c>
      <c r="I79" s="5" t="n">
        <v>89</v>
      </c>
      <c r="J79" s="5" t="s">
        <v>83</v>
      </c>
      <c r="K79" s="5" t="s">
        <v>4089</v>
      </c>
      <c r="L79" s="5" t="s">
        <v>842</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4076</v>
      </c>
      <c r="CM79" s="5" t="s">
        <v>2506</v>
      </c>
      <c r="CN79" s="5" t="s">
        <v>4090</v>
      </c>
      <c r="CO79" s="5" t="s">
        <v>2528</v>
      </c>
      <c r="CP79" s="5" t="s">
        <v>4119</v>
      </c>
      <c r="CQ79" s="23" t="s">
        <v>4120</v>
      </c>
      <c r="CR79" s="5" t="s">
        <v>828</v>
      </c>
      <c r="CS79" s="5" t="s">
        <v>4080</v>
      </c>
    </row>
    <row r="80" customFormat="false" ht="14.25" hidden="false" customHeight="true" outlineLevel="0" collapsed="false">
      <c r="A80" s="5" t="n">
        <v>164</v>
      </c>
      <c r="B80" s="5" t="n">
        <v>164</v>
      </c>
      <c r="C80" s="5" t="s">
        <v>812</v>
      </c>
      <c r="D80" s="5" t="n">
        <v>2000</v>
      </c>
      <c r="E80" s="5" t="s">
        <v>813</v>
      </c>
      <c r="F80" s="5" t="s">
        <v>1621</v>
      </c>
      <c r="G80" s="5" t="s">
        <v>2525</v>
      </c>
      <c r="H80" s="5" t="n">
        <v>23</v>
      </c>
      <c r="I80" s="5" t="n">
        <v>89</v>
      </c>
      <c r="J80" s="5" t="s">
        <v>83</v>
      </c>
      <c r="K80" s="5" t="s">
        <v>4091</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4076</v>
      </c>
      <c r="CM80" s="5" t="s">
        <v>2506</v>
      </c>
      <c r="CN80" s="5" t="s">
        <v>4092</v>
      </c>
      <c r="CO80" s="5" t="s">
        <v>2528</v>
      </c>
      <c r="CP80" s="5" t="s">
        <v>4119</v>
      </c>
      <c r="CQ80" s="23" t="s">
        <v>4120</v>
      </c>
      <c r="CR80" s="5" t="s">
        <v>828</v>
      </c>
      <c r="CS80" s="5" t="s">
        <v>4080</v>
      </c>
    </row>
    <row r="81" customFormat="false" ht="14.25" hidden="false" customHeight="true" outlineLevel="0" collapsed="false">
      <c r="A81" s="5" t="n">
        <v>164</v>
      </c>
      <c r="B81" s="5" t="n">
        <v>164</v>
      </c>
      <c r="C81" s="5" t="s">
        <v>812</v>
      </c>
      <c r="D81" s="5" t="n">
        <v>2000</v>
      </c>
      <c r="E81" s="5" t="s">
        <v>813</v>
      </c>
      <c r="F81" s="5" t="s">
        <v>1621</v>
      </c>
      <c r="G81" s="5" t="s">
        <v>2525</v>
      </c>
      <c r="H81" s="5" t="n">
        <v>23</v>
      </c>
      <c r="I81" s="5" t="n">
        <v>89</v>
      </c>
      <c r="J81" s="5" t="s">
        <v>83</v>
      </c>
      <c r="K81" s="5" t="s">
        <v>4093</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4076</v>
      </c>
      <c r="CM81" s="5" t="s">
        <v>2506</v>
      </c>
      <c r="CN81" s="5" t="s">
        <v>4094</v>
      </c>
      <c r="CO81" s="5" t="s">
        <v>2528</v>
      </c>
      <c r="CP81" s="5" t="s">
        <v>4119</v>
      </c>
      <c r="CQ81" s="23" t="s">
        <v>4120</v>
      </c>
      <c r="CR81" s="5" t="s">
        <v>828</v>
      </c>
      <c r="CS81" s="5" t="s">
        <v>4080</v>
      </c>
    </row>
    <row r="82" customFormat="false" ht="14.25" hidden="false" customHeight="true" outlineLevel="0" collapsed="false">
      <c r="A82" s="5" t="n">
        <v>164</v>
      </c>
      <c r="B82" s="5" t="n">
        <v>164</v>
      </c>
      <c r="C82" s="5" t="s">
        <v>812</v>
      </c>
      <c r="D82" s="5" t="n">
        <v>2000</v>
      </c>
      <c r="E82" s="5" t="s">
        <v>813</v>
      </c>
      <c r="F82" s="5" t="s">
        <v>1621</v>
      </c>
      <c r="G82" s="5" t="s">
        <v>2525</v>
      </c>
      <c r="H82" s="5" t="n">
        <v>23</v>
      </c>
      <c r="I82" s="5" t="n">
        <v>89</v>
      </c>
      <c r="J82" s="5" t="s">
        <v>83</v>
      </c>
      <c r="K82" s="5" t="s">
        <v>4095</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4076</v>
      </c>
      <c r="CM82" s="5" t="s">
        <v>2506</v>
      </c>
      <c r="CN82" s="5" t="s">
        <v>4096</v>
      </c>
      <c r="CO82" s="5" t="s">
        <v>2528</v>
      </c>
      <c r="CP82" s="5" t="s">
        <v>4119</v>
      </c>
      <c r="CQ82" s="23" t="s">
        <v>4120</v>
      </c>
      <c r="CR82" s="5" t="s">
        <v>828</v>
      </c>
      <c r="CS82" s="5" t="s">
        <v>4080</v>
      </c>
    </row>
    <row r="83" customFormat="false" ht="14.25" hidden="false" customHeight="true" outlineLevel="0" collapsed="false">
      <c r="A83" s="5" t="n">
        <v>164</v>
      </c>
      <c r="B83" s="5" t="n">
        <v>164</v>
      </c>
      <c r="C83" s="5" t="s">
        <v>812</v>
      </c>
      <c r="D83" s="5" t="n">
        <v>2000</v>
      </c>
      <c r="E83" s="5" t="s">
        <v>813</v>
      </c>
      <c r="F83" s="5" t="s">
        <v>1621</v>
      </c>
      <c r="G83" s="5" t="s">
        <v>2525</v>
      </c>
      <c r="H83" s="5" t="n">
        <v>23</v>
      </c>
      <c r="I83" s="5" t="n">
        <v>89</v>
      </c>
      <c r="J83" s="5" t="s">
        <v>83</v>
      </c>
      <c r="K83" s="5" t="s">
        <v>4097</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4076</v>
      </c>
      <c r="CM83" s="5" t="s">
        <v>2506</v>
      </c>
      <c r="CN83" s="5" t="s">
        <v>4098</v>
      </c>
      <c r="CO83" s="5" t="s">
        <v>2528</v>
      </c>
      <c r="CP83" s="5" t="s">
        <v>4119</v>
      </c>
      <c r="CQ83" s="23" t="s">
        <v>4120</v>
      </c>
      <c r="CR83" s="5" t="s">
        <v>828</v>
      </c>
      <c r="CS83" s="5" t="s">
        <v>4080</v>
      </c>
    </row>
    <row r="84" customFormat="false" ht="14.25" hidden="false" customHeight="true" outlineLevel="0" collapsed="false">
      <c r="A84" s="5" t="n">
        <v>164</v>
      </c>
      <c r="B84" s="5" t="n">
        <v>164</v>
      </c>
      <c r="C84" s="5" t="s">
        <v>812</v>
      </c>
      <c r="D84" s="5" t="n">
        <v>2000</v>
      </c>
      <c r="E84" s="5" t="s">
        <v>813</v>
      </c>
      <c r="F84" s="5" t="s">
        <v>1621</v>
      </c>
      <c r="G84" s="5" t="s">
        <v>2525</v>
      </c>
      <c r="H84" s="5" t="n">
        <v>23</v>
      </c>
      <c r="I84" s="5" t="n">
        <v>89</v>
      </c>
      <c r="J84" s="5" t="s">
        <v>83</v>
      </c>
      <c r="K84" s="5" t="s">
        <v>4099</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4076</v>
      </c>
      <c r="CM84" s="5" t="s">
        <v>2506</v>
      </c>
      <c r="CN84" s="5" t="s">
        <v>4100</v>
      </c>
      <c r="CO84" s="5" t="s">
        <v>2528</v>
      </c>
      <c r="CP84" s="5" t="s">
        <v>4119</v>
      </c>
      <c r="CQ84" s="23" t="s">
        <v>4120</v>
      </c>
      <c r="CR84" s="5" t="s">
        <v>828</v>
      </c>
      <c r="CS84" s="5" t="s">
        <v>4080</v>
      </c>
    </row>
    <row r="85" customFormat="false" ht="14.25" hidden="false" customHeight="true" outlineLevel="0" collapsed="false">
      <c r="A85" s="5" t="n">
        <v>164</v>
      </c>
      <c r="B85" s="5" t="n">
        <v>164</v>
      </c>
      <c r="C85" s="5" t="s">
        <v>812</v>
      </c>
      <c r="D85" s="5" t="n">
        <v>2000</v>
      </c>
      <c r="E85" s="5" t="s">
        <v>813</v>
      </c>
      <c r="F85" s="5" t="s">
        <v>1621</v>
      </c>
      <c r="G85" s="5" t="s">
        <v>2525</v>
      </c>
      <c r="H85" s="5" t="n">
        <v>23</v>
      </c>
      <c r="I85" s="5" t="n">
        <v>89</v>
      </c>
      <c r="J85" s="5" t="s">
        <v>83</v>
      </c>
      <c r="K85" s="5" t="s">
        <v>4101</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4076</v>
      </c>
      <c r="CM85" s="5" t="s">
        <v>2506</v>
      </c>
      <c r="CN85" s="5" t="s">
        <v>4102</v>
      </c>
      <c r="CO85" s="5" t="s">
        <v>2528</v>
      </c>
      <c r="CP85" s="5" t="s">
        <v>4119</v>
      </c>
      <c r="CQ85" s="23" t="s">
        <v>4120</v>
      </c>
      <c r="CR85" s="5" t="s">
        <v>828</v>
      </c>
      <c r="CS85" s="5" t="s">
        <v>4080</v>
      </c>
    </row>
    <row r="86" customFormat="false" ht="14.25" hidden="false" customHeight="true" outlineLevel="0" collapsed="false">
      <c r="A86" s="5" t="n">
        <v>164</v>
      </c>
      <c r="B86" s="5" t="n">
        <v>164</v>
      </c>
      <c r="C86" s="5" t="s">
        <v>812</v>
      </c>
      <c r="D86" s="5" t="n">
        <v>2000</v>
      </c>
      <c r="E86" s="5" t="s">
        <v>813</v>
      </c>
      <c r="F86" s="5" t="s">
        <v>1621</v>
      </c>
      <c r="G86" s="5" t="s">
        <v>2525</v>
      </c>
      <c r="H86" s="5" t="n">
        <v>23</v>
      </c>
      <c r="I86" s="5" t="n">
        <v>89</v>
      </c>
      <c r="J86" s="5" t="s">
        <v>83</v>
      </c>
      <c r="K86" s="5" t="s">
        <v>4103</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4076</v>
      </c>
      <c r="CM86" s="5" t="s">
        <v>2506</v>
      </c>
      <c r="CN86" s="5" t="s">
        <v>4104</v>
      </c>
      <c r="CO86" s="5" t="s">
        <v>2528</v>
      </c>
      <c r="CP86" s="5" t="s">
        <v>4119</v>
      </c>
      <c r="CQ86" s="23" t="s">
        <v>4120</v>
      </c>
      <c r="CR86" s="5" t="s">
        <v>828</v>
      </c>
      <c r="CS86" s="5" t="s">
        <v>4080</v>
      </c>
    </row>
    <row r="87" customFormat="false" ht="14.25" hidden="false" customHeight="true" outlineLevel="0" collapsed="false">
      <c r="A87" s="5" t="n">
        <v>164</v>
      </c>
      <c r="B87" s="5" t="n">
        <v>164</v>
      </c>
      <c r="C87" s="5" t="s">
        <v>812</v>
      </c>
      <c r="D87" s="5" t="n">
        <v>2000</v>
      </c>
      <c r="E87" s="5" t="s">
        <v>813</v>
      </c>
      <c r="F87" s="5" t="s">
        <v>1621</v>
      </c>
      <c r="G87" s="5" t="s">
        <v>2525</v>
      </c>
      <c r="H87" s="5" t="n">
        <v>23</v>
      </c>
      <c r="I87" s="5" t="n">
        <v>89</v>
      </c>
      <c r="J87" s="5" t="s">
        <v>83</v>
      </c>
      <c r="K87" s="5" t="s">
        <v>1773</v>
      </c>
      <c r="L87" s="5" t="s">
        <v>823</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4076</v>
      </c>
      <c r="CM87" s="5" t="s">
        <v>2506</v>
      </c>
      <c r="CN87" s="5" t="s">
        <v>4105</v>
      </c>
      <c r="CO87" s="5" t="s">
        <v>2528</v>
      </c>
      <c r="CP87" s="5" t="s">
        <v>4119</v>
      </c>
      <c r="CQ87" s="23" t="s">
        <v>4120</v>
      </c>
      <c r="CR87" s="5" t="s">
        <v>828</v>
      </c>
      <c r="CS87" s="5" t="s">
        <v>4080</v>
      </c>
    </row>
    <row r="88" customFormat="false" ht="14.25" hidden="false" customHeight="true" outlineLevel="0" collapsed="false">
      <c r="A88" s="5" t="n">
        <v>164</v>
      </c>
      <c r="B88" s="5" t="n">
        <v>164</v>
      </c>
      <c r="C88" s="5" t="s">
        <v>812</v>
      </c>
      <c r="D88" s="5" t="n">
        <v>2000</v>
      </c>
      <c r="E88" s="5" t="s">
        <v>813</v>
      </c>
      <c r="F88" s="5" t="s">
        <v>1621</v>
      </c>
      <c r="G88" s="5" t="s">
        <v>2525</v>
      </c>
      <c r="H88" s="5" t="n">
        <v>23</v>
      </c>
      <c r="I88" s="5" t="n">
        <v>89</v>
      </c>
      <c r="J88" s="5" t="s">
        <v>83</v>
      </c>
      <c r="K88" s="5" t="s">
        <v>2505</v>
      </c>
      <c r="L88" s="5" t="s">
        <v>823</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4076</v>
      </c>
      <c r="CM88" s="5" t="s">
        <v>2506</v>
      </c>
      <c r="CN88" s="5" t="s">
        <v>4106</v>
      </c>
      <c r="CO88" s="5" t="s">
        <v>2528</v>
      </c>
      <c r="CP88" s="5" t="s">
        <v>4119</v>
      </c>
      <c r="CQ88" s="23" t="s">
        <v>4120</v>
      </c>
      <c r="CR88" s="5" t="s">
        <v>828</v>
      </c>
      <c r="CS88" s="5" t="s">
        <v>4080</v>
      </c>
    </row>
    <row r="89" customFormat="false" ht="14.25" hidden="false" customHeight="true" outlineLevel="0" collapsed="false">
      <c r="A89" s="5" t="n">
        <v>164</v>
      </c>
      <c r="B89" s="5" t="n">
        <v>164</v>
      </c>
      <c r="C89" s="5" t="s">
        <v>812</v>
      </c>
      <c r="D89" s="5" t="n">
        <v>2000</v>
      </c>
      <c r="E89" s="5" t="s">
        <v>813</v>
      </c>
      <c r="F89" s="5" t="s">
        <v>1621</v>
      </c>
      <c r="G89" s="5" t="s">
        <v>2525</v>
      </c>
      <c r="H89" s="5" t="n">
        <v>23</v>
      </c>
      <c r="I89" s="5" t="n">
        <v>89</v>
      </c>
      <c r="J89" s="5" t="s">
        <v>83</v>
      </c>
      <c r="K89" s="5" t="s">
        <v>2526</v>
      </c>
      <c r="L89" s="5" t="s">
        <v>823</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4076</v>
      </c>
      <c r="CM89" s="5" t="s">
        <v>2506</v>
      </c>
      <c r="CN89" s="5" t="s">
        <v>4121</v>
      </c>
      <c r="CO89" s="5" t="s">
        <v>2528</v>
      </c>
      <c r="CP89" s="5" t="s">
        <v>4119</v>
      </c>
      <c r="CQ89" s="23" t="s">
        <v>4120</v>
      </c>
      <c r="CR89" s="5" t="s">
        <v>828</v>
      </c>
      <c r="CS89" s="5" t="s">
        <v>4080</v>
      </c>
    </row>
    <row r="90" customFormat="false" ht="14.25" hidden="false" customHeight="true" outlineLevel="0" collapsed="false">
      <c r="A90" s="5" t="n">
        <v>164</v>
      </c>
      <c r="B90" s="5" t="n">
        <v>164</v>
      </c>
      <c r="C90" s="5" t="s">
        <v>812</v>
      </c>
      <c r="D90" s="5" t="n">
        <v>2000</v>
      </c>
      <c r="E90" s="5" t="s">
        <v>813</v>
      </c>
      <c r="F90" s="5" t="s">
        <v>1626</v>
      </c>
      <c r="G90" s="5" t="s">
        <v>2530</v>
      </c>
      <c r="H90" s="5" t="n">
        <v>23.167</v>
      </c>
      <c r="I90" s="5" t="n">
        <v>79.95</v>
      </c>
      <c r="J90" s="5" t="s">
        <v>83</v>
      </c>
      <c r="K90" s="5" t="s">
        <v>4083</v>
      </c>
      <c r="L90" s="5" t="s">
        <v>842</v>
      </c>
      <c r="M90" s="5" t="s">
        <v>2522</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4076</v>
      </c>
      <c r="CM90" s="5" t="s">
        <v>2506</v>
      </c>
      <c r="CN90" s="5" t="s">
        <v>4084</v>
      </c>
      <c r="CO90" s="5" t="s">
        <v>2531</v>
      </c>
      <c r="CP90" s="5" t="s">
        <v>4122</v>
      </c>
      <c r="CQ90" s="23" t="s">
        <v>4123</v>
      </c>
      <c r="CR90" s="5" t="s">
        <v>828</v>
      </c>
      <c r="CS90" s="5" t="s">
        <v>4080</v>
      </c>
    </row>
    <row r="91" customFormat="false" ht="14.25" hidden="false" customHeight="true" outlineLevel="0" collapsed="false">
      <c r="A91" s="5" t="n">
        <v>164</v>
      </c>
      <c r="B91" s="5" t="n">
        <v>164</v>
      </c>
      <c r="C91" s="5" t="s">
        <v>812</v>
      </c>
      <c r="D91" s="5" t="n">
        <v>2000</v>
      </c>
      <c r="E91" s="5" t="s">
        <v>813</v>
      </c>
      <c r="F91" s="5" t="s">
        <v>1626</v>
      </c>
      <c r="G91" s="5" t="s">
        <v>2530</v>
      </c>
      <c r="H91" s="5" t="n">
        <v>23.167</v>
      </c>
      <c r="I91" s="5" t="n">
        <v>79.95</v>
      </c>
      <c r="J91" s="5" t="s">
        <v>83</v>
      </c>
      <c r="K91" s="5" t="s">
        <v>4085</v>
      </c>
      <c r="L91" s="5" t="s">
        <v>842</v>
      </c>
      <c r="M91" s="5" t="s">
        <v>2522</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4076</v>
      </c>
      <c r="CM91" s="5" t="s">
        <v>2506</v>
      </c>
      <c r="CN91" s="5" t="s">
        <v>4086</v>
      </c>
      <c r="CO91" s="5" t="s">
        <v>2531</v>
      </c>
      <c r="CP91" s="5" t="s">
        <v>4122</v>
      </c>
      <c r="CQ91" s="23" t="s">
        <v>4123</v>
      </c>
      <c r="CR91" s="5" t="s">
        <v>828</v>
      </c>
      <c r="CS91" s="5" t="s">
        <v>4080</v>
      </c>
    </row>
    <row r="92" customFormat="false" ht="14.25" hidden="false" customHeight="true" outlineLevel="0" collapsed="false">
      <c r="A92" s="5" t="n">
        <v>164</v>
      </c>
      <c r="B92" s="5" t="n">
        <v>164</v>
      </c>
      <c r="C92" s="5" t="s">
        <v>812</v>
      </c>
      <c r="D92" s="5" t="n">
        <v>2000</v>
      </c>
      <c r="E92" s="5" t="s">
        <v>813</v>
      </c>
      <c r="F92" s="5" t="s">
        <v>1626</v>
      </c>
      <c r="G92" s="5" t="s">
        <v>2530</v>
      </c>
      <c r="H92" s="5" t="n">
        <v>23.167</v>
      </c>
      <c r="I92" s="5" t="n">
        <v>79.95</v>
      </c>
      <c r="J92" s="5" t="s">
        <v>83</v>
      </c>
      <c r="K92" s="5" t="s">
        <v>4087</v>
      </c>
      <c r="L92" s="5" t="s">
        <v>842</v>
      </c>
      <c r="M92" s="5" t="s">
        <v>2522</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4076</v>
      </c>
      <c r="CM92" s="5" t="s">
        <v>2506</v>
      </c>
      <c r="CN92" s="5" t="s">
        <v>4088</v>
      </c>
      <c r="CO92" s="5" t="s">
        <v>2531</v>
      </c>
      <c r="CP92" s="5" t="s">
        <v>4122</v>
      </c>
      <c r="CQ92" s="23" t="s">
        <v>4123</v>
      </c>
      <c r="CR92" s="5" t="s">
        <v>828</v>
      </c>
      <c r="CS92" s="5" t="s">
        <v>4080</v>
      </c>
    </row>
    <row r="93" customFormat="false" ht="14.25" hidden="false" customHeight="true" outlineLevel="0" collapsed="false">
      <c r="A93" s="5" t="n">
        <v>164</v>
      </c>
      <c r="B93" s="5" t="n">
        <v>164</v>
      </c>
      <c r="C93" s="5" t="s">
        <v>812</v>
      </c>
      <c r="D93" s="5" t="n">
        <v>2000</v>
      </c>
      <c r="E93" s="5" t="s">
        <v>813</v>
      </c>
      <c r="F93" s="5" t="s">
        <v>1626</v>
      </c>
      <c r="G93" s="5" t="s">
        <v>2530</v>
      </c>
      <c r="H93" s="5" t="n">
        <v>23.167</v>
      </c>
      <c r="I93" s="5" t="n">
        <v>79.95</v>
      </c>
      <c r="J93" s="5" t="s">
        <v>83</v>
      </c>
      <c r="K93" s="5" t="s">
        <v>4089</v>
      </c>
      <c r="L93" s="5" t="s">
        <v>84</v>
      </c>
      <c r="M93" s="5" t="s">
        <v>2522</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4076</v>
      </c>
      <c r="CM93" s="5" t="s">
        <v>2506</v>
      </c>
      <c r="CN93" s="5" t="s">
        <v>4090</v>
      </c>
      <c r="CO93" s="5" t="s">
        <v>2531</v>
      </c>
      <c r="CP93" s="5" t="s">
        <v>4122</v>
      </c>
      <c r="CQ93" s="23" t="s">
        <v>4124</v>
      </c>
      <c r="CR93" s="5" t="s">
        <v>828</v>
      </c>
      <c r="CS93" s="5" t="s">
        <v>4080</v>
      </c>
    </row>
    <row r="94" customFormat="false" ht="14.25" hidden="false" customHeight="true" outlineLevel="0" collapsed="false">
      <c r="A94" s="5" t="n">
        <v>164</v>
      </c>
      <c r="B94" s="5" t="n">
        <v>164</v>
      </c>
      <c r="C94" s="5" t="s">
        <v>812</v>
      </c>
      <c r="D94" s="5" t="n">
        <v>2000</v>
      </c>
      <c r="E94" s="5" t="s">
        <v>813</v>
      </c>
      <c r="F94" s="5" t="s">
        <v>1626</v>
      </c>
      <c r="G94" s="5" t="s">
        <v>2530</v>
      </c>
      <c r="H94" s="5" t="n">
        <v>23.167</v>
      </c>
      <c r="I94" s="5" t="n">
        <v>79.95</v>
      </c>
      <c r="J94" s="5" t="s">
        <v>83</v>
      </c>
      <c r="K94" s="5" t="s">
        <v>4091</v>
      </c>
      <c r="L94" s="5" t="s">
        <v>84</v>
      </c>
      <c r="M94" s="5" t="s">
        <v>2522</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4076</v>
      </c>
      <c r="CM94" s="5" t="s">
        <v>2506</v>
      </c>
      <c r="CN94" s="5" t="s">
        <v>4092</v>
      </c>
      <c r="CO94" s="5" t="s">
        <v>2531</v>
      </c>
      <c r="CP94" s="5" t="s">
        <v>4122</v>
      </c>
      <c r="CQ94" s="23" t="s">
        <v>4125</v>
      </c>
      <c r="CR94" s="5" t="s">
        <v>828</v>
      </c>
      <c r="CS94" s="5" t="s">
        <v>4080</v>
      </c>
    </row>
    <row r="95" customFormat="false" ht="14.25" hidden="false" customHeight="true" outlineLevel="0" collapsed="false">
      <c r="A95" s="5" t="n">
        <v>164</v>
      </c>
      <c r="B95" s="5" t="n">
        <v>164</v>
      </c>
      <c r="C95" s="5" t="s">
        <v>812</v>
      </c>
      <c r="D95" s="5" t="n">
        <v>2000</v>
      </c>
      <c r="E95" s="5" t="s">
        <v>813</v>
      </c>
      <c r="F95" s="5" t="s">
        <v>1626</v>
      </c>
      <c r="G95" s="5" t="s">
        <v>2530</v>
      </c>
      <c r="H95" s="5" t="n">
        <v>23.167</v>
      </c>
      <c r="I95" s="5" t="n">
        <v>79.95</v>
      </c>
      <c r="J95" s="5" t="s">
        <v>83</v>
      </c>
      <c r="K95" s="5" t="s">
        <v>4093</v>
      </c>
      <c r="L95" s="5" t="s">
        <v>84</v>
      </c>
      <c r="M95" s="5" t="s">
        <v>2522</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4076</v>
      </c>
      <c r="CM95" s="5" t="s">
        <v>2506</v>
      </c>
      <c r="CN95" s="5" t="s">
        <v>4094</v>
      </c>
      <c r="CO95" s="5" t="s">
        <v>2531</v>
      </c>
      <c r="CP95" s="5" t="s">
        <v>4122</v>
      </c>
      <c r="CQ95" s="23" t="s">
        <v>4123</v>
      </c>
      <c r="CR95" s="5" t="s">
        <v>828</v>
      </c>
      <c r="CS95" s="5" t="s">
        <v>4080</v>
      </c>
    </row>
    <row r="96" customFormat="false" ht="14.25" hidden="false" customHeight="true" outlineLevel="0" collapsed="false">
      <c r="A96" s="5" t="n">
        <v>164</v>
      </c>
      <c r="B96" s="5" t="n">
        <v>164</v>
      </c>
      <c r="C96" s="5" t="s">
        <v>812</v>
      </c>
      <c r="D96" s="5" t="n">
        <v>2000</v>
      </c>
      <c r="E96" s="5" t="s">
        <v>813</v>
      </c>
      <c r="F96" s="5" t="s">
        <v>1626</v>
      </c>
      <c r="G96" s="5" t="s">
        <v>2530</v>
      </c>
      <c r="H96" s="5" t="n">
        <v>23.167</v>
      </c>
      <c r="I96" s="5" t="n">
        <v>79.95</v>
      </c>
      <c r="J96" s="5" t="s">
        <v>83</v>
      </c>
      <c r="K96" s="5" t="s">
        <v>4095</v>
      </c>
      <c r="L96" s="5" t="s">
        <v>84</v>
      </c>
      <c r="M96" s="5" t="s">
        <v>2522</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4076</v>
      </c>
      <c r="CM96" s="5" t="s">
        <v>2506</v>
      </c>
      <c r="CN96" s="5" t="s">
        <v>4096</v>
      </c>
      <c r="CO96" s="5" t="s">
        <v>2531</v>
      </c>
      <c r="CP96" s="5" t="s">
        <v>4122</v>
      </c>
      <c r="CQ96" s="23" t="s">
        <v>4123</v>
      </c>
      <c r="CR96" s="5" t="s">
        <v>828</v>
      </c>
      <c r="CS96" s="5" t="s">
        <v>4080</v>
      </c>
    </row>
    <row r="97" customFormat="false" ht="14.25" hidden="false" customHeight="true" outlineLevel="0" collapsed="false">
      <c r="A97" s="5" t="n">
        <v>164</v>
      </c>
      <c r="B97" s="5" t="n">
        <v>164</v>
      </c>
      <c r="C97" s="5" t="s">
        <v>812</v>
      </c>
      <c r="D97" s="5" t="n">
        <v>2000</v>
      </c>
      <c r="E97" s="5" t="s">
        <v>813</v>
      </c>
      <c r="F97" s="5" t="s">
        <v>1626</v>
      </c>
      <c r="G97" s="5" t="s">
        <v>2530</v>
      </c>
      <c r="H97" s="5" t="n">
        <v>23.167</v>
      </c>
      <c r="I97" s="5" t="n">
        <v>79.95</v>
      </c>
      <c r="J97" s="5" t="s">
        <v>83</v>
      </c>
      <c r="K97" s="5" t="s">
        <v>4097</v>
      </c>
      <c r="L97" s="5" t="s">
        <v>84</v>
      </c>
      <c r="M97" s="5" t="s">
        <v>2522</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4076</v>
      </c>
      <c r="CM97" s="5" t="s">
        <v>2506</v>
      </c>
      <c r="CN97" s="5" t="s">
        <v>4098</v>
      </c>
      <c r="CO97" s="5" t="s">
        <v>2531</v>
      </c>
      <c r="CP97" s="5" t="s">
        <v>4122</v>
      </c>
      <c r="CQ97" s="23" t="s">
        <v>4123</v>
      </c>
      <c r="CR97" s="5" t="s">
        <v>828</v>
      </c>
      <c r="CS97" s="5" t="s">
        <v>4080</v>
      </c>
    </row>
    <row r="98" customFormat="false" ht="14.25" hidden="false" customHeight="true" outlineLevel="0" collapsed="false">
      <c r="A98" s="5" t="n">
        <v>164</v>
      </c>
      <c r="B98" s="5" t="n">
        <v>164</v>
      </c>
      <c r="C98" s="5" t="s">
        <v>812</v>
      </c>
      <c r="D98" s="5" t="n">
        <v>2000</v>
      </c>
      <c r="E98" s="5" t="s">
        <v>813</v>
      </c>
      <c r="F98" s="5" t="s">
        <v>1626</v>
      </c>
      <c r="G98" s="5" t="s">
        <v>2530</v>
      </c>
      <c r="H98" s="5" t="n">
        <v>23.167</v>
      </c>
      <c r="I98" s="5" t="n">
        <v>79.95</v>
      </c>
      <c r="J98" s="5" t="s">
        <v>83</v>
      </c>
      <c r="K98" s="5" t="s">
        <v>4099</v>
      </c>
      <c r="L98" s="5" t="s">
        <v>84</v>
      </c>
      <c r="M98" s="5" t="s">
        <v>2522</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4076</v>
      </c>
      <c r="CM98" s="5" t="s">
        <v>2506</v>
      </c>
      <c r="CN98" s="5" t="s">
        <v>4100</v>
      </c>
      <c r="CO98" s="5" t="s">
        <v>2531</v>
      </c>
      <c r="CP98" s="5" t="s">
        <v>4122</v>
      </c>
      <c r="CQ98" s="23" t="s">
        <v>4123</v>
      </c>
      <c r="CR98" s="5" t="s">
        <v>828</v>
      </c>
      <c r="CS98" s="5" t="s">
        <v>4080</v>
      </c>
    </row>
    <row r="99" customFormat="false" ht="14.25" hidden="false" customHeight="true" outlineLevel="0" collapsed="false">
      <c r="A99" s="5" t="n">
        <v>164</v>
      </c>
      <c r="B99" s="5" t="n">
        <v>164</v>
      </c>
      <c r="C99" s="5" t="s">
        <v>812</v>
      </c>
      <c r="D99" s="5" t="n">
        <v>2000</v>
      </c>
      <c r="E99" s="5" t="s">
        <v>813</v>
      </c>
      <c r="F99" s="5" t="s">
        <v>1626</v>
      </c>
      <c r="G99" s="5" t="s">
        <v>2530</v>
      </c>
      <c r="H99" s="5" t="n">
        <v>23.167</v>
      </c>
      <c r="I99" s="5" t="n">
        <v>79.95</v>
      </c>
      <c r="J99" s="5" t="s">
        <v>83</v>
      </c>
      <c r="K99" s="5" t="s">
        <v>4101</v>
      </c>
      <c r="L99" s="5" t="s">
        <v>84</v>
      </c>
      <c r="M99" s="5" t="s">
        <v>2522</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4076</v>
      </c>
      <c r="CM99" s="5" t="s">
        <v>2506</v>
      </c>
      <c r="CN99" s="5" t="s">
        <v>4102</v>
      </c>
      <c r="CO99" s="5" t="s">
        <v>2531</v>
      </c>
      <c r="CP99" s="5" t="s">
        <v>4122</v>
      </c>
      <c r="CQ99" s="23" t="s">
        <v>4123</v>
      </c>
      <c r="CR99" s="5" t="s">
        <v>828</v>
      </c>
      <c r="CS99" s="5" t="s">
        <v>4080</v>
      </c>
    </row>
    <row r="100" customFormat="false" ht="14.25" hidden="false" customHeight="true" outlineLevel="0" collapsed="false">
      <c r="A100" s="5" t="n">
        <v>164</v>
      </c>
      <c r="B100" s="5" t="n">
        <v>164</v>
      </c>
      <c r="C100" s="5" t="s">
        <v>812</v>
      </c>
      <c r="D100" s="5" t="n">
        <v>2000</v>
      </c>
      <c r="E100" s="5" t="s">
        <v>813</v>
      </c>
      <c r="F100" s="5" t="s">
        <v>1626</v>
      </c>
      <c r="G100" s="5" t="s">
        <v>2530</v>
      </c>
      <c r="H100" s="5" t="n">
        <v>23.167</v>
      </c>
      <c r="I100" s="5" t="n">
        <v>79.95</v>
      </c>
      <c r="J100" s="5" t="s">
        <v>83</v>
      </c>
      <c r="K100" s="5" t="s">
        <v>4103</v>
      </c>
      <c r="L100" s="5" t="s">
        <v>823</v>
      </c>
      <c r="M100" s="5" t="s">
        <v>2522</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4076</v>
      </c>
      <c r="CM100" s="5" t="s">
        <v>2506</v>
      </c>
      <c r="CN100" s="5" t="s">
        <v>4104</v>
      </c>
      <c r="CO100" s="5" t="s">
        <v>2531</v>
      </c>
      <c r="CP100" s="5" t="s">
        <v>4122</v>
      </c>
      <c r="CQ100" s="23" t="s">
        <v>4123</v>
      </c>
      <c r="CR100" s="5" t="s">
        <v>828</v>
      </c>
      <c r="CS100" s="5" t="s">
        <v>4080</v>
      </c>
    </row>
    <row r="101" customFormat="false" ht="14.25" hidden="false" customHeight="true" outlineLevel="0" collapsed="false">
      <c r="A101" s="5" t="n">
        <v>164</v>
      </c>
      <c r="B101" s="5" t="n">
        <v>164</v>
      </c>
      <c r="C101" s="5" t="s">
        <v>812</v>
      </c>
      <c r="D101" s="5" t="n">
        <v>2000</v>
      </c>
      <c r="E101" s="5" t="s">
        <v>813</v>
      </c>
      <c r="F101" s="5" t="s">
        <v>1626</v>
      </c>
      <c r="G101" s="5" t="s">
        <v>2530</v>
      </c>
      <c r="H101" s="5" t="n">
        <v>23.167</v>
      </c>
      <c r="I101" s="5" t="n">
        <v>79.95</v>
      </c>
      <c r="J101" s="5" t="s">
        <v>83</v>
      </c>
      <c r="K101" s="5" t="s">
        <v>1773</v>
      </c>
      <c r="L101" s="5" t="s">
        <v>823</v>
      </c>
      <c r="M101" s="5" t="s">
        <v>2522</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4076</v>
      </c>
      <c r="CM101" s="5" t="s">
        <v>2506</v>
      </c>
      <c r="CN101" s="5" t="s">
        <v>4105</v>
      </c>
      <c r="CO101" s="5" t="s">
        <v>2531</v>
      </c>
      <c r="CP101" s="5" t="s">
        <v>4122</v>
      </c>
      <c r="CQ101" s="23" t="s">
        <v>4123</v>
      </c>
      <c r="CR101" s="5" t="s">
        <v>828</v>
      </c>
      <c r="CS101" s="5" t="s">
        <v>4080</v>
      </c>
    </row>
    <row r="102" customFormat="false" ht="14.25" hidden="false" customHeight="true" outlineLevel="0" collapsed="false">
      <c r="A102" s="5" t="n">
        <v>164</v>
      </c>
      <c r="B102" s="5" t="n">
        <v>164</v>
      </c>
      <c r="C102" s="5" t="s">
        <v>812</v>
      </c>
      <c r="D102" s="5" t="n">
        <v>2000</v>
      </c>
      <c r="E102" s="5" t="s">
        <v>813</v>
      </c>
      <c r="F102" s="5" t="s">
        <v>1626</v>
      </c>
      <c r="G102" s="5" t="s">
        <v>2530</v>
      </c>
      <c r="H102" s="5" t="n">
        <v>23.167</v>
      </c>
      <c r="I102" s="5" t="n">
        <v>79.95</v>
      </c>
      <c r="J102" s="5" t="s">
        <v>83</v>
      </c>
      <c r="K102" s="5" t="s">
        <v>2505</v>
      </c>
      <c r="L102" s="5" t="s">
        <v>823</v>
      </c>
      <c r="M102" s="5" t="s">
        <v>2522</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4076</v>
      </c>
      <c r="CM102" s="5" t="s">
        <v>2506</v>
      </c>
      <c r="CN102" s="5" t="s">
        <v>4106</v>
      </c>
      <c r="CO102" s="5" t="s">
        <v>2531</v>
      </c>
      <c r="CP102" s="5" t="s">
        <v>4122</v>
      </c>
      <c r="CQ102" s="23" t="s">
        <v>4123</v>
      </c>
      <c r="CR102" s="5" t="s">
        <v>828</v>
      </c>
      <c r="CS102" s="5" t="s">
        <v>4080</v>
      </c>
    </row>
    <row r="103" customFormat="false" ht="14.25" hidden="false" customHeight="true" outlineLevel="0" collapsed="false">
      <c r="A103" s="5" t="s">
        <v>952</v>
      </c>
      <c r="B103" s="5" t="s">
        <v>952</v>
      </c>
      <c r="C103" s="5" t="s">
        <v>953</v>
      </c>
      <c r="D103" s="5" t="n">
        <v>2023</v>
      </c>
      <c r="E103" s="5" t="s">
        <v>954</v>
      </c>
      <c r="F103" s="5" t="s">
        <v>957</v>
      </c>
      <c r="G103" s="5" t="s">
        <v>958</v>
      </c>
      <c r="H103" s="5" t="n">
        <v>35.27</v>
      </c>
      <c r="I103" s="5" t="n">
        <v>119.38</v>
      </c>
      <c r="J103" s="5" t="s">
        <v>891</v>
      </c>
      <c r="K103" s="5" t="s">
        <v>4126</v>
      </c>
      <c r="L103" s="5" t="s">
        <v>842</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4127</v>
      </c>
      <c r="CM103" s="5" t="s">
        <v>1686</v>
      </c>
      <c r="CN103" s="5" t="s">
        <v>4128</v>
      </c>
      <c r="CO103" s="5" t="s">
        <v>1688</v>
      </c>
      <c r="CP103" s="5" t="s">
        <v>4129</v>
      </c>
      <c r="CQ103" s="23" t="s">
        <v>4130</v>
      </c>
      <c r="CR103" s="5" t="s">
        <v>968</v>
      </c>
      <c r="CS103" s="5" t="s">
        <v>4131</v>
      </c>
    </row>
    <row r="104" customFormat="false" ht="14.25" hidden="false" customHeight="true" outlineLevel="0" collapsed="false">
      <c r="A104" s="5" t="s">
        <v>908</v>
      </c>
      <c r="B104" s="5" t="s">
        <v>908</v>
      </c>
      <c r="C104" s="5" t="s">
        <v>909</v>
      </c>
      <c r="D104" s="5" t="n">
        <v>2019</v>
      </c>
      <c r="E104" s="5" t="s">
        <v>854</v>
      </c>
      <c r="F104" s="5" t="s">
        <v>912</v>
      </c>
      <c r="G104" s="5" t="s">
        <v>913</v>
      </c>
      <c r="H104" s="5" t="n">
        <v>29.7</v>
      </c>
      <c r="I104" s="5" t="n">
        <v>76.96</v>
      </c>
      <c r="J104" s="5" t="s">
        <v>83</v>
      </c>
      <c r="K104" s="5" t="s">
        <v>4132</v>
      </c>
      <c r="L104" s="5" t="s">
        <v>842</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4133</v>
      </c>
      <c r="CM104" s="5" t="s">
        <v>1913</v>
      </c>
      <c r="CN104" s="5" t="s">
        <v>4134</v>
      </c>
      <c r="CO104" s="5" t="s">
        <v>1915</v>
      </c>
      <c r="CP104" s="5" t="s">
        <v>4135</v>
      </c>
      <c r="CQ104" s="23" t="s">
        <v>4136</v>
      </c>
      <c r="CR104" s="5" t="s">
        <v>922</v>
      </c>
      <c r="CS104" s="5" t="s">
        <v>4137</v>
      </c>
    </row>
    <row r="105" customFormat="false" ht="14.25" hidden="false" customHeight="true" outlineLevel="0" collapsed="false">
      <c r="A105" s="5" t="s">
        <v>908</v>
      </c>
      <c r="B105" s="5" t="s">
        <v>908</v>
      </c>
      <c r="C105" s="5" t="s">
        <v>909</v>
      </c>
      <c r="D105" s="5" t="n">
        <v>2019</v>
      </c>
      <c r="E105" s="5" t="s">
        <v>854</v>
      </c>
      <c r="F105" s="5" t="s">
        <v>912</v>
      </c>
      <c r="G105" s="5" t="s">
        <v>913</v>
      </c>
      <c r="H105" s="5" t="n">
        <v>29.7</v>
      </c>
      <c r="I105" s="5" t="n">
        <v>76.96</v>
      </c>
      <c r="J105" s="5" t="s">
        <v>83</v>
      </c>
      <c r="K105" s="5" t="s">
        <v>4138</v>
      </c>
      <c r="L105" s="5" t="s">
        <v>842</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4133</v>
      </c>
      <c r="CM105" s="5" t="s">
        <v>1913</v>
      </c>
      <c r="CN105" s="5" t="s">
        <v>4139</v>
      </c>
      <c r="CO105" s="5" t="s">
        <v>1915</v>
      </c>
      <c r="CP105" s="5" t="s">
        <v>4135</v>
      </c>
      <c r="CQ105" s="23" t="s">
        <v>4140</v>
      </c>
      <c r="CR105" s="5" t="s">
        <v>922</v>
      </c>
      <c r="CS105" s="5" t="s">
        <v>4137</v>
      </c>
    </row>
    <row r="106" customFormat="false" ht="14.25" hidden="false" customHeight="true" outlineLevel="0" collapsed="false">
      <c r="A106" s="5" t="s">
        <v>908</v>
      </c>
      <c r="B106" s="5" t="s">
        <v>908</v>
      </c>
      <c r="C106" s="5" t="s">
        <v>909</v>
      </c>
      <c r="D106" s="5" t="n">
        <v>2019</v>
      </c>
      <c r="E106" s="5" t="s">
        <v>854</v>
      </c>
      <c r="F106" s="5" t="s">
        <v>912</v>
      </c>
      <c r="G106" s="5" t="s">
        <v>913</v>
      </c>
      <c r="H106" s="5" t="n">
        <v>29.7</v>
      </c>
      <c r="I106" s="5" t="n">
        <v>76.96</v>
      </c>
      <c r="J106" s="5" t="s">
        <v>83</v>
      </c>
      <c r="K106" s="5" t="s">
        <v>4141</v>
      </c>
      <c r="L106" s="5" t="s">
        <v>842</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4133</v>
      </c>
      <c r="CM106" s="5" t="s">
        <v>1913</v>
      </c>
      <c r="CN106" s="5" t="s">
        <v>4142</v>
      </c>
      <c r="CO106" s="5" t="s">
        <v>1915</v>
      </c>
      <c r="CP106" s="5" t="s">
        <v>4135</v>
      </c>
      <c r="CQ106" s="23" t="s">
        <v>4143</v>
      </c>
      <c r="CR106" s="5" t="s">
        <v>922</v>
      </c>
      <c r="CS106" s="5" t="s">
        <v>4137</v>
      </c>
    </row>
    <row r="107" customFormat="false" ht="14.25" hidden="false" customHeight="true" outlineLevel="0" collapsed="false">
      <c r="A107" s="5" t="s">
        <v>908</v>
      </c>
      <c r="B107" s="5" t="s">
        <v>908</v>
      </c>
      <c r="C107" s="5" t="s">
        <v>909</v>
      </c>
      <c r="D107" s="5" t="n">
        <v>2019</v>
      </c>
      <c r="E107" s="5" t="s">
        <v>854</v>
      </c>
      <c r="F107" s="5" t="s">
        <v>912</v>
      </c>
      <c r="G107" s="5" t="s">
        <v>913</v>
      </c>
      <c r="H107" s="5" t="n">
        <v>29.7</v>
      </c>
      <c r="I107" s="5" t="n">
        <v>76.96</v>
      </c>
      <c r="J107" s="5" t="s">
        <v>83</v>
      </c>
      <c r="K107" s="5" t="s">
        <v>4144</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4133</v>
      </c>
      <c r="CM107" s="5" t="s">
        <v>1913</v>
      </c>
      <c r="CN107" s="5" t="s">
        <v>4145</v>
      </c>
      <c r="CO107" s="5" t="s">
        <v>1915</v>
      </c>
      <c r="CP107" s="5" t="s">
        <v>4135</v>
      </c>
      <c r="CQ107" s="23" t="s">
        <v>4146</v>
      </c>
      <c r="CR107" s="5" t="s">
        <v>922</v>
      </c>
      <c r="CS107" s="5" t="s">
        <v>4137</v>
      </c>
    </row>
    <row r="108" customFormat="false" ht="14.25" hidden="false" customHeight="true" outlineLevel="0" collapsed="false">
      <c r="A108" s="5" t="s">
        <v>908</v>
      </c>
      <c r="B108" s="5" t="s">
        <v>908</v>
      </c>
      <c r="C108" s="5" t="s">
        <v>909</v>
      </c>
      <c r="D108" s="5" t="n">
        <v>2019</v>
      </c>
      <c r="E108" s="5" t="s">
        <v>854</v>
      </c>
      <c r="F108" s="5" t="s">
        <v>912</v>
      </c>
      <c r="G108" s="5" t="s">
        <v>913</v>
      </c>
      <c r="H108" s="5" t="n">
        <v>29.7</v>
      </c>
      <c r="I108" s="5" t="n">
        <v>76.96</v>
      </c>
      <c r="J108" s="5" t="s">
        <v>83</v>
      </c>
      <c r="K108" s="5" t="s">
        <v>4147</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4133</v>
      </c>
      <c r="CM108" s="5" t="s">
        <v>1913</v>
      </c>
      <c r="CN108" s="5" t="s">
        <v>4148</v>
      </c>
      <c r="CO108" s="5" t="s">
        <v>1915</v>
      </c>
      <c r="CP108" s="5" t="s">
        <v>4135</v>
      </c>
      <c r="CQ108" s="23" t="s">
        <v>4149</v>
      </c>
      <c r="CR108" s="5" t="s">
        <v>922</v>
      </c>
      <c r="CS108" s="5" t="s">
        <v>4137</v>
      </c>
    </row>
    <row r="109" customFormat="false" ht="14.25" hidden="false" customHeight="true" outlineLevel="0" collapsed="false">
      <c r="A109" s="5" t="s">
        <v>908</v>
      </c>
      <c r="B109" s="5" t="s">
        <v>908</v>
      </c>
      <c r="C109" s="5" t="s">
        <v>909</v>
      </c>
      <c r="D109" s="5" t="n">
        <v>2019</v>
      </c>
      <c r="E109" s="5" t="s">
        <v>854</v>
      </c>
      <c r="F109" s="5" t="s">
        <v>912</v>
      </c>
      <c r="G109" s="5" t="s">
        <v>913</v>
      </c>
      <c r="H109" s="5" t="n">
        <v>29.7</v>
      </c>
      <c r="I109" s="5" t="n">
        <v>76.96</v>
      </c>
      <c r="J109" s="5" t="s">
        <v>83</v>
      </c>
      <c r="K109" s="5" t="s">
        <v>4150</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4133</v>
      </c>
      <c r="CM109" s="5" t="s">
        <v>1913</v>
      </c>
      <c r="CN109" s="5" t="s">
        <v>4151</v>
      </c>
      <c r="CO109" s="5" t="s">
        <v>1915</v>
      </c>
      <c r="CP109" s="5" t="s">
        <v>4135</v>
      </c>
      <c r="CQ109" s="23" t="s">
        <v>4152</v>
      </c>
      <c r="CR109" s="5" t="s">
        <v>922</v>
      </c>
      <c r="CS109" s="5" t="s">
        <v>4137</v>
      </c>
    </row>
    <row r="110" customFormat="false" ht="14.25" hidden="false" customHeight="true" outlineLevel="0" collapsed="false">
      <c r="A110" s="5" t="s">
        <v>935</v>
      </c>
      <c r="B110" s="5" t="s">
        <v>935</v>
      </c>
      <c r="C110" s="5" t="s">
        <v>936</v>
      </c>
      <c r="D110" s="5" t="n">
        <v>2020</v>
      </c>
      <c r="E110" s="5" t="s">
        <v>937</v>
      </c>
      <c r="F110" s="5" t="s">
        <v>836</v>
      </c>
      <c r="G110" s="5" t="s">
        <v>940</v>
      </c>
      <c r="H110" s="5" t="n">
        <v>28.4</v>
      </c>
      <c r="I110" s="5" t="n">
        <v>77.1</v>
      </c>
      <c r="J110" s="5" t="s">
        <v>83</v>
      </c>
      <c r="K110" s="5" t="s">
        <v>4153</v>
      </c>
      <c r="L110" s="5" t="s">
        <v>823</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4154</v>
      </c>
      <c r="CM110" s="5" t="s">
        <v>1699</v>
      </c>
      <c r="CN110" s="5" t="s">
        <v>4155</v>
      </c>
      <c r="CO110" s="5" t="s">
        <v>1701</v>
      </c>
      <c r="CP110" s="5" t="s">
        <v>3824</v>
      </c>
      <c r="CQ110" s="23" t="s">
        <v>4156</v>
      </c>
      <c r="CR110" s="5" t="s">
        <v>949</v>
      </c>
      <c r="CS110" s="5" t="s">
        <v>4157</v>
      </c>
    </row>
    <row r="111" customFormat="false" ht="14.25" hidden="false" customHeight="true" outlineLevel="0" collapsed="false">
      <c r="A111" s="5" t="s">
        <v>935</v>
      </c>
      <c r="B111" s="5" t="s">
        <v>935</v>
      </c>
      <c r="C111" s="5" t="s">
        <v>936</v>
      </c>
      <c r="D111" s="5" t="n">
        <v>2020</v>
      </c>
      <c r="E111" s="5" t="s">
        <v>937</v>
      </c>
      <c r="F111" s="5" t="s">
        <v>836</v>
      </c>
      <c r="G111" s="5" t="s">
        <v>940</v>
      </c>
      <c r="H111" s="5" t="n">
        <v>28.4</v>
      </c>
      <c r="I111" s="5" t="n">
        <v>77.1</v>
      </c>
      <c r="J111" s="5" t="s">
        <v>83</v>
      </c>
      <c r="K111" s="5" t="s">
        <v>4153</v>
      </c>
      <c r="L111" s="5" t="s">
        <v>823</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4154</v>
      </c>
      <c r="CM111" s="5" t="s">
        <v>1705</v>
      </c>
      <c r="CN111" s="5" t="s">
        <v>4155</v>
      </c>
      <c r="CO111" s="5" t="s">
        <v>1701</v>
      </c>
      <c r="CP111" s="5" t="s">
        <v>3824</v>
      </c>
      <c r="CQ111" s="23" t="s">
        <v>4158</v>
      </c>
      <c r="CR111" s="5" t="s">
        <v>949</v>
      </c>
      <c r="CS111" s="5" t="s">
        <v>4157</v>
      </c>
    </row>
    <row r="112" customFormat="false" ht="14.25" hidden="false" customHeight="true" outlineLevel="0" collapsed="false">
      <c r="A112" s="5" t="s">
        <v>935</v>
      </c>
      <c r="B112" s="5" t="s">
        <v>935</v>
      </c>
      <c r="C112" s="5" t="s">
        <v>936</v>
      </c>
      <c r="D112" s="5" t="n">
        <v>2020</v>
      </c>
      <c r="E112" s="5" t="s">
        <v>937</v>
      </c>
      <c r="F112" s="5" t="s">
        <v>836</v>
      </c>
      <c r="G112" s="5" t="s">
        <v>940</v>
      </c>
      <c r="H112" s="5" t="n">
        <v>28.4</v>
      </c>
      <c r="I112" s="5" t="n">
        <v>77.1</v>
      </c>
      <c r="J112" s="5" t="s">
        <v>83</v>
      </c>
      <c r="K112" s="5" t="s">
        <v>4153</v>
      </c>
      <c r="L112" s="5" t="s">
        <v>823</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4154</v>
      </c>
      <c r="CM112" s="5" t="s">
        <v>1707</v>
      </c>
      <c r="CN112" s="5" t="s">
        <v>4155</v>
      </c>
      <c r="CO112" s="5" t="s">
        <v>1701</v>
      </c>
      <c r="CP112" s="5" t="s">
        <v>3824</v>
      </c>
      <c r="CQ112" s="23" t="s">
        <v>4159</v>
      </c>
      <c r="CR112" s="5" t="s">
        <v>949</v>
      </c>
      <c r="CS112" s="5" t="s">
        <v>4157</v>
      </c>
    </row>
    <row r="113" customFormat="false" ht="14.25" hidden="false" customHeight="true" outlineLevel="0" collapsed="false">
      <c r="A113" s="5" t="s">
        <v>935</v>
      </c>
      <c r="B113" s="5" t="s">
        <v>935</v>
      </c>
      <c r="C113" s="5" t="s">
        <v>936</v>
      </c>
      <c r="D113" s="5" t="n">
        <v>2020</v>
      </c>
      <c r="E113" s="5" t="s">
        <v>937</v>
      </c>
      <c r="F113" s="5" t="s">
        <v>836</v>
      </c>
      <c r="G113" s="5" t="s">
        <v>940</v>
      </c>
      <c r="H113" s="5" t="n">
        <v>28.4</v>
      </c>
      <c r="I113" s="5" t="n">
        <v>77.1</v>
      </c>
      <c r="J113" s="5" t="s">
        <v>83</v>
      </c>
      <c r="K113" s="5" t="s">
        <v>4153</v>
      </c>
      <c r="L113" s="5" t="s">
        <v>823</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4154</v>
      </c>
      <c r="CM113" s="5" t="s">
        <v>1709</v>
      </c>
      <c r="CN113" s="5" t="s">
        <v>4155</v>
      </c>
      <c r="CO113" s="5" t="s">
        <v>1701</v>
      </c>
      <c r="CP113" s="5" t="s">
        <v>3824</v>
      </c>
      <c r="CQ113" s="23" t="s">
        <v>4160</v>
      </c>
      <c r="CR113" s="5" t="s">
        <v>949</v>
      </c>
      <c r="CS113" s="5" t="s">
        <v>4157</v>
      </c>
    </row>
    <row r="114" customFormat="false" ht="14.25" hidden="false" customHeight="true" outlineLevel="0" collapsed="false">
      <c r="A114" s="5" t="s">
        <v>935</v>
      </c>
      <c r="B114" s="5" t="s">
        <v>935</v>
      </c>
      <c r="C114" s="5" t="s">
        <v>936</v>
      </c>
      <c r="D114" s="5" t="n">
        <v>2020</v>
      </c>
      <c r="E114" s="5" t="s">
        <v>937</v>
      </c>
      <c r="F114" s="5" t="s">
        <v>836</v>
      </c>
      <c r="G114" s="5" t="s">
        <v>940</v>
      </c>
      <c r="H114" s="5" t="n">
        <v>28.4</v>
      </c>
      <c r="I114" s="5" t="n">
        <v>77.1</v>
      </c>
      <c r="J114" s="5" t="s">
        <v>83</v>
      </c>
      <c r="K114" s="5" t="s">
        <v>4153</v>
      </c>
      <c r="L114" s="5" t="s">
        <v>823</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4154</v>
      </c>
      <c r="CM114" s="5" t="s">
        <v>1711</v>
      </c>
      <c r="CN114" s="5" t="s">
        <v>4155</v>
      </c>
      <c r="CO114" s="5" t="s">
        <v>1701</v>
      </c>
      <c r="CP114" s="5" t="s">
        <v>3824</v>
      </c>
      <c r="CQ114" s="23" t="s">
        <v>4161</v>
      </c>
      <c r="CR114" s="5" t="s">
        <v>949</v>
      </c>
      <c r="CS114" s="5" t="s">
        <v>4157</v>
      </c>
    </row>
    <row r="115" customFormat="false" ht="14.25" hidden="false" customHeight="true" outlineLevel="0" collapsed="false">
      <c r="A115" s="5" t="s">
        <v>935</v>
      </c>
      <c r="B115" s="5" t="s">
        <v>935</v>
      </c>
      <c r="C115" s="5" t="s">
        <v>936</v>
      </c>
      <c r="D115" s="5" t="n">
        <v>2020</v>
      </c>
      <c r="E115" s="5" t="s">
        <v>937</v>
      </c>
      <c r="F115" s="5" t="s">
        <v>836</v>
      </c>
      <c r="G115" s="5" t="s">
        <v>940</v>
      </c>
      <c r="H115" s="5" t="n">
        <v>28.4</v>
      </c>
      <c r="I115" s="5" t="n">
        <v>77.1</v>
      </c>
      <c r="J115" s="5" t="s">
        <v>83</v>
      </c>
      <c r="K115" s="5" t="s">
        <v>4153</v>
      </c>
      <c r="L115" s="5" t="s">
        <v>823</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4154</v>
      </c>
      <c r="CM115" s="5" t="s">
        <v>1713</v>
      </c>
      <c r="CN115" s="5" t="s">
        <v>4155</v>
      </c>
      <c r="CO115" s="5" t="s">
        <v>1701</v>
      </c>
      <c r="CP115" s="5" t="s">
        <v>3824</v>
      </c>
      <c r="CQ115" s="23" t="s">
        <v>4162</v>
      </c>
      <c r="CR115" s="5" t="s">
        <v>949</v>
      </c>
      <c r="CS115" s="5" t="s">
        <v>4157</v>
      </c>
    </row>
    <row r="116" customFormat="false" ht="14.25" hidden="false" customHeight="true" outlineLevel="0" collapsed="false">
      <c r="A116" s="5" t="s">
        <v>935</v>
      </c>
      <c r="B116" s="5" t="s">
        <v>935</v>
      </c>
      <c r="C116" s="5" t="s">
        <v>936</v>
      </c>
      <c r="D116" s="5" t="n">
        <v>2020</v>
      </c>
      <c r="E116" s="5" t="s">
        <v>937</v>
      </c>
      <c r="F116" s="5" t="s">
        <v>836</v>
      </c>
      <c r="G116" s="5" t="s">
        <v>940</v>
      </c>
      <c r="H116" s="5" t="n">
        <v>28.4</v>
      </c>
      <c r="I116" s="5" t="n">
        <v>77.1</v>
      </c>
      <c r="J116" s="5" t="s">
        <v>83</v>
      </c>
      <c r="K116" s="5" t="s">
        <v>4153</v>
      </c>
      <c r="L116" s="5" t="s">
        <v>823</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4154</v>
      </c>
      <c r="CM116" s="5" t="s">
        <v>1715</v>
      </c>
      <c r="CN116" s="5" t="s">
        <v>4155</v>
      </c>
      <c r="CO116" s="5" t="s">
        <v>1701</v>
      </c>
      <c r="CP116" s="5" t="s">
        <v>3824</v>
      </c>
      <c r="CQ116" s="23" t="s">
        <v>4163</v>
      </c>
      <c r="CR116" s="5" t="s">
        <v>949</v>
      </c>
      <c r="CS116" s="5" t="s">
        <v>4157</v>
      </c>
    </row>
    <row r="117" customFormat="false" ht="14.25" hidden="false" customHeight="true" outlineLevel="0" collapsed="false">
      <c r="A117" s="5" t="s">
        <v>935</v>
      </c>
      <c r="B117" s="5" t="s">
        <v>935</v>
      </c>
      <c r="C117" s="5" t="s">
        <v>936</v>
      </c>
      <c r="D117" s="5" t="n">
        <v>2020</v>
      </c>
      <c r="E117" s="5" t="s">
        <v>937</v>
      </c>
      <c r="F117" s="5" t="s">
        <v>836</v>
      </c>
      <c r="G117" s="5" t="s">
        <v>940</v>
      </c>
      <c r="H117" s="5" t="n">
        <v>28.4</v>
      </c>
      <c r="I117" s="5" t="n">
        <v>77.1</v>
      </c>
      <c r="J117" s="5" t="s">
        <v>83</v>
      </c>
      <c r="K117" s="5" t="s">
        <v>4153</v>
      </c>
      <c r="L117" s="5" t="s">
        <v>823</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4154</v>
      </c>
      <c r="CM117" s="5" t="s">
        <v>1717</v>
      </c>
      <c r="CN117" s="5" t="s">
        <v>4155</v>
      </c>
      <c r="CO117" s="5" t="s">
        <v>1701</v>
      </c>
      <c r="CP117" s="5" t="s">
        <v>3824</v>
      </c>
      <c r="CQ117" s="23" t="s">
        <v>4164</v>
      </c>
      <c r="CR117" s="5" t="s">
        <v>949</v>
      </c>
      <c r="CS117" s="5" t="s">
        <v>4157</v>
      </c>
    </row>
    <row r="118" customFormat="false" ht="14.25" hidden="false" customHeight="false" outlineLevel="0" collapsed="false">
      <c r="A118" s="24" t="s">
        <v>988</v>
      </c>
      <c r="B118" s="24" t="s">
        <v>988</v>
      </c>
      <c r="C118" s="24" t="s">
        <v>989</v>
      </c>
      <c r="D118" s="24" t="n">
        <v>2011</v>
      </c>
      <c r="E118" s="24" t="s">
        <v>990</v>
      </c>
      <c r="F118" s="24" t="s">
        <v>857</v>
      </c>
      <c r="G118" s="24" t="s">
        <v>993</v>
      </c>
      <c r="H118" s="24" t="n">
        <v>29.017</v>
      </c>
      <c r="I118" s="24" t="n">
        <v>77.75</v>
      </c>
      <c r="J118" s="24" t="s">
        <v>83</v>
      </c>
      <c r="K118" s="24" t="s">
        <v>4165</v>
      </c>
      <c r="L118" s="24" t="s">
        <v>84</v>
      </c>
      <c r="M118" s="24" t="s">
        <v>85</v>
      </c>
      <c r="N118" s="24"/>
      <c r="O118" s="24" t="n">
        <v>4.76</v>
      </c>
      <c r="P118" s="24" t="n">
        <v>5.37</v>
      </c>
      <c r="Q118" s="24"/>
      <c r="R118" s="24"/>
      <c r="S118" s="24" t="n">
        <v>4.71</v>
      </c>
      <c r="T118" s="24"/>
      <c r="U118" s="24"/>
      <c r="V118" s="24"/>
      <c r="W118" s="24" t="n">
        <v>4.97</v>
      </c>
      <c r="X118" s="24"/>
      <c r="Y118" s="24"/>
      <c r="Z118" s="24"/>
      <c r="AA118" s="24"/>
      <c r="AB118" s="24"/>
      <c r="AC118" s="24"/>
      <c r="AD118" s="24"/>
      <c r="AE118" s="24"/>
      <c r="AF118" s="24"/>
      <c r="AG118" s="24"/>
      <c r="AH118" s="24"/>
      <c r="AI118" s="24"/>
      <c r="AJ118" s="24"/>
      <c r="AK118" s="24"/>
      <c r="AL118" s="24"/>
      <c r="AM118" s="24" t="n">
        <v>8.1</v>
      </c>
      <c r="AN118" s="24" t="n">
        <v>6.8</v>
      </c>
      <c r="AO118" s="24"/>
      <c r="AP118" s="24"/>
      <c r="AQ118" s="24" t="n">
        <v>4.62</v>
      </c>
      <c r="AR118" s="24"/>
      <c r="AS118" s="24"/>
      <c r="AT118" s="24"/>
      <c r="AU118" s="24" t="n">
        <v>7.81</v>
      </c>
      <c r="AV118" s="24"/>
      <c r="AW118" s="24"/>
      <c r="AX118" s="24"/>
      <c r="AY118" s="24"/>
      <c r="AZ118" s="24"/>
      <c r="BA118" s="24"/>
      <c r="BB118" s="24"/>
      <c r="BC118" s="24"/>
      <c r="BD118" s="24"/>
      <c r="BE118" s="24"/>
      <c r="BF118" s="24"/>
      <c r="BG118" s="24"/>
      <c r="BH118" s="24"/>
      <c r="BI118" s="24"/>
      <c r="BJ118" s="24"/>
      <c r="BK118" s="24" t="n">
        <v>12.86</v>
      </c>
      <c r="BL118" s="24" t="n">
        <v>12.19</v>
      </c>
      <c r="BM118" s="24"/>
      <c r="BN118" s="24"/>
      <c r="BO118" s="24" t="n">
        <v>9.33</v>
      </c>
      <c r="BP118" s="24"/>
      <c r="BQ118" s="24"/>
      <c r="BR118" s="24"/>
      <c r="BS118" s="24" t="n">
        <v>12.77</v>
      </c>
      <c r="BT118" s="24"/>
      <c r="BU118" s="24"/>
      <c r="BV118" s="24" t="n">
        <v>9</v>
      </c>
      <c r="BW118" s="24" t="n">
        <v>3</v>
      </c>
      <c r="BX118" s="24" t="n">
        <f aca="false">IF(AND(N(BV118)&gt;0,N(BW118)&gt;0),SQRT(2*BV118/BW118),"")</f>
        <v>2.44948974278318</v>
      </c>
      <c r="BY118" s="24" t="n">
        <v>19</v>
      </c>
      <c r="BZ118" s="24" t="n">
        <v>2</v>
      </c>
      <c r="CA118" s="24" t="n">
        <v>43</v>
      </c>
      <c r="CB118" s="24" t="n">
        <v>800</v>
      </c>
      <c r="CC118" s="24" t="n">
        <v>29.017</v>
      </c>
      <c r="CD118" s="24" t="s">
        <v>4166</v>
      </c>
      <c r="CE118" s="24"/>
      <c r="CF118" s="24"/>
      <c r="CG118" s="24" t="n">
        <v>8.1</v>
      </c>
      <c r="CH118" s="24"/>
      <c r="CI118" s="24"/>
      <c r="CJ118" s="24" t="n">
        <v>55</v>
      </c>
      <c r="CK118" s="24" t="n">
        <v>26</v>
      </c>
      <c r="CL118" s="24" t="s">
        <v>4167</v>
      </c>
      <c r="CM118" s="24" t="s">
        <v>1722</v>
      </c>
      <c r="CN118" s="24" t="s">
        <v>4168</v>
      </c>
      <c r="CO118" s="24" t="s">
        <v>1724</v>
      </c>
      <c r="CP118" s="24" t="s">
        <v>1738</v>
      </c>
      <c r="CQ118" s="25" t="s">
        <v>4169</v>
      </c>
      <c r="CR118" s="24" t="s">
        <v>1008</v>
      </c>
      <c r="CS118" s="24" t="s">
        <v>4170</v>
      </c>
    </row>
    <row r="119" customFormat="false" ht="14.25" hidden="false" customHeight="false" outlineLevel="0" collapsed="false">
      <c r="A119" s="24" t="s">
        <v>988</v>
      </c>
      <c r="B119" s="24" t="s">
        <v>988</v>
      </c>
      <c r="C119" s="24" t="s">
        <v>989</v>
      </c>
      <c r="D119" s="24" t="n">
        <v>2011</v>
      </c>
      <c r="E119" s="24" t="s">
        <v>990</v>
      </c>
      <c r="F119" s="24" t="s">
        <v>857</v>
      </c>
      <c r="G119" s="24" t="s">
        <v>993</v>
      </c>
      <c r="H119" s="24" t="n">
        <v>29.017</v>
      </c>
      <c r="I119" s="24" t="n">
        <v>77.75</v>
      </c>
      <c r="J119" s="24" t="s">
        <v>83</v>
      </c>
      <c r="K119" s="24" t="s">
        <v>4165</v>
      </c>
      <c r="L119" s="24" t="s">
        <v>84</v>
      </c>
      <c r="M119" s="24" t="s">
        <v>85</v>
      </c>
      <c r="N119" s="24"/>
      <c r="O119" s="24" t="n">
        <v>4.76</v>
      </c>
      <c r="P119" s="24" t="n">
        <v>5.22</v>
      </c>
      <c r="Q119" s="24"/>
      <c r="R119" s="24"/>
      <c r="S119" s="24" t="n">
        <v>4.24</v>
      </c>
      <c r="T119" s="24"/>
      <c r="U119" s="24"/>
      <c r="V119" s="24"/>
      <c r="W119" s="24" t="n">
        <v>4.97</v>
      </c>
      <c r="X119" s="24"/>
      <c r="Y119" s="24"/>
      <c r="Z119" s="24"/>
      <c r="AA119" s="24"/>
      <c r="AB119" s="24"/>
      <c r="AC119" s="24"/>
      <c r="AD119" s="24"/>
      <c r="AE119" s="24"/>
      <c r="AF119" s="24"/>
      <c r="AG119" s="24"/>
      <c r="AH119" s="24"/>
      <c r="AI119" s="24"/>
      <c r="AJ119" s="24"/>
      <c r="AK119" s="24"/>
      <c r="AL119" s="24"/>
      <c r="AM119" s="24" t="n">
        <v>8.1</v>
      </c>
      <c r="AN119" s="24" t="n">
        <v>6.87</v>
      </c>
      <c r="AO119" s="24"/>
      <c r="AP119" s="24"/>
      <c r="AQ119" s="24" t="n">
        <v>6.16</v>
      </c>
      <c r="AR119" s="24"/>
      <c r="AS119" s="24"/>
      <c r="AT119" s="24"/>
      <c r="AU119" s="24" t="n">
        <v>7.81</v>
      </c>
      <c r="AV119" s="24"/>
      <c r="AW119" s="24"/>
      <c r="AX119" s="24"/>
      <c r="AY119" s="24"/>
      <c r="AZ119" s="24"/>
      <c r="BA119" s="24"/>
      <c r="BB119" s="24"/>
      <c r="BC119" s="24"/>
      <c r="BD119" s="24"/>
      <c r="BE119" s="24"/>
      <c r="BF119" s="24"/>
      <c r="BG119" s="24"/>
      <c r="BH119" s="24"/>
      <c r="BI119" s="24"/>
      <c r="BJ119" s="24"/>
      <c r="BK119" s="24" t="n">
        <v>12.86</v>
      </c>
      <c r="BL119" s="24" t="n">
        <v>12.09</v>
      </c>
      <c r="BM119" s="24"/>
      <c r="BN119" s="24"/>
      <c r="BO119" s="24" t="n">
        <v>10.4</v>
      </c>
      <c r="BP119" s="24"/>
      <c r="BQ119" s="24"/>
      <c r="BR119" s="24"/>
      <c r="BS119" s="24" t="n">
        <v>12.77</v>
      </c>
      <c r="BT119" s="24"/>
      <c r="BU119" s="24"/>
      <c r="BV119" s="24" t="n">
        <v>9</v>
      </c>
      <c r="BW119" s="24" t="n">
        <v>3</v>
      </c>
      <c r="BX119" s="24" t="n">
        <f aca="false">IF(AND(N(BV119)&gt;0,N(BW119)&gt;0),SQRT(2*BV119/BW119),"")</f>
        <v>2.44948974278318</v>
      </c>
      <c r="BY119" s="24" t="n">
        <v>19</v>
      </c>
      <c r="BZ119" s="24" t="n">
        <v>2</v>
      </c>
      <c r="CA119" s="24" t="n">
        <v>43</v>
      </c>
      <c r="CB119" s="24" t="n">
        <v>800</v>
      </c>
      <c r="CC119" s="24" t="n">
        <v>29.017</v>
      </c>
      <c r="CD119" s="24" t="s">
        <v>4166</v>
      </c>
      <c r="CE119" s="24"/>
      <c r="CF119" s="24"/>
      <c r="CG119" s="24" t="n">
        <v>8.1</v>
      </c>
      <c r="CH119" s="24"/>
      <c r="CI119" s="24"/>
      <c r="CJ119" s="24" t="n">
        <v>55</v>
      </c>
      <c r="CK119" s="24" t="n">
        <v>26</v>
      </c>
      <c r="CL119" s="24" t="s">
        <v>4167</v>
      </c>
      <c r="CM119" s="24" t="s">
        <v>1722</v>
      </c>
      <c r="CN119" s="24" t="s">
        <v>4168</v>
      </c>
      <c r="CO119" s="24" t="s">
        <v>1724</v>
      </c>
      <c r="CP119" s="24" t="s">
        <v>1738</v>
      </c>
      <c r="CQ119" s="25" t="s">
        <v>4171</v>
      </c>
      <c r="CR119" s="24" t="s">
        <v>1008</v>
      </c>
      <c r="CS119" s="24" t="s">
        <v>4170</v>
      </c>
    </row>
    <row r="120" customFormat="false" ht="14.25" hidden="false" customHeight="false" outlineLevel="0" collapsed="false">
      <c r="A120" s="24" t="s">
        <v>1011</v>
      </c>
      <c r="B120" s="24" t="s">
        <v>1011</v>
      </c>
      <c r="C120" s="24" t="s">
        <v>1012</v>
      </c>
      <c r="D120" s="24" t="n">
        <v>2022</v>
      </c>
      <c r="E120" s="24" t="s">
        <v>813</v>
      </c>
      <c r="F120" s="24" t="s">
        <v>1015</v>
      </c>
      <c r="G120" s="24" t="s">
        <v>1016</v>
      </c>
      <c r="H120" s="24" t="n">
        <v>24.724</v>
      </c>
      <c r="I120" s="24" t="n">
        <v>90.437</v>
      </c>
      <c r="J120" s="24" t="s">
        <v>83</v>
      </c>
      <c r="K120" s="24" t="s">
        <v>4172</v>
      </c>
      <c r="L120" s="24" t="s">
        <v>84</v>
      </c>
      <c r="M120" s="24" t="s">
        <v>85</v>
      </c>
      <c r="N120" s="24"/>
      <c r="O120" s="24"/>
      <c r="P120" s="24"/>
      <c r="Q120" s="24"/>
      <c r="R120" s="24" t="n">
        <v>2.9</v>
      </c>
      <c r="S120" s="24"/>
      <c r="T120" s="24" t="n">
        <v>2.42</v>
      </c>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t="n">
        <v>4.13</v>
      </c>
      <c r="AQ120" s="24"/>
      <c r="AR120" s="24" t="n">
        <v>3.86</v>
      </c>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t="n">
        <v>2</v>
      </c>
      <c r="BW120" s="24" t="n">
        <v>3</v>
      </c>
      <c r="BX120" s="24" t="n">
        <f aca="false">IF(AND(N(BV120)&gt;0,N(BW120)&gt;0),SQRT(2*BV120/BW120),"")</f>
        <v>1.15470053837925</v>
      </c>
      <c r="BY120" s="24" t="n">
        <v>13</v>
      </c>
      <c r="BZ120" s="24"/>
      <c r="CA120" s="24"/>
      <c r="CB120" s="24" t="n">
        <v>2400</v>
      </c>
      <c r="CC120" s="24" t="n">
        <v>24.724</v>
      </c>
      <c r="CD120" s="24" t="n">
        <v>7</v>
      </c>
      <c r="CE120" s="24"/>
      <c r="CF120" s="24"/>
      <c r="CG120" s="24" t="n">
        <v>6.92</v>
      </c>
      <c r="CH120" s="24" t="n">
        <v>13.2</v>
      </c>
      <c r="CI120" s="24" t="n">
        <v>1.58</v>
      </c>
      <c r="CJ120" s="24" t="n">
        <v>11</v>
      </c>
      <c r="CK120" s="24" t="n">
        <v>76</v>
      </c>
      <c r="CL120" s="24" t="s">
        <v>4173</v>
      </c>
      <c r="CM120" s="24" t="s">
        <v>1735</v>
      </c>
      <c r="CN120" s="24" t="s">
        <v>4174</v>
      </c>
      <c r="CO120" s="24" t="s">
        <v>4175</v>
      </c>
      <c r="CP120" s="24" t="s">
        <v>2165</v>
      </c>
      <c r="CQ120" s="25" t="s">
        <v>4176</v>
      </c>
      <c r="CR120" s="24" t="s">
        <v>1030</v>
      </c>
      <c r="CS120" s="24" t="s">
        <v>4177</v>
      </c>
    </row>
    <row r="121" customFormat="false" ht="14.25" hidden="false" customHeight="false" outlineLevel="0" collapsed="false">
      <c r="A121" s="24" t="s">
        <v>1011</v>
      </c>
      <c r="B121" s="24" t="s">
        <v>1011</v>
      </c>
      <c r="C121" s="24" t="s">
        <v>1012</v>
      </c>
      <c r="D121" s="24" t="n">
        <v>2022</v>
      </c>
      <c r="E121" s="24" t="s">
        <v>813</v>
      </c>
      <c r="F121" s="24" t="s">
        <v>1015</v>
      </c>
      <c r="G121" s="24" t="s">
        <v>1016</v>
      </c>
      <c r="H121" s="24" t="n">
        <v>24.724</v>
      </c>
      <c r="I121" s="24" t="n">
        <v>90.437</v>
      </c>
      <c r="J121" s="24" t="s">
        <v>83</v>
      </c>
      <c r="K121" s="24" t="s">
        <v>4172</v>
      </c>
      <c r="L121" s="24" t="s">
        <v>84</v>
      </c>
      <c r="M121" s="24" t="s">
        <v>85</v>
      </c>
      <c r="N121" s="24"/>
      <c r="O121" s="24"/>
      <c r="P121" s="24"/>
      <c r="Q121" s="24"/>
      <c r="R121" s="24" t="n">
        <v>3.39</v>
      </c>
      <c r="S121" s="24"/>
      <c r="T121" s="24" t="n">
        <v>2.81</v>
      </c>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t="n">
        <v>4.33</v>
      </c>
      <c r="AQ121" s="24"/>
      <c r="AR121" s="24" t="n">
        <v>3.94</v>
      </c>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t="n">
        <v>2</v>
      </c>
      <c r="BW121" s="24" t="n">
        <v>3</v>
      </c>
      <c r="BX121" s="24" t="n">
        <f aca="false">IF(AND(N(BV121)&gt;0,N(BW121)&gt;0),SQRT(2*BV121/BW121),"")</f>
        <v>1.15470053837925</v>
      </c>
      <c r="BY121" s="24" t="n">
        <v>13</v>
      </c>
      <c r="BZ121" s="24"/>
      <c r="CA121" s="24"/>
      <c r="CB121" s="24" t="n">
        <v>2400</v>
      </c>
      <c r="CC121" s="24" t="n">
        <v>24.724</v>
      </c>
      <c r="CD121" s="24" t="n">
        <v>7</v>
      </c>
      <c r="CE121" s="24"/>
      <c r="CF121" s="24"/>
      <c r="CG121" s="24" t="n">
        <v>6.92</v>
      </c>
      <c r="CH121" s="24" t="n">
        <v>13.2</v>
      </c>
      <c r="CI121" s="24" t="n">
        <v>1.58</v>
      </c>
      <c r="CJ121" s="24" t="n">
        <v>11</v>
      </c>
      <c r="CK121" s="24" t="n">
        <v>76</v>
      </c>
      <c r="CL121" s="24" t="s">
        <v>4173</v>
      </c>
      <c r="CM121" s="24" t="s">
        <v>1735</v>
      </c>
      <c r="CN121" s="24" t="s">
        <v>4178</v>
      </c>
      <c r="CO121" s="24" t="s">
        <v>4179</v>
      </c>
      <c r="CP121" s="24" t="s">
        <v>2165</v>
      </c>
      <c r="CQ121" s="25" t="s">
        <v>4180</v>
      </c>
      <c r="CR121" s="24" t="s">
        <v>1030</v>
      </c>
      <c r="CS121" s="24" t="s">
        <v>4177</v>
      </c>
    </row>
    <row r="122" customFormat="false" ht="14.25" hidden="false" customHeight="false" outlineLevel="0" collapsed="false">
      <c r="A122" s="24" t="s">
        <v>1011</v>
      </c>
      <c r="B122" s="24" t="s">
        <v>1011</v>
      </c>
      <c r="C122" s="24" t="s">
        <v>1012</v>
      </c>
      <c r="D122" s="24" t="n">
        <v>2022</v>
      </c>
      <c r="E122" s="24" t="s">
        <v>813</v>
      </c>
      <c r="F122" s="24" t="s">
        <v>1015</v>
      </c>
      <c r="G122" s="24" t="s">
        <v>1016</v>
      </c>
      <c r="H122" s="24" t="n">
        <v>24.724</v>
      </c>
      <c r="I122" s="24" t="n">
        <v>90.437</v>
      </c>
      <c r="J122" s="24" t="s">
        <v>83</v>
      </c>
      <c r="K122" s="24" t="s">
        <v>4172</v>
      </c>
      <c r="L122" s="24" t="s">
        <v>84</v>
      </c>
      <c r="M122" s="24" t="s">
        <v>85</v>
      </c>
      <c r="N122" s="24"/>
      <c r="O122" s="24"/>
      <c r="P122" s="24"/>
      <c r="Q122" s="24"/>
      <c r="R122" s="24" t="n">
        <v>3.61</v>
      </c>
      <c r="S122" s="24"/>
      <c r="T122" s="24" t="n">
        <v>3.23</v>
      </c>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t="n">
        <v>4.51</v>
      </c>
      <c r="AQ122" s="24"/>
      <c r="AR122" s="24" t="n">
        <v>4.08</v>
      </c>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t="n">
        <v>2</v>
      </c>
      <c r="BW122" s="24" t="n">
        <v>3</v>
      </c>
      <c r="BX122" s="24" t="n">
        <f aca="false">IF(AND(N(BV122)&gt;0,N(BW122)&gt;0),SQRT(2*BV122/BW122),"")</f>
        <v>1.15470053837925</v>
      </c>
      <c r="BY122" s="24" t="n">
        <v>13</v>
      </c>
      <c r="BZ122" s="24"/>
      <c r="CA122" s="24"/>
      <c r="CB122" s="24" t="n">
        <v>2400</v>
      </c>
      <c r="CC122" s="24" t="n">
        <v>24.724</v>
      </c>
      <c r="CD122" s="24" t="n">
        <v>7</v>
      </c>
      <c r="CE122" s="24"/>
      <c r="CF122" s="24"/>
      <c r="CG122" s="24" t="n">
        <v>6.92</v>
      </c>
      <c r="CH122" s="24" t="n">
        <v>13.2</v>
      </c>
      <c r="CI122" s="24" t="n">
        <v>1.58</v>
      </c>
      <c r="CJ122" s="24" t="n">
        <v>11</v>
      </c>
      <c r="CK122" s="24" t="n">
        <v>76</v>
      </c>
      <c r="CL122" s="24" t="s">
        <v>4173</v>
      </c>
      <c r="CM122" s="24" t="s">
        <v>1735</v>
      </c>
      <c r="CN122" s="24" t="s">
        <v>4181</v>
      </c>
      <c r="CO122" s="24" t="s">
        <v>4182</v>
      </c>
      <c r="CP122" s="24" t="s">
        <v>2165</v>
      </c>
      <c r="CQ122" s="25" t="s">
        <v>4183</v>
      </c>
      <c r="CR122" s="24" t="s">
        <v>1030</v>
      </c>
      <c r="CS122" s="24" t="s">
        <v>4177</v>
      </c>
    </row>
    <row r="123" customFormat="false" ht="14.25" hidden="false" customHeight="false" outlineLevel="0" collapsed="false">
      <c r="A123" s="24" t="s">
        <v>1011</v>
      </c>
      <c r="B123" s="24" t="s">
        <v>1011</v>
      </c>
      <c r="C123" s="24" t="s">
        <v>1012</v>
      </c>
      <c r="D123" s="24" t="n">
        <v>2022</v>
      </c>
      <c r="E123" s="24" t="s">
        <v>813</v>
      </c>
      <c r="F123" s="24" t="s">
        <v>1015</v>
      </c>
      <c r="G123" s="24" t="s">
        <v>1016</v>
      </c>
      <c r="H123" s="24" t="n">
        <v>24.724</v>
      </c>
      <c r="I123" s="24" t="n">
        <v>90.437</v>
      </c>
      <c r="J123" s="24" t="s">
        <v>83</v>
      </c>
      <c r="K123" s="24" t="s">
        <v>4172</v>
      </c>
      <c r="L123" s="24" t="s">
        <v>84</v>
      </c>
      <c r="M123" s="24" t="s">
        <v>85</v>
      </c>
      <c r="N123" s="24"/>
      <c r="O123" s="24"/>
      <c r="P123" s="24"/>
      <c r="Q123" s="24"/>
      <c r="R123" s="24" t="n">
        <v>4.41</v>
      </c>
      <c r="S123" s="24"/>
      <c r="T123" s="24" t="n">
        <v>3.6</v>
      </c>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t="n">
        <v>5.07</v>
      </c>
      <c r="AQ123" s="24"/>
      <c r="AR123" s="24" t="n">
        <v>4.32</v>
      </c>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t="n">
        <v>2</v>
      </c>
      <c r="BW123" s="24" t="n">
        <v>3</v>
      </c>
      <c r="BX123" s="24" t="n">
        <f aca="false">IF(AND(N(BV123)&gt;0,N(BW123)&gt;0),SQRT(2*BV123/BW123),"")</f>
        <v>1.15470053837925</v>
      </c>
      <c r="BY123" s="24" t="n">
        <v>13</v>
      </c>
      <c r="BZ123" s="24"/>
      <c r="CA123" s="24"/>
      <c r="CB123" s="24" t="n">
        <v>2400</v>
      </c>
      <c r="CC123" s="24" t="n">
        <v>24.724</v>
      </c>
      <c r="CD123" s="24" t="n">
        <v>7</v>
      </c>
      <c r="CE123" s="24"/>
      <c r="CF123" s="24"/>
      <c r="CG123" s="24" t="n">
        <v>6.92</v>
      </c>
      <c r="CH123" s="24" t="n">
        <v>13.2</v>
      </c>
      <c r="CI123" s="24" t="n">
        <v>1.58</v>
      </c>
      <c r="CJ123" s="24" t="n">
        <v>11</v>
      </c>
      <c r="CK123" s="24" t="n">
        <v>76</v>
      </c>
      <c r="CL123" s="24" t="s">
        <v>4173</v>
      </c>
      <c r="CM123" s="24" t="s">
        <v>1735</v>
      </c>
      <c r="CN123" s="24" t="s">
        <v>4184</v>
      </c>
      <c r="CO123" s="24" t="s">
        <v>4185</v>
      </c>
      <c r="CP123" s="24" t="s">
        <v>2165</v>
      </c>
      <c r="CQ123" s="25" t="s">
        <v>4186</v>
      </c>
      <c r="CR123" s="24" t="s">
        <v>1030</v>
      </c>
      <c r="CS123" s="24" t="s">
        <v>4177</v>
      </c>
    </row>
    <row r="124" customFormat="false" ht="14.25" hidden="false" customHeight="false" outlineLevel="0" collapsed="false">
      <c r="A124" s="24" t="s">
        <v>1011</v>
      </c>
      <c r="B124" s="24" t="s">
        <v>1011</v>
      </c>
      <c r="C124" s="24" t="s">
        <v>1012</v>
      </c>
      <c r="D124" s="24" t="n">
        <v>2022</v>
      </c>
      <c r="E124" s="24" t="s">
        <v>813</v>
      </c>
      <c r="F124" s="24" t="s">
        <v>1015</v>
      </c>
      <c r="G124" s="24" t="s">
        <v>1016</v>
      </c>
      <c r="H124" s="24" t="n">
        <v>24.724</v>
      </c>
      <c r="I124" s="24" t="n">
        <v>90.437</v>
      </c>
      <c r="J124" s="24" t="s">
        <v>83</v>
      </c>
      <c r="K124" s="24" t="s">
        <v>4172</v>
      </c>
      <c r="L124" s="24" t="s">
        <v>84</v>
      </c>
      <c r="M124" s="24" t="s">
        <v>85</v>
      </c>
      <c r="N124" s="24"/>
      <c r="O124" s="24"/>
      <c r="P124" s="24"/>
      <c r="Q124" s="24"/>
      <c r="R124" s="24" t="n">
        <v>4.2</v>
      </c>
      <c r="S124" s="24"/>
      <c r="T124" s="24" t="n">
        <v>3.64</v>
      </c>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t="n">
        <v>4.91</v>
      </c>
      <c r="AQ124" s="24"/>
      <c r="AR124" s="24" t="n">
        <v>4.2</v>
      </c>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t="n">
        <v>2</v>
      </c>
      <c r="BW124" s="24" t="n">
        <v>3</v>
      </c>
      <c r="BX124" s="24" t="n">
        <f aca="false">IF(AND(N(BV124)&gt;0,N(BW124)&gt;0),SQRT(2*BV124/BW124),"")</f>
        <v>1.15470053837925</v>
      </c>
      <c r="BY124" s="24" t="n">
        <v>13</v>
      </c>
      <c r="BZ124" s="24"/>
      <c r="CA124" s="24"/>
      <c r="CB124" s="24" t="n">
        <v>2400</v>
      </c>
      <c r="CC124" s="24" t="n">
        <v>24.724</v>
      </c>
      <c r="CD124" s="24" t="n">
        <v>7</v>
      </c>
      <c r="CE124" s="24"/>
      <c r="CF124" s="24"/>
      <c r="CG124" s="24" t="n">
        <v>6.92</v>
      </c>
      <c r="CH124" s="24" t="n">
        <v>13.2</v>
      </c>
      <c r="CI124" s="24" t="n">
        <v>1.58</v>
      </c>
      <c r="CJ124" s="24" t="n">
        <v>11</v>
      </c>
      <c r="CK124" s="24" t="n">
        <v>76</v>
      </c>
      <c r="CL124" s="24" t="s">
        <v>4173</v>
      </c>
      <c r="CM124" s="24" t="s">
        <v>1735</v>
      </c>
      <c r="CN124" s="24" t="s">
        <v>4187</v>
      </c>
      <c r="CO124" s="24" t="s">
        <v>4188</v>
      </c>
      <c r="CP124" s="24" t="s">
        <v>2165</v>
      </c>
      <c r="CQ124" s="25" t="s">
        <v>4189</v>
      </c>
      <c r="CR124" s="24" t="s">
        <v>1030</v>
      </c>
      <c r="CS124" s="24" t="s">
        <v>4177</v>
      </c>
    </row>
    <row r="125" customFormat="false" ht="14.25" hidden="false" customHeight="false" outlineLevel="0" collapsed="false">
      <c r="A125" s="24" t="s">
        <v>1011</v>
      </c>
      <c r="B125" s="24" t="s">
        <v>1011</v>
      </c>
      <c r="C125" s="24" t="s">
        <v>1012</v>
      </c>
      <c r="D125" s="24" t="n">
        <v>2022</v>
      </c>
      <c r="E125" s="24" t="s">
        <v>813</v>
      </c>
      <c r="F125" s="24" t="s">
        <v>1015</v>
      </c>
      <c r="G125" s="24" t="s">
        <v>1016</v>
      </c>
      <c r="H125" s="24" t="n">
        <v>24.724</v>
      </c>
      <c r="I125" s="24" t="n">
        <v>90.437</v>
      </c>
      <c r="J125" s="24" t="s">
        <v>83</v>
      </c>
      <c r="K125" s="24" t="s">
        <v>4190</v>
      </c>
      <c r="L125" s="24" t="s">
        <v>84</v>
      </c>
      <c r="M125" s="24" t="s">
        <v>85</v>
      </c>
      <c r="N125" s="24"/>
      <c r="O125" s="24"/>
      <c r="P125" s="24"/>
      <c r="Q125" s="24"/>
      <c r="R125" s="24" t="n">
        <v>2.61</v>
      </c>
      <c r="S125" s="24"/>
      <c r="T125" s="24" t="n">
        <v>1.82</v>
      </c>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t="n">
        <v>4.52</v>
      </c>
      <c r="AQ125" s="24"/>
      <c r="AR125" s="24" t="n">
        <v>4.03</v>
      </c>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t="n">
        <v>2</v>
      </c>
      <c r="BW125" s="24" t="n">
        <v>3</v>
      </c>
      <c r="BX125" s="24" t="n">
        <f aca="false">IF(AND(N(BV125)&gt;0,N(BW125)&gt;0),SQRT(2*BV125/BW125),"")</f>
        <v>1.15470053837925</v>
      </c>
      <c r="BY125" s="24" t="n">
        <v>13</v>
      </c>
      <c r="BZ125" s="24"/>
      <c r="CA125" s="24"/>
      <c r="CB125" s="24" t="n">
        <v>2400</v>
      </c>
      <c r="CC125" s="24" t="n">
        <v>24.724</v>
      </c>
      <c r="CD125" s="24" t="n">
        <v>8</v>
      </c>
      <c r="CE125" s="24"/>
      <c r="CF125" s="24"/>
      <c r="CG125" s="24" t="n">
        <v>6.92</v>
      </c>
      <c r="CH125" s="24" t="n">
        <v>13.2</v>
      </c>
      <c r="CI125" s="24" t="n">
        <v>1.58</v>
      </c>
      <c r="CJ125" s="24" t="n">
        <v>11</v>
      </c>
      <c r="CK125" s="24" t="n">
        <v>76</v>
      </c>
      <c r="CL125" s="24" t="s">
        <v>4173</v>
      </c>
      <c r="CM125" s="24" t="s">
        <v>1735</v>
      </c>
      <c r="CN125" s="24" t="s">
        <v>4191</v>
      </c>
      <c r="CO125" s="24" t="s">
        <v>4175</v>
      </c>
      <c r="CP125" s="24" t="s">
        <v>2165</v>
      </c>
      <c r="CQ125" s="25" t="s">
        <v>4192</v>
      </c>
      <c r="CR125" s="24" t="s">
        <v>1030</v>
      </c>
      <c r="CS125" s="24" t="s">
        <v>4177</v>
      </c>
    </row>
    <row r="126" customFormat="false" ht="14.25" hidden="false" customHeight="false" outlineLevel="0" collapsed="false">
      <c r="A126" s="24" t="s">
        <v>1011</v>
      </c>
      <c r="B126" s="24" t="s">
        <v>1011</v>
      </c>
      <c r="C126" s="24" t="s">
        <v>1012</v>
      </c>
      <c r="D126" s="24" t="n">
        <v>2022</v>
      </c>
      <c r="E126" s="24" t="s">
        <v>813</v>
      </c>
      <c r="F126" s="24" t="s">
        <v>1015</v>
      </c>
      <c r="G126" s="24" t="s">
        <v>1016</v>
      </c>
      <c r="H126" s="24" t="n">
        <v>24.724</v>
      </c>
      <c r="I126" s="24" t="n">
        <v>90.437</v>
      </c>
      <c r="J126" s="24" t="s">
        <v>83</v>
      </c>
      <c r="K126" s="24" t="s">
        <v>4190</v>
      </c>
      <c r="L126" s="24" t="s">
        <v>84</v>
      </c>
      <c r="M126" s="24" t="s">
        <v>85</v>
      </c>
      <c r="N126" s="24"/>
      <c r="O126" s="24"/>
      <c r="P126" s="24"/>
      <c r="Q126" s="24"/>
      <c r="R126" s="24" t="n">
        <v>2.78</v>
      </c>
      <c r="S126" s="24"/>
      <c r="T126" s="24" t="n">
        <v>2.12</v>
      </c>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t="n">
        <v>5</v>
      </c>
      <c r="AQ126" s="24"/>
      <c r="AR126" s="24" t="n">
        <v>4.31</v>
      </c>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t="n">
        <v>2</v>
      </c>
      <c r="BW126" s="24" t="n">
        <v>3</v>
      </c>
      <c r="BX126" s="24" t="n">
        <f aca="false">IF(AND(N(BV126)&gt;0,N(BW126)&gt;0),SQRT(2*BV126/BW126),"")</f>
        <v>1.15470053837925</v>
      </c>
      <c r="BY126" s="24" t="n">
        <v>13</v>
      </c>
      <c r="BZ126" s="24"/>
      <c r="CA126" s="24"/>
      <c r="CB126" s="24" t="n">
        <v>2400</v>
      </c>
      <c r="CC126" s="24" t="n">
        <v>24.724</v>
      </c>
      <c r="CD126" s="24" t="n">
        <v>8</v>
      </c>
      <c r="CE126" s="24"/>
      <c r="CF126" s="24"/>
      <c r="CG126" s="24" t="n">
        <v>6.92</v>
      </c>
      <c r="CH126" s="24" t="n">
        <v>13.2</v>
      </c>
      <c r="CI126" s="24" t="n">
        <v>1.58</v>
      </c>
      <c r="CJ126" s="24" t="n">
        <v>11</v>
      </c>
      <c r="CK126" s="24" t="n">
        <v>76</v>
      </c>
      <c r="CL126" s="24" t="s">
        <v>4173</v>
      </c>
      <c r="CM126" s="24" t="s">
        <v>1735</v>
      </c>
      <c r="CN126" s="24" t="s">
        <v>4193</v>
      </c>
      <c r="CO126" s="24" t="s">
        <v>4179</v>
      </c>
      <c r="CP126" s="24" t="s">
        <v>2165</v>
      </c>
      <c r="CQ126" s="25" t="s">
        <v>4194</v>
      </c>
      <c r="CR126" s="24" t="s">
        <v>1030</v>
      </c>
      <c r="CS126" s="24" t="s">
        <v>4177</v>
      </c>
    </row>
    <row r="127" customFormat="false" ht="14.25" hidden="false" customHeight="false" outlineLevel="0" collapsed="false">
      <c r="A127" s="24" t="s">
        <v>1011</v>
      </c>
      <c r="B127" s="24" t="s">
        <v>1011</v>
      </c>
      <c r="C127" s="24" t="s">
        <v>1012</v>
      </c>
      <c r="D127" s="24" t="n">
        <v>2022</v>
      </c>
      <c r="E127" s="24" t="s">
        <v>813</v>
      </c>
      <c r="F127" s="24" t="s">
        <v>1015</v>
      </c>
      <c r="G127" s="24" t="s">
        <v>1016</v>
      </c>
      <c r="H127" s="24" t="n">
        <v>24.724</v>
      </c>
      <c r="I127" s="24" t="n">
        <v>90.437</v>
      </c>
      <c r="J127" s="24" t="s">
        <v>83</v>
      </c>
      <c r="K127" s="24" t="s">
        <v>4190</v>
      </c>
      <c r="L127" s="24" t="s">
        <v>84</v>
      </c>
      <c r="M127" s="24" t="s">
        <v>85</v>
      </c>
      <c r="N127" s="24"/>
      <c r="O127" s="24"/>
      <c r="P127" s="24"/>
      <c r="Q127" s="24"/>
      <c r="R127" s="24" t="n">
        <v>3.54</v>
      </c>
      <c r="S127" s="24"/>
      <c r="T127" s="24" t="n">
        <v>3.12</v>
      </c>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t="n">
        <v>5.39</v>
      </c>
      <c r="AQ127" s="24"/>
      <c r="AR127" s="24" t="n">
        <v>5</v>
      </c>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t="n">
        <v>2</v>
      </c>
      <c r="BW127" s="24" t="n">
        <v>3</v>
      </c>
      <c r="BX127" s="24" t="n">
        <f aca="false">IF(AND(N(BV127)&gt;0,N(BW127)&gt;0),SQRT(2*BV127/BW127),"")</f>
        <v>1.15470053837925</v>
      </c>
      <c r="BY127" s="24" t="n">
        <v>13</v>
      </c>
      <c r="BZ127" s="24"/>
      <c r="CA127" s="24"/>
      <c r="CB127" s="24" t="n">
        <v>2400</v>
      </c>
      <c r="CC127" s="24" t="n">
        <v>24.724</v>
      </c>
      <c r="CD127" s="24" t="n">
        <v>8</v>
      </c>
      <c r="CE127" s="24"/>
      <c r="CF127" s="24"/>
      <c r="CG127" s="24" t="n">
        <v>6.92</v>
      </c>
      <c r="CH127" s="24" t="n">
        <v>13.2</v>
      </c>
      <c r="CI127" s="24" t="n">
        <v>1.58</v>
      </c>
      <c r="CJ127" s="24" t="n">
        <v>11</v>
      </c>
      <c r="CK127" s="24" t="n">
        <v>76</v>
      </c>
      <c r="CL127" s="24" t="s">
        <v>4173</v>
      </c>
      <c r="CM127" s="24" t="s">
        <v>1735</v>
      </c>
      <c r="CN127" s="24" t="s">
        <v>4195</v>
      </c>
      <c r="CO127" s="24" t="s">
        <v>4182</v>
      </c>
      <c r="CP127" s="24" t="s">
        <v>2165</v>
      </c>
      <c r="CQ127" s="25" t="s">
        <v>4196</v>
      </c>
      <c r="CR127" s="24" t="s">
        <v>1030</v>
      </c>
      <c r="CS127" s="24" t="s">
        <v>4177</v>
      </c>
    </row>
    <row r="128" customFormat="false" ht="14.25" hidden="false" customHeight="false" outlineLevel="0" collapsed="false">
      <c r="A128" s="24" t="s">
        <v>1011</v>
      </c>
      <c r="B128" s="24" t="s">
        <v>1011</v>
      </c>
      <c r="C128" s="24" t="s">
        <v>1012</v>
      </c>
      <c r="D128" s="24" t="n">
        <v>2022</v>
      </c>
      <c r="E128" s="24" t="s">
        <v>813</v>
      </c>
      <c r="F128" s="24" t="s">
        <v>1015</v>
      </c>
      <c r="G128" s="24" t="s">
        <v>1016</v>
      </c>
      <c r="H128" s="24" t="n">
        <v>24.724</v>
      </c>
      <c r="I128" s="24" t="n">
        <v>90.437</v>
      </c>
      <c r="J128" s="24" t="s">
        <v>83</v>
      </c>
      <c r="K128" s="24" t="s">
        <v>4190</v>
      </c>
      <c r="L128" s="24" t="s">
        <v>84</v>
      </c>
      <c r="M128" s="24" t="s">
        <v>85</v>
      </c>
      <c r="N128" s="24"/>
      <c r="O128" s="24"/>
      <c r="P128" s="24"/>
      <c r="Q128" s="24"/>
      <c r="R128" s="24" t="n">
        <v>3.89</v>
      </c>
      <c r="S128" s="24"/>
      <c r="T128" s="24" t="n">
        <v>3.19</v>
      </c>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t="n">
        <v>6.15</v>
      </c>
      <c r="AQ128" s="24"/>
      <c r="AR128" s="24" t="n">
        <v>5.5</v>
      </c>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t="n">
        <v>2</v>
      </c>
      <c r="BW128" s="24" t="n">
        <v>3</v>
      </c>
      <c r="BX128" s="24" t="n">
        <f aca="false">IF(AND(N(BV128)&gt;0,N(BW128)&gt;0),SQRT(2*BV128/BW128),"")</f>
        <v>1.15470053837925</v>
      </c>
      <c r="BY128" s="24" t="n">
        <v>13</v>
      </c>
      <c r="BZ128" s="24"/>
      <c r="CA128" s="24"/>
      <c r="CB128" s="24" t="n">
        <v>2400</v>
      </c>
      <c r="CC128" s="24" t="n">
        <v>24.724</v>
      </c>
      <c r="CD128" s="24" t="n">
        <v>8</v>
      </c>
      <c r="CE128" s="24"/>
      <c r="CF128" s="24"/>
      <c r="CG128" s="24" t="n">
        <v>6.92</v>
      </c>
      <c r="CH128" s="24" t="n">
        <v>13.2</v>
      </c>
      <c r="CI128" s="24" t="n">
        <v>1.58</v>
      </c>
      <c r="CJ128" s="24" t="n">
        <v>11</v>
      </c>
      <c r="CK128" s="24" t="n">
        <v>76</v>
      </c>
      <c r="CL128" s="24" t="s">
        <v>4173</v>
      </c>
      <c r="CM128" s="24" t="s">
        <v>1735</v>
      </c>
      <c r="CN128" s="24" t="s">
        <v>4197</v>
      </c>
      <c r="CO128" s="24" t="s">
        <v>4185</v>
      </c>
      <c r="CP128" s="24" t="s">
        <v>2165</v>
      </c>
      <c r="CQ128" s="25" t="s">
        <v>4198</v>
      </c>
      <c r="CR128" s="24" t="s">
        <v>1030</v>
      </c>
      <c r="CS128" s="24" t="s">
        <v>4177</v>
      </c>
    </row>
    <row r="129" customFormat="false" ht="14.25" hidden="false" customHeight="false" outlineLevel="0" collapsed="false">
      <c r="A129" s="24" t="s">
        <v>1011</v>
      </c>
      <c r="B129" s="24" t="s">
        <v>1011</v>
      </c>
      <c r="C129" s="24" t="s">
        <v>1012</v>
      </c>
      <c r="D129" s="24" t="n">
        <v>2022</v>
      </c>
      <c r="E129" s="24" t="s">
        <v>813</v>
      </c>
      <c r="F129" s="24" t="s">
        <v>1015</v>
      </c>
      <c r="G129" s="24" t="s">
        <v>1016</v>
      </c>
      <c r="H129" s="24" t="n">
        <v>24.724</v>
      </c>
      <c r="I129" s="24" t="n">
        <v>90.437</v>
      </c>
      <c r="J129" s="24" t="s">
        <v>83</v>
      </c>
      <c r="K129" s="24" t="s">
        <v>4190</v>
      </c>
      <c r="L129" s="24" t="s">
        <v>84</v>
      </c>
      <c r="M129" s="24" t="s">
        <v>85</v>
      </c>
      <c r="N129" s="24"/>
      <c r="O129" s="24"/>
      <c r="P129" s="24"/>
      <c r="Q129" s="24"/>
      <c r="R129" s="24" t="n">
        <v>3.7</v>
      </c>
      <c r="S129" s="24"/>
      <c r="T129" s="24" t="n">
        <v>3.29</v>
      </c>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t="n">
        <v>6</v>
      </c>
      <c r="AQ129" s="24"/>
      <c r="AR129" s="24" t="n">
        <v>5.2</v>
      </c>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t="n">
        <v>2</v>
      </c>
      <c r="BW129" s="24" t="n">
        <v>3</v>
      </c>
      <c r="BX129" s="24" t="n">
        <f aca="false">IF(AND(N(BV129)&gt;0,N(BW129)&gt;0),SQRT(2*BV129/BW129),"")</f>
        <v>1.15470053837925</v>
      </c>
      <c r="BY129" s="24" t="n">
        <v>13</v>
      </c>
      <c r="BZ129" s="24"/>
      <c r="CA129" s="24"/>
      <c r="CB129" s="24" t="n">
        <v>2400</v>
      </c>
      <c r="CC129" s="24" t="n">
        <v>24.724</v>
      </c>
      <c r="CD129" s="24" t="n">
        <v>8</v>
      </c>
      <c r="CE129" s="24"/>
      <c r="CF129" s="24"/>
      <c r="CG129" s="24" t="n">
        <v>6.92</v>
      </c>
      <c r="CH129" s="24" t="n">
        <v>13.2</v>
      </c>
      <c r="CI129" s="24" t="n">
        <v>1.58</v>
      </c>
      <c r="CJ129" s="24" t="n">
        <v>11</v>
      </c>
      <c r="CK129" s="24" t="n">
        <v>76</v>
      </c>
      <c r="CL129" s="24" t="s">
        <v>4173</v>
      </c>
      <c r="CM129" s="24" t="s">
        <v>1735</v>
      </c>
      <c r="CN129" s="24" t="s">
        <v>4199</v>
      </c>
      <c r="CO129" s="24" t="s">
        <v>4188</v>
      </c>
      <c r="CP129" s="24" t="s">
        <v>2165</v>
      </c>
      <c r="CQ129" s="25" t="s">
        <v>4200</v>
      </c>
      <c r="CR129" s="24" t="s">
        <v>1030</v>
      </c>
      <c r="CS129" s="24" t="s">
        <v>4177</v>
      </c>
    </row>
    <row r="130" customFormat="false" ht="14.25" hidden="false" customHeight="false" outlineLevel="0" collapsed="false">
      <c r="A130" s="24" t="s">
        <v>1011</v>
      </c>
      <c r="B130" s="24" t="s">
        <v>1011</v>
      </c>
      <c r="C130" s="24" t="s">
        <v>1012</v>
      </c>
      <c r="D130" s="24" t="n">
        <v>2022</v>
      </c>
      <c r="E130" s="24" t="s">
        <v>813</v>
      </c>
      <c r="F130" s="24" t="s">
        <v>1015</v>
      </c>
      <c r="G130" s="24" t="s">
        <v>1016</v>
      </c>
      <c r="H130" s="24" t="n">
        <v>24.724</v>
      </c>
      <c r="I130" s="24" t="n">
        <v>90.437</v>
      </c>
      <c r="J130" s="24" t="s">
        <v>83</v>
      </c>
      <c r="K130" s="24" t="s">
        <v>4201</v>
      </c>
      <c r="L130" s="24" t="s">
        <v>84</v>
      </c>
      <c r="M130" s="24" t="s">
        <v>85</v>
      </c>
      <c r="N130" s="24"/>
      <c r="O130" s="24"/>
      <c r="P130" s="24"/>
      <c r="Q130" s="24"/>
      <c r="R130" s="24" t="n">
        <v>3.28</v>
      </c>
      <c r="S130" s="24"/>
      <c r="T130" s="24" t="n">
        <v>2.56</v>
      </c>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t="n">
        <v>4.91</v>
      </c>
      <c r="AQ130" s="24"/>
      <c r="AR130" s="24" t="n">
        <v>4.34</v>
      </c>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t="n">
        <v>2</v>
      </c>
      <c r="BW130" s="24" t="n">
        <v>3</v>
      </c>
      <c r="BX130" s="24" t="n">
        <f aca="false">IF(AND(N(BV130)&gt;0,N(BW130)&gt;0),SQRT(2*BV130/BW130),"")</f>
        <v>1.15470053837925</v>
      </c>
      <c r="BY130" s="24" t="n">
        <v>13</v>
      </c>
      <c r="BZ130" s="24"/>
      <c r="CA130" s="24"/>
      <c r="CB130" s="24" t="n">
        <v>2400</v>
      </c>
      <c r="CC130" s="24" t="n">
        <v>24.724</v>
      </c>
      <c r="CD130" s="24" t="n">
        <v>9</v>
      </c>
      <c r="CE130" s="24"/>
      <c r="CF130" s="24"/>
      <c r="CG130" s="24" t="n">
        <v>6.92</v>
      </c>
      <c r="CH130" s="24" t="n">
        <v>13.2</v>
      </c>
      <c r="CI130" s="24" t="n">
        <v>1.58</v>
      </c>
      <c r="CJ130" s="24" t="n">
        <v>11</v>
      </c>
      <c r="CK130" s="24" t="n">
        <v>76</v>
      </c>
      <c r="CL130" s="24" t="s">
        <v>4173</v>
      </c>
      <c r="CM130" s="24" t="s">
        <v>1735</v>
      </c>
      <c r="CN130" s="24" t="s">
        <v>4202</v>
      </c>
      <c r="CO130" s="24" t="s">
        <v>4175</v>
      </c>
      <c r="CP130" s="24" t="s">
        <v>2165</v>
      </c>
      <c r="CQ130" s="25" t="s">
        <v>4203</v>
      </c>
      <c r="CR130" s="24" t="s">
        <v>1030</v>
      </c>
      <c r="CS130" s="24" t="s">
        <v>4177</v>
      </c>
    </row>
    <row r="131" customFormat="false" ht="14.25" hidden="false" customHeight="false" outlineLevel="0" collapsed="false">
      <c r="A131" s="24" t="s">
        <v>1011</v>
      </c>
      <c r="B131" s="24" t="s">
        <v>1011</v>
      </c>
      <c r="C131" s="24" t="s">
        <v>1012</v>
      </c>
      <c r="D131" s="24" t="n">
        <v>2022</v>
      </c>
      <c r="E131" s="24" t="s">
        <v>813</v>
      </c>
      <c r="F131" s="24" t="s">
        <v>1015</v>
      </c>
      <c r="G131" s="24" t="s">
        <v>1016</v>
      </c>
      <c r="H131" s="24" t="n">
        <v>24.724</v>
      </c>
      <c r="I131" s="24" t="n">
        <v>90.437</v>
      </c>
      <c r="J131" s="24" t="s">
        <v>83</v>
      </c>
      <c r="K131" s="24" t="s">
        <v>4201</v>
      </c>
      <c r="L131" s="24" t="s">
        <v>84</v>
      </c>
      <c r="M131" s="24" t="s">
        <v>85</v>
      </c>
      <c r="N131" s="24"/>
      <c r="O131" s="24"/>
      <c r="P131" s="24"/>
      <c r="Q131" s="24"/>
      <c r="R131" s="24" t="n">
        <v>3.71</v>
      </c>
      <c r="S131" s="24"/>
      <c r="T131" s="24" t="n">
        <v>2.84</v>
      </c>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t="n">
        <v>5.16</v>
      </c>
      <c r="AQ131" s="24"/>
      <c r="AR131" s="24" t="n">
        <v>4.88</v>
      </c>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t="n">
        <v>2</v>
      </c>
      <c r="BW131" s="24" t="n">
        <v>3</v>
      </c>
      <c r="BX131" s="24" t="n">
        <f aca="false">IF(AND(N(BV131)&gt;0,N(BW131)&gt;0),SQRT(2*BV131/BW131),"")</f>
        <v>1.15470053837925</v>
      </c>
      <c r="BY131" s="24" t="n">
        <v>13</v>
      </c>
      <c r="BZ131" s="24"/>
      <c r="CA131" s="24"/>
      <c r="CB131" s="24" t="n">
        <v>2400</v>
      </c>
      <c r="CC131" s="24" t="n">
        <v>24.724</v>
      </c>
      <c r="CD131" s="24" t="n">
        <v>9</v>
      </c>
      <c r="CE131" s="24"/>
      <c r="CF131" s="24"/>
      <c r="CG131" s="24" t="n">
        <v>6.92</v>
      </c>
      <c r="CH131" s="24" t="n">
        <v>13.2</v>
      </c>
      <c r="CI131" s="24" t="n">
        <v>1.58</v>
      </c>
      <c r="CJ131" s="24" t="n">
        <v>11</v>
      </c>
      <c r="CK131" s="24" t="n">
        <v>76</v>
      </c>
      <c r="CL131" s="24" t="s">
        <v>4173</v>
      </c>
      <c r="CM131" s="24" t="s">
        <v>1735</v>
      </c>
      <c r="CN131" s="24" t="s">
        <v>4204</v>
      </c>
      <c r="CO131" s="24" t="s">
        <v>4179</v>
      </c>
      <c r="CP131" s="24" t="s">
        <v>2165</v>
      </c>
      <c r="CQ131" s="25" t="s">
        <v>4205</v>
      </c>
      <c r="CR131" s="24" t="s">
        <v>1030</v>
      </c>
      <c r="CS131" s="24" t="s">
        <v>4177</v>
      </c>
    </row>
    <row r="132" customFormat="false" ht="14.25" hidden="false" customHeight="false" outlineLevel="0" collapsed="false">
      <c r="A132" s="24" t="s">
        <v>1011</v>
      </c>
      <c r="B132" s="24" t="s">
        <v>1011</v>
      </c>
      <c r="C132" s="24" t="s">
        <v>1012</v>
      </c>
      <c r="D132" s="24" t="n">
        <v>2022</v>
      </c>
      <c r="E132" s="24" t="s">
        <v>813</v>
      </c>
      <c r="F132" s="24" t="s">
        <v>1015</v>
      </c>
      <c r="G132" s="24" t="s">
        <v>1016</v>
      </c>
      <c r="H132" s="24" t="n">
        <v>24.724</v>
      </c>
      <c r="I132" s="24" t="n">
        <v>90.437</v>
      </c>
      <c r="J132" s="24" t="s">
        <v>83</v>
      </c>
      <c r="K132" s="24" t="s">
        <v>4201</v>
      </c>
      <c r="L132" s="24" t="s">
        <v>84</v>
      </c>
      <c r="M132" s="24" t="s">
        <v>85</v>
      </c>
      <c r="N132" s="24"/>
      <c r="O132" s="24"/>
      <c r="P132" s="24"/>
      <c r="Q132" s="24"/>
      <c r="R132" s="24" t="n">
        <v>3.76</v>
      </c>
      <c r="S132" s="24"/>
      <c r="T132" s="24" t="n">
        <v>3.06</v>
      </c>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t="n">
        <v>5.64</v>
      </c>
      <c r="AQ132" s="24"/>
      <c r="AR132" s="24" t="n">
        <v>4.96</v>
      </c>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t="n">
        <v>2</v>
      </c>
      <c r="BW132" s="24" t="n">
        <v>3</v>
      </c>
      <c r="BX132" s="24" t="n">
        <f aca="false">IF(AND(N(BV132)&gt;0,N(BW132)&gt;0),SQRT(2*BV132/BW132),"")</f>
        <v>1.15470053837925</v>
      </c>
      <c r="BY132" s="24" t="n">
        <v>13</v>
      </c>
      <c r="BZ132" s="24"/>
      <c r="CA132" s="24"/>
      <c r="CB132" s="24" t="n">
        <v>2400</v>
      </c>
      <c r="CC132" s="24" t="n">
        <v>24.724</v>
      </c>
      <c r="CD132" s="24" t="n">
        <v>9</v>
      </c>
      <c r="CE132" s="24"/>
      <c r="CF132" s="24"/>
      <c r="CG132" s="24" t="n">
        <v>6.92</v>
      </c>
      <c r="CH132" s="24" t="n">
        <v>13.2</v>
      </c>
      <c r="CI132" s="24" t="n">
        <v>1.58</v>
      </c>
      <c r="CJ132" s="24" t="n">
        <v>11</v>
      </c>
      <c r="CK132" s="24" t="n">
        <v>76</v>
      </c>
      <c r="CL132" s="24" t="s">
        <v>4173</v>
      </c>
      <c r="CM132" s="24" t="s">
        <v>1735</v>
      </c>
      <c r="CN132" s="24" t="s">
        <v>4206</v>
      </c>
      <c r="CO132" s="24" t="s">
        <v>4182</v>
      </c>
      <c r="CP132" s="24" t="s">
        <v>2165</v>
      </c>
      <c r="CQ132" s="25" t="s">
        <v>4207</v>
      </c>
      <c r="CR132" s="24" t="s">
        <v>1030</v>
      </c>
      <c r="CS132" s="24" t="s">
        <v>4177</v>
      </c>
    </row>
    <row r="133" customFormat="false" ht="14.25" hidden="false" customHeight="false" outlineLevel="0" collapsed="false">
      <c r="A133" s="24" t="s">
        <v>1011</v>
      </c>
      <c r="B133" s="24" t="s">
        <v>1011</v>
      </c>
      <c r="C133" s="24" t="s">
        <v>1012</v>
      </c>
      <c r="D133" s="24" t="n">
        <v>2022</v>
      </c>
      <c r="E133" s="24" t="s">
        <v>813</v>
      </c>
      <c r="F133" s="24" t="s">
        <v>1015</v>
      </c>
      <c r="G133" s="24" t="s">
        <v>1016</v>
      </c>
      <c r="H133" s="24" t="n">
        <v>24.724</v>
      </c>
      <c r="I133" s="24" t="n">
        <v>90.437</v>
      </c>
      <c r="J133" s="24" t="s">
        <v>83</v>
      </c>
      <c r="K133" s="24" t="s">
        <v>4201</v>
      </c>
      <c r="L133" s="24" t="s">
        <v>84</v>
      </c>
      <c r="M133" s="24" t="s">
        <v>85</v>
      </c>
      <c r="N133" s="24"/>
      <c r="O133" s="24"/>
      <c r="P133" s="24"/>
      <c r="Q133" s="24"/>
      <c r="R133" s="24" t="n">
        <v>3.84</v>
      </c>
      <c r="S133" s="24"/>
      <c r="T133" s="24" t="n">
        <v>3.2</v>
      </c>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t="n">
        <v>6.06</v>
      </c>
      <c r="AQ133" s="24"/>
      <c r="AR133" s="24" t="n">
        <v>5.11</v>
      </c>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t="n">
        <v>2</v>
      </c>
      <c r="BW133" s="24" t="n">
        <v>3</v>
      </c>
      <c r="BX133" s="24" t="n">
        <f aca="false">IF(AND(N(BV133)&gt;0,N(BW133)&gt;0),SQRT(2*BV133/BW133),"")</f>
        <v>1.15470053837925</v>
      </c>
      <c r="BY133" s="24" t="n">
        <v>13</v>
      </c>
      <c r="BZ133" s="24"/>
      <c r="CA133" s="24"/>
      <c r="CB133" s="24" t="n">
        <v>2400</v>
      </c>
      <c r="CC133" s="24" t="n">
        <v>24.724</v>
      </c>
      <c r="CD133" s="24" t="n">
        <v>9</v>
      </c>
      <c r="CE133" s="24"/>
      <c r="CF133" s="24"/>
      <c r="CG133" s="24" t="n">
        <v>6.92</v>
      </c>
      <c r="CH133" s="24" t="n">
        <v>13.2</v>
      </c>
      <c r="CI133" s="24" t="n">
        <v>1.58</v>
      </c>
      <c r="CJ133" s="24" t="n">
        <v>11</v>
      </c>
      <c r="CK133" s="24" t="n">
        <v>76</v>
      </c>
      <c r="CL133" s="24" t="s">
        <v>4173</v>
      </c>
      <c r="CM133" s="24" t="s">
        <v>1735</v>
      </c>
      <c r="CN133" s="24" t="s">
        <v>4208</v>
      </c>
      <c r="CO133" s="24" t="s">
        <v>4185</v>
      </c>
      <c r="CP133" s="24" t="s">
        <v>2165</v>
      </c>
      <c r="CQ133" s="25" t="s">
        <v>4209</v>
      </c>
      <c r="CR133" s="24" t="s">
        <v>1030</v>
      </c>
      <c r="CS133" s="24" t="s">
        <v>4177</v>
      </c>
    </row>
    <row r="134" customFormat="false" ht="14.25" hidden="false" customHeight="false" outlineLevel="0" collapsed="false">
      <c r="A134" s="24" t="s">
        <v>1011</v>
      </c>
      <c r="B134" s="24" t="s">
        <v>1011</v>
      </c>
      <c r="C134" s="24" t="s">
        <v>1012</v>
      </c>
      <c r="D134" s="24" t="n">
        <v>2022</v>
      </c>
      <c r="E134" s="24" t="s">
        <v>813</v>
      </c>
      <c r="F134" s="24" t="s">
        <v>1015</v>
      </c>
      <c r="G134" s="24" t="s">
        <v>1016</v>
      </c>
      <c r="H134" s="24" t="n">
        <v>24.724</v>
      </c>
      <c r="I134" s="24" t="n">
        <v>90.437</v>
      </c>
      <c r="J134" s="24" t="s">
        <v>83</v>
      </c>
      <c r="K134" s="24" t="s">
        <v>4201</v>
      </c>
      <c r="L134" s="24" t="s">
        <v>84</v>
      </c>
      <c r="M134" s="24" t="s">
        <v>85</v>
      </c>
      <c r="N134" s="24"/>
      <c r="O134" s="24"/>
      <c r="P134" s="24"/>
      <c r="Q134" s="24"/>
      <c r="R134" s="24" t="n">
        <v>3.65</v>
      </c>
      <c r="S134" s="24"/>
      <c r="T134" s="24" t="n">
        <v>3.09</v>
      </c>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t="n">
        <v>5.66</v>
      </c>
      <c r="AQ134" s="24"/>
      <c r="AR134" s="24" t="n">
        <v>4.92</v>
      </c>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t="n">
        <v>2</v>
      </c>
      <c r="BW134" s="24" t="n">
        <v>3</v>
      </c>
      <c r="BX134" s="24" t="n">
        <f aca="false">IF(AND(N(BV134)&gt;0,N(BW134)&gt;0),SQRT(2*BV134/BW134),"")</f>
        <v>1.15470053837925</v>
      </c>
      <c r="BY134" s="24" t="n">
        <v>13</v>
      </c>
      <c r="BZ134" s="24"/>
      <c r="CA134" s="24"/>
      <c r="CB134" s="24" t="n">
        <v>2400</v>
      </c>
      <c r="CC134" s="24" t="n">
        <v>24.724</v>
      </c>
      <c r="CD134" s="24" t="n">
        <v>9</v>
      </c>
      <c r="CE134" s="24"/>
      <c r="CF134" s="24"/>
      <c r="CG134" s="24" t="n">
        <v>6.92</v>
      </c>
      <c r="CH134" s="24" t="n">
        <v>13.2</v>
      </c>
      <c r="CI134" s="24" t="n">
        <v>1.58</v>
      </c>
      <c r="CJ134" s="24" t="n">
        <v>11</v>
      </c>
      <c r="CK134" s="24" t="n">
        <v>76</v>
      </c>
      <c r="CL134" s="24" t="s">
        <v>4173</v>
      </c>
      <c r="CM134" s="24" t="s">
        <v>1735</v>
      </c>
      <c r="CN134" s="24" t="s">
        <v>4210</v>
      </c>
      <c r="CO134" s="24" t="s">
        <v>4188</v>
      </c>
      <c r="CP134" s="24" t="s">
        <v>2165</v>
      </c>
      <c r="CQ134" s="25" t="s">
        <v>4211</v>
      </c>
      <c r="CR134" s="24" t="s">
        <v>1030</v>
      </c>
      <c r="CS134" s="24" t="s">
        <v>4177</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4212</v>
      </c>
      <c r="O1" s="27" t="s">
        <v>4213</v>
      </c>
      <c r="P1" s="27" t="s">
        <v>4214</v>
      </c>
      <c r="Q1" s="27" t="s">
        <v>4215</v>
      </c>
      <c r="R1" s="27" t="s">
        <v>4216</v>
      </c>
      <c r="S1" s="27" t="s">
        <v>4217</v>
      </c>
      <c r="T1" s="27" t="s">
        <v>4218</v>
      </c>
      <c r="U1" s="27" t="s">
        <v>4219</v>
      </c>
      <c r="V1" s="30" t="s">
        <v>4220</v>
      </c>
      <c r="W1" s="30" t="s">
        <v>4221</v>
      </c>
      <c r="X1" s="30" t="s">
        <v>4222</v>
      </c>
      <c r="Y1" s="30" t="s">
        <v>4223</v>
      </c>
      <c r="Z1" s="27" t="s">
        <v>4224</v>
      </c>
      <c r="AA1" s="28" t="s">
        <v>35</v>
      </c>
      <c r="AB1" s="28" t="s">
        <v>33</v>
      </c>
      <c r="AC1" s="28" t="s">
        <v>37</v>
      </c>
      <c r="AD1" s="21" t="s">
        <v>73</v>
      </c>
      <c r="AE1" s="21" t="s">
        <v>796</v>
      </c>
      <c r="AF1" s="21" t="s">
        <v>797</v>
      </c>
      <c r="AG1" s="21" t="s">
        <v>74</v>
      </c>
      <c r="AH1" s="21" t="s">
        <v>1659</v>
      </c>
      <c r="AI1" s="21" t="s">
        <v>1660</v>
      </c>
      <c r="AJ1" s="21" t="s">
        <v>798</v>
      </c>
      <c r="AK1" s="21" t="s">
        <v>799</v>
      </c>
      <c r="AL1" s="21" t="s">
        <v>75</v>
      </c>
      <c r="AM1" s="21" t="s">
        <v>794</v>
      </c>
      <c r="AN1" s="21" t="s">
        <v>795</v>
      </c>
      <c r="AO1" s="21" t="s">
        <v>792</v>
      </c>
      <c r="AP1" s="21" t="s">
        <v>793</v>
      </c>
      <c r="AQ1" s="22" t="s">
        <v>76</v>
      </c>
      <c r="AR1" s="22" t="s">
        <v>77</v>
      </c>
      <c r="AS1" s="22" t="s">
        <v>1661</v>
      </c>
      <c r="AT1" s="22" t="s">
        <v>1662</v>
      </c>
      <c r="AU1" s="22" t="s">
        <v>78</v>
      </c>
      <c r="AV1" s="22" t="s">
        <v>811</v>
      </c>
      <c r="AW1" s="22" t="s">
        <v>1663</v>
      </c>
      <c r="AX1" s="22" t="s">
        <v>1664</v>
      </c>
      <c r="AZ1" s="31" t="s">
        <v>1665</v>
      </c>
    </row>
    <row r="2" customFormat="false" ht="15" hidden="false" customHeight="true" outlineLevel="0" collapsed="false">
      <c r="AZ2" s="33" t="s">
        <v>1306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4225</v>
      </c>
      <c r="Q1" s="27" t="s">
        <v>4226</v>
      </c>
      <c r="R1" s="27" t="s">
        <v>4227</v>
      </c>
      <c r="S1" s="27" t="s">
        <v>4228</v>
      </c>
      <c r="T1" s="27" t="s">
        <v>4229</v>
      </c>
      <c r="U1" s="27" t="s">
        <v>4230</v>
      </c>
      <c r="V1" s="27" t="s">
        <v>4231</v>
      </c>
      <c r="W1" s="27" t="s">
        <v>4232</v>
      </c>
      <c r="X1" s="30" t="s">
        <v>4233</v>
      </c>
      <c r="Y1" s="30" t="s">
        <v>4234</v>
      </c>
      <c r="Z1" s="30" t="s">
        <v>4235</v>
      </c>
      <c r="AA1" s="30" t="s">
        <v>4236</v>
      </c>
      <c r="AB1" s="27" t="s">
        <v>4237</v>
      </c>
      <c r="AC1" s="27" t="s">
        <v>4238</v>
      </c>
      <c r="AD1" s="27" t="s">
        <v>4239</v>
      </c>
      <c r="AE1" s="27" t="s">
        <v>4240</v>
      </c>
      <c r="AF1" s="27" t="s">
        <v>4241</v>
      </c>
      <c r="AG1" s="27" t="s">
        <v>4242</v>
      </c>
      <c r="AH1" s="27" t="s">
        <v>4243</v>
      </c>
      <c r="AI1" s="27" t="s">
        <v>4244</v>
      </c>
      <c r="AJ1" s="30" t="s">
        <v>4245</v>
      </c>
      <c r="AK1" s="30" t="s">
        <v>4246</v>
      </c>
      <c r="AL1" s="30" t="s">
        <v>4247</v>
      </c>
      <c r="AM1" s="30" t="s">
        <v>4248</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A2" s="5" t="s">
        <v>952</v>
      </c>
      <c r="B2" s="5" t="s">
        <v>952</v>
      </c>
      <c r="C2" s="5" t="s">
        <v>953</v>
      </c>
      <c r="D2" s="5" t="n">
        <v>2023</v>
      </c>
      <c r="E2" s="5" t="s">
        <v>954</v>
      </c>
      <c r="F2" s="5" t="s">
        <v>957</v>
      </c>
      <c r="G2" s="5" t="s">
        <v>958</v>
      </c>
      <c r="H2" s="5" t="n">
        <v>35.27</v>
      </c>
      <c r="I2" s="5" t="n">
        <v>119.38</v>
      </c>
      <c r="J2" s="5" t="s">
        <v>891</v>
      </c>
      <c r="K2" s="5" t="s">
        <v>4126</v>
      </c>
      <c r="L2" s="5" t="s">
        <v>842</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4249</v>
      </c>
      <c r="BE2" s="5" t="s">
        <v>1686</v>
      </c>
      <c r="BF2" s="5" t="s">
        <v>4128</v>
      </c>
      <c r="BG2" s="5" t="s">
        <v>1688</v>
      </c>
      <c r="BH2" s="5" t="s">
        <v>4250</v>
      </c>
      <c r="BI2" s="23" t="s">
        <v>4130</v>
      </c>
      <c r="BJ2" s="5" t="s">
        <v>968</v>
      </c>
      <c r="BK2" s="5" t="s">
        <v>4251</v>
      </c>
      <c r="BM2" s="33" t="s">
        <v>1308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4252</v>
      </c>
      <c r="Q1" s="27" t="s">
        <v>4253</v>
      </c>
      <c r="R1" s="27" t="s">
        <v>4254</v>
      </c>
      <c r="S1" s="27" t="s">
        <v>4255</v>
      </c>
      <c r="T1" s="27" t="s">
        <v>4256</v>
      </c>
      <c r="U1" s="27" t="s">
        <v>4257</v>
      </c>
      <c r="V1" s="27" t="s">
        <v>4258</v>
      </c>
      <c r="W1" s="27" t="s">
        <v>4259</v>
      </c>
      <c r="X1" s="30" t="s">
        <v>4260</v>
      </c>
      <c r="Y1" s="30" t="s">
        <v>4261</v>
      </c>
      <c r="Z1" s="30" t="s">
        <v>4262</v>
      </c>
      <c r="AA1" s="30" t="s">
        <v>4263</v>
      </c>
      <c r="AB1" s="27" t="s">
        <v>4264</v>
      </c>
      <c r="AC1" s="27" t="s">
        <v>4265</v>
      </c>
      <c r="AD1" s="27" t="s">
        <v>4266</v>
      </c>
      <c r="AE1" s="27" t="s">
        <v>4267</v>
      </c>
      <c r="AF1" s="27" t="s">
        <v>4268</v>
      </c>
      <c r="AG1" s="27" t="s">
        <v>4269</v>
      </c>
      <c r="AH1" s="27" t="s">
        <v>4270</v>
      </c>
      <c r="AI1" s="27" t="s">
        <v>4271</v>
      </c>
      <c r="AJ1" s="30" t="s">
        <v>4272</v>
      </c>
      <c r="AK1" s="30" t="s">
        <v>4273</v>
      </c>
      <c r="AL1" s="30" t="s">
        <v>4274</v>
      </c>
      <c r="AM1" s="30" t="s">
        <v>4275</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A2" s="5" t="s">
        <v>952</v>
      </c>
      <c r="B2" s="5" t="s">
        <v>952</v>
      </c>
      <c r="C2" s="5" t="s">
        <v>953</v>
      </c>
      <c r="D2" s="5" t="n">
        <v>2023</v>
      </c>
      <c r="E2" s="5" t="s">
        <v>954</v>
      </c>
      <c r="F2" s="5" t="s">
        <v>957</v>
      </c>
      <c r="G2" s="5" t="s">
        <v>958</v>
      </c>
      <c r="H2" s="5" t="n">
        <v>35.27</v>
      </c>
      <c r="I2" s="5" t="n">
        <v>119.38</v>
      </c>
      <c r="J2" s="5" t="s">
        <v>891</v>
      </c>
      <c r="K2" s="5" t="s">
        <v>4126</v>
      </c>
      <c r="L2" s="5" t="s">
        <v>842</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4276</v>
      </c>
      <c r="BE2" s="5" t="s">
        <v>1686</v>
      </c>
      <c r="BF2" s="5" t="s">
        <v>4128</v>
      </c>
      <c r="BG2" s="5" t="s">
        <v>1688</v>
      </c>
      <c r="BH2" s="5" t="s">
        <v>4129</v>
      </c>
      <c r="BI2" s="23" t="s">
        <v>4130</v>
      </c>
      <c r="BJ2" s="5" t="s">
        <v>968</v>
      </c>
      <c r="BK2" s="5" t="s">
        <v>4277</v>
      </c>
      <c r="BM2" s="33" t="s">
        <v>1311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4278</v>
      </c>
      <c r="Q1" s="27" t="s">
        <v>4279</v>
      </c>
      <c r="R1" s="27" t="s">
        <v>4280</v>
      </c>
      <c r="S1" s="27" t="s">
        <v>4281</v>
      </c>
      <c r="T1" s="27" t="s">
        <v>4282</v>
      </c>
      <c r="U1" s="27" t="s">
        <v>4283</v>
      </c>
      <c r="V1" s="27" t="s">
        <v>4284</v>
      </c>
      <c r="W1" s="27" t="s">
        <v>4285</v>
      </c>
      <c r="X1" s="30" t="s">
        <v>4286</v>
      </c>
      <c r="Y1" s="30" t="s">
        <v>4287</v>
      </c>
      <c r="Z1" s="30" t="s">
        <v>4288</v>
      </c>
      <c r="AA1" s="30" t="s">
        <v>4289</v>
      </c>
      <c r="AB1" s="27" t="s">
        <v>4290</v>
      </c>
      <c r="AC1" s="27" t="s">
        <v>4291</v>
      </c>
      <c r="AD1" s="27" t="s">
        <v>4292</v>
      </c>
      <c r="AE1" s="27" t="s">
        <v>4293</v>
      </c>
      <c r="AF1" s="27" t="s">
        <v>4294</v>
      </c>
      <c r="AG1" s="27" t="s">
        <v>4295</v>
      </c>
      <c r="AH1" s="27" t="s">
        <v>4296</v>
      </c>
      <c r="AI1" s="27" t="s">
        <v>4297</v>
      </c>
      <c r="AJ1" s="30" t="s">
        <v>4298</v>
      </c>
      <c r="AK1" s="30" t="s">
        <v>4299</v>
      </c>
      <c r="AL1" s="30" t="s">
        <v>4300</v>
      </c>
      <c r="AM1" s="30" t="s">
        <v>4301</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A2" s="5" t="s">
        <v>952</v>
      </c>
      <c r="B2" s="5" t="s">
        <v>952</v>
      </c>
      <c r="C2" s="5" t="s">
        <v>953</v>
      </c>
      <c r="D2" s="5" t="n">
        <v>2023</v>
      </c>
      <c r="E2" s="5" t="s">
        <v>954</v>
      </c>
      <c r="F2" s="5" t="s">
        <v>957</v>
      </c>
      <c r="G2" s="5" t="s">
        <v>958</v>
      </c>
      <c r="H2" s="5" t="n">
        <v>35.27</v>
      </c>
      <c r="I2" s="5" t="n">
        <v>119.38</v>
      </c>
      <c r="J2" s="5" t="s">
        <v>891</v>
      </c>
      <c r="K2" s="5" t="s">
        <v>4126</v>
      </c>
      <c r="L2" s="5" t="s">
        <v>842</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4302</v>
      </c>
      <c r="BE2" s="5" t="s">
        <v>1686</v>
      </c>
      <c r="BF2" s="5" t="s">
        <v>4128</v>
      </c>
      <c r="BG2" s="5" t="s">
        <v>1688</v>
      </c>
      <c r="BH2" s="5" t="s">
        <v>4129</v>
      </c>
      <c r="BI2" s="23" t="s">
        <v>4130</v>
      </c>
      <c r="BJ2" s="5" t="s">
        <v>968</v>
      </c>
      <c r="BK2" s="5" t="s">
        <v>4303</v>
      </c>
      <c r="BM2" s="33" t="s">
        <v>1313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4304</v>
      </c>
      <c r="Q1" s="27" t="s">
        <v>4305</v>
      </c>
      <c r="R1" s="27" t="s">
        <v>4306</v>
      </c>
      <c r="S1" s="27" t="s">
        <v>4307</v>
      </c>
      <c r="T1" s="27" t="s">
        <v>4308</v>
      </c>
      <c r="U1" s="27" t="s">
        <v>4309</v>
      </c>
      <c r="V1" s="27" t="s">
        <v>4310</v>
      </c>
      <c r="W1" s="27" t="s">
        <v>4311</v>
      </c>
      <c r="X1" s="30" t="s">
        <v>4312</v>
      </c>
      <c r="Y1" s="30" t="s">
        <v>4313</v>
      </c>
      <c r="Z1" s="30" t="s">
        <v>4314</v>
      </c>
      <c r="AA1" s="30" t="s">
        <v>4315</v>
      </c>
      <c r="AB1" s="27" t="s">
        <v>4316</v>
      </c>
      <c r="AC1" s="27" t="s">
        <v>4317</v>
      </c>
      <c r="AD1" s="27" t="s">
        <v>4318</v>
      </c>
      <c r="AE1" s="27" t="s">
        <v>4319</v>
      </c>
      <c r="AF1" s="27" t="s">
        <v>4320</v>
      </c>
      <c r="AG1" s="27" t="s">
        <v>4321</v>
      </c>
      <c r="AH1" s="27" t="s">
        <v>4322</v>
      </c>
      <c r="AI1" s="27" t="s">
        <v>4323</v>
      </c>
      <c r="AJ1" s="30" t="s">
        <v>4324</v>
      </c>
      <c r="AK1" s="30" t="s">
        <v>4325</v>
      </c>
      <c r="AL1" s="30" t="s">
        <v>4326</v>
      </c>
      <c r="AM1" s="30" t="s">
        <v>4327</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1314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4328</v>
      </c>
      <c r="Q1" s="27" t="s">
        <v>4329</v>
      </c>
      <c r="R1" s="27" t="s">
        <v>4330</v>
      </c>
      <c r="S1" s="27" t="s">
        <v>4331</v>
      </c>
      <c r="T1" s="27" t="s">
        <v>4332</v>
      </c>
      <c r="U1" s="27" t="s">
        <v>4333</v>
      </c>
      <c r="V1" s="27" t="s">
        <v>4334</v>
      </c>
      <c r="W1" s="27" t="s">
        <v>4335</v>
      </c>
      <c r="X1" s="30" t="s">
        <v>4336</v>
      </c>
      <c r="Y1" s="30" t="s">
        <v>4337</v>
      </c>
      <c r="Z1" s="30" t="s">
        <v>4338</v>
      </c>
      <c r="AA1" s="30" t="s">
        <v>4339</v>
      </c>
      <c r="AB1" s="27" t="s">
        <v>4340</v>
      </c>
      <c r="AC1" s="27" t="s">
        <v>4341</v>
      </c>
      <c r="AD1" s="27" t="s">
        <v>4342</v>
      </c>
      <c r="AE1" s="27" t="s">
        <v>4343</v>
      </c>
      <c r="AF1" s="27" t="s">
        <v>4344</v>
      </c>
      <c r="AG1" s="27" t="s">
        <v>4345</v>
      </c>
      <c r="AH1" s="27" t="s">
        <v>4346</v>
      </c>
      <c r="AI1" s="27" t="s">
        <v>4347</v>
      </c>
      <c r="AJ1" s="30" t="s">
        <v>4348</v>
      </c>
      <c r="AK1" s="30" t="s">
        <v>4349</v>
      </c>
      <c r="AL1" s="30" t="s">
        <v>4350</v>
      </c>
      <c r="AM1" s="30" t="s">
        <v>4351</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1316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4352</v>
      </c>
      <c r="Q1" s="27" t="s">
        <v>4353</v>
      </c>
      <c r="R1" s="27" t="s">
        <v>4354</v>
      </c>
      <c r="S1" s="27" t="s">
        <v>4355</v>
      </c>
      <c r="T1" s="27" t="s">
        <v>4356</v>
      </c>
      <c r="U1" s="27" t="s">
        <v>4357</v>
      </c>
      <c r="V1" s="27" t="s">
        <v>4358</v>
      </c>
      <c r="W1" s="27" t="s">
        <v>4359</v>
      </c>
      <c r="X1" s="30" t="s">
        <v>4360</v>
      </c>
      <c r="Y1" s="30" t="s">
        <v>4361</v>
      </c>
      <c r="Z1" s="30" t="s">
        <v>4362</v>
      </c>
      <c r="AA1" s="30" t="s">
        <v>4363</v>
      </c>
      <c r="AB1" s="27" t="s">
        <v>4364</v>
      </c>
      <c r="AC1" s="27" t="s">
        <v>4365</v>
      </c>
      <c r="AD1" s="27" t="s">
        <v>4366</v>
      </c>
      <c r="AE1" s="27" t="s">
        <v>4367</v>
      </c>
      <c r="AF1" s="27" t="s">
        <v>4368</v>
      </c>
      <c r="AG1" s="27" t="s">
        <v>4369</v>
      </c>
      <c r="AH1" s="27" t="s">
        <v>4370</v>
      </c>
      <c r="AI1" s="27" t="s">
        <v>4371</v>
      </c>
      <c r="AJ1" s="30" t="s">
        <v>4372</v>
      </c>
      <c r="AK1" s="30" t="s">
        <v>4373</v>
      </c>
      <c r="AL1" s="30" t="s">
        <v>4374</v>
      </c>
      <c r="AM1" s="30" t="s">
        <v>4375</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1318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4376</v>
      </c>
      <c r="Q1" s="27" t="s">
        <v>4377</v>
      </c>
      <c r="R1" s="27" t="s">
        <v>4378</v>
      </c>
      <c r="S1" s="27" t="s">
        <v>4379</v>
      </c>
      <c r="T1" s="27" t="s">
        <v>4380</v>
      </c>
      <c r="U1" s="27" t="s">
        <v>4381</v>
      </c>
      <c r="V1" s="27" t="s">
        <v>4382</v>
      </c>
      <c r="W1" s="27" t="s">
        <v>4383</v>
      </c>
      <c r="X1" s="30" t="s">
        <v>4384</v>
      </c>
      <c r="Y1" s="30" t="s">
        <v>4385</v>
      </c>
      <c r="Z1" s="30" t="s">
        <v>4386</v>
      </c>
      <c r="AA1" s="30" t="s">
        <v>4387</v>
      </c>
      <c r="AB1" s="27" t="s">
        <v>4388</v>
      </c>
      <c r="AC1" s="27" t="s">
        <v>4389</v>
      </c>
      <c r="AD1" s="27" t="s">
        <v>4390</v>
      </c>
      <c r="AE1" s="27" t="s">
        <v>4391</v>
      </c>
      <c r="AF1" s="27" t="s">
        <v>4392</v>
      </c>
      <c r="AG1" s="27" t="s">
        <v>4393</v>
      </c>
      <c r="AH1" s="27" t="s">
        <v>4394</v>
      </c>
      <c r="AI1" s="27" t="s">
        <v>4395</v>
      </c>
      <c r="AJ1" s="30" t="s">
        <v>4396</v>
      </c>
      <c r="AK1" s="30" t="s">
        <v>4397</v>
      </c>
      <c r="AL1" s="30" t="s">
        <v>4398</v>
      </c>
      <c r="AM1" s="30" t="s">
        <v>4399</v>
      </c>
      <c r="AN1" s="28" t="s">
        <v>35</v>
      </c>
      <c r="AO1" s="28" t="s">
        <v>33</v>
      </c>
      <c r="AP1" s="28" t="s">
        <v>37</v>
      </c>
      <c r="AQ1" s="21" t="s">
        <v>73</v>
      </c>
      <c r="AR1" s="21" t="s">
        <v>796</v>
      </c>
      <c r="AS1" s="21" t="s">
        <v>797</v>
      </c>
      <c r="AT1" s="21" t="s">
        <v>74</v>
      </c>
      <c r="AU1" s="21" t="s">
        <v>1659</v>
      </c>
      <c r="AV1" s="21" t="s">
        <v>1660</v>
      </c>
      <c r="AW1" s="21" t="s">
        <v>798</v>
      </c>
      <c r="AX1" s="21" t="s">
        <v>799</v>
      </c>
      <c r="AY1" s="21" t="s">
        <v>75</v>
      </c>
      <c r="AZ1" s="21" t="s">
        <v>794</v>
      </c>
      <c r="BA1" s="21" t="s">
        <v>795</v>
      </c>
      <c r="BB1" s="21" t="s">
        <v>792</v>
      </c>
      <c r="BC1" s="21" t="s">
        <v>793</v>
      </c>
      <c r="BD1" s="22" t="s">
        <v>76</v>
      </c>
      <c r="BE1" s="22" t="s">
        <v>77</v>
      </c>
      <c r="BF1" s="22" t="s">
        <v>1661</v>
      </c>
      <c r="BG1" s="22" t="s">
        <v>1662</v>
      </c>
      <c r="BH1" s="22" t="s">
        <v>78</v>
      </c>
      <c r="BI1" s="22" t="s">
        <v>811</v>
      </c>
      <c r="BJ1" s="22" t="s">
        <v>1663</v>
      </c>
      <c r="BK1" s="22" t="s">
        <v>1664</v>
      </c>
      <c r="BM1" s="31" t="s">
        <v>1665</v>
      </c>
    </row>
    <row r="2" customFormat="false" ht="15" hidden="false" customHeight="true" outlineLevel="0" collapsed="false">
      <c r="BM2" s="33" t="s">
        <v>1320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4400</v>
      </c>
      <c r="O1" s="27" t="s">
        <v>4401</v>
      </c>
      <c r="P1" s="27" t="s">
        <v>4402</v>
      </c>
      <c r="Q1" s="27" t="s">
        <v>4403</v>
      </c>
      <c r="R1" s="27" t="s">
        <v>4404</v>
      </c>
      <c r="S1" s="27" t="s">
        <v>4405</v>
      </c>
      <c r="T1" s="27" t="s">
        <v>4406</v>
      </c>
      <c r="U1" s="27" t="s">
        <v>4407</v>
      </c>
      <c r="V1" s="30" t="s">
        <v>4408</v>
      </c>
      <c r="W1" s="30" t="s">
        <v>4409</v>
      </c>
      <c r="X1" s="30" t="s">
        <v>4410</v>
      </c>
      <c r="Y1" s="30" t="s">
        <v>4411</v>
      </c>
      <c r="Z1" s="27" t="s">
        <v>4412</v>
      </c>
      <c r="AA1" s="27" t="s">
        <v>4413</v>
      </c>
      <c r="AB1" s="27" t="s">
        <v>4414</v>
      </c>
      <c r="AC1" s="27" t="s">
        <v>4415</v>
      </c>
      <c r="AD1" s="27" t="s">
        <v>4416</v>
      </c>
      <c r="AE1" s="27" t="s">
        <v>4417</v>
      </c>
      <c r="AF1" s="27" t="s">
        <v>4418</v>
      </c>
      <c r="AG1" s="27" t="s">
        <v>4419</v>
      </c>
      <c r="AH1" s="30" t="s">
        <v>4420</v>
      </c>
      <c r="AI1" s="30" t="s">
        <v>4421</v>
      </c>
      <c r="AJ1" s="30" t="s">
        <v>4422</v>
      </c>
      <c r="AK1" s="30" t="s">
        <v>4423</v>
      </c>
      <c r="AL1" s="27" t="s">
        <v>4224</v>
      </c>
      <c r="AM1" s="28" t="s">
        <v>35</v>
      </c>
      <c r="AN1" s="28" t="s">
        <v>33</v>
      </c>
      <c r="AO1" s="28" t="s">
        <v>37</v>
      </c>
      <c r="AP1" s="21" t="s">
        <v>73</v>
      </c>
      <c r="AQ1" s="21" t="s">
        <v>796</v>
      </c>
      <c r="AR1" s="21" t="s">
        <v>797</v>
      </c>
      <c r="AS1" s="21" t="s">
        <v>74</v>
      </c>
      <c r="AT1" s="21" t="s">
        <v>1659</v>
      </c>
      <c r="AU1" s="21" t="s">
        <v>1660</v>
      </c>
      <c r="AV1" s="21" t="s">
        <v>798</v>
      </c>
      <c r="AW1" s="21" t="s">
        <v>799</v>
      </c>
      <c r="AX1" s="21" t="s">
        <v>75</v>
      </c>
      <c r="AY1" s="21" t="s">
        <v>794</v>
      </c>
      <c r="AZ1" s="21" t="s">
        <v>795</v>
      </c>
      <c r="BA1" s="21" t="s">
        <v>792</v>
      </c>
      <c r="BB1" s="21" t="s">
        <v>793</v>
      </c>
      <c r="BC1" s="22" t="s">
        <v>76</v>
      </c>
      <c r="BD1" s="22" t="s">
        <v>77</v>
      </c>
      <c r="BE1" s="22" t="s">
        <v>1661</v>
      </c>
      <c r="BF1" s="22" t="s">
        <v>1662</v>
      </c>
      <c r="BG1" s="22" t="s">
        <v>78</v>
      </c>
      <c r="BH1" s="22" t="s">
        <v>811</v>
      </c>
      <c r="BI1" s="22" t="s">
        <v>1663</v>
      </c>
      <c r="BJ1" s="22" t="s">
        <v>1664</v>
      </c>
      <c r="BL1" s="31" t="s">
        <v>1665</v>
      </c>
    </row>
    <row r="2" customFormat="false" ht="15" hidden="false" customHeight="true" outlineLevel="0" collapsed="false">
      <c r="BL2" s="33" t="s">
        <v>1322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4424</v>
      </c>
      <c r="O1" s="27" t="s">
        <v>4425</v>
      </c>
      <c r="P1" s="27" t="s">
        <v>4426</v>
      </c>
      <c r="Q1" s="27" t="s">
        <v>4427</v>
      </c>
      <c r="R1" s="27" t="s">
        <v>4428</v>
      </c>
      <c r="S1" s="27" t="s">
        <v>4429</v>
      </c>
      <c r="T1" s="27" t="s">
        <v>4430</v>
      </c>
      <c r="U1" s="27" t="s">
        <v>4431</v>
      </c>
      <c r="V1" s="30" t="s">
        <v>4432</v>
      </c>
      <c r="W1" s="30" t="s">
        <v>4433</v>
      </c>
      <c r="X1" s="30" t="s">
        <v>4434</v>
      </c>
      <c r="Y1" s="30" t="s">
        <v>4435</v>
      </c>
      <c r="Z1" s="27" t="s">
        <v>4436</v>
      </c>
      <c r="AA1" s="27" t="s">
        <v>4437</v>
      </c>
      <c r="AB1" s="27" t="s">
        <v>4438</v>
      </c>
      <c r="AC1" s="27" t="s">
        <v>4439</v>
      </c>
      <c r="AD1" s="27" t="s">
        <v>4440</v>
      </c>
      <c r="AE1" s="27" t="s">
        <v>4441</v>
      </c>
      <c r="AF1" s="27" t="s">
        <v>4442</v>
      </c>
      <c r="AG1" s="27" t="s">
        <v>4443</v>
      </c>
      <c r="AH1" s="30" t="s">
        <v>4444</v>
      </c>
      <c r="AI1" s="30" t="s">
        <v>4445</v>
      </c>
      <c r="AJ1" s="30" t="s">
        <v>4446</v>
      </c>
      <c r="AK1" s="30" t="s">
        <v>4447</v>
      </c>
      <c r="AL1" s="28" t="s">
        <v>35</v>
      </c>
      <c r="AM1" s="28" t="s">
        <v>33</v>
      </c>
      <c r="AN1" s="28" t="s">
        <v>37</v>
      </c>
      <c r="AO1" s="21" t="s">
        <v>73</v>
      </c>
      <c r="AP1" s="21" t="s">
        <v>796</v>
      </c>
      <c r="AQ1" s="21" t="s">
        <v>797</v>
      </c>
      <c r="AR1" s="21" t="s">
        <v>74</v>
      </c>
      <c r="AS1" s="21" t="s">
        <v>1659</v>
      </c>
      <c r="AT1" s="21" t="s">
        <v>1660</v>
      </c>
      <c r="AU1" s="21" t="s">
        <v>798</v>
      </c>
      <c r="AV1" s="21" t="s">
        <v>799</v>
      </c>
      <c r="AW1" s="21" t="s">
        <v>75</v>
      </c>
      <c r="AX1" s="21" t="s">
        <v>794</v>
      </c>
      <c r="AY1" s="21" t="s">
        <v>795</v>
      </c>
      <c r="AZ1" s="21" t="s">
        <v>792</v>
      </c>
      <c r="BA1" s="21" t="s">
        <v>793</v>
      </c>
      <c r="BB1" s="22" t="s">
        <v>76</v>
      </c>
      <c r="BC1" s="22" t="s">
        <v>77</v>
      </c>
      <c r="BD1" s="22" t="s">
        <v>1661</v>
      </c>
      <c r="BE1" s="22" t="s">
        <v>1662</v>
      </c>
      <c r="BF1" s="22" t="s">
        <v>78</v>
      </c>
      <c r="BG1" s="22" t="s">
        <v>811</v>
      </c>
      <c r="BH1" s="22" t="s">
        <v>1663</v>
      </c>
      <c r="BI1" s="22" t="s">
        <v>1664</v>
      </c>
      <c r="BK1" s="31" t="s">
        <v>1665</v>
      </c>
    </row>
    <row r="2" customFormat="false" ht="15" hidden="false" customHeight="true" outlineLevel="0" collapsed="false">
      <c r="BK2" s="36" t="s">
        <v>1324</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4448</v>
      </c>
      <c r="O1" s="27" t="s">
        <v>4449</v>
      </c>
      <c r="P1" s="27" t="s">
        <v>4450</v>
      </c>
      <c r="Q1" s="27" t="s">
        <v>4451</v>
      </c>
      <c r="R1" s="27" t="s">
        <v>4452</v>
      </c>
      <c r="S1" s="27" t="s">
        <v>4453</v>
      </c>
      <c r="T1" s="27" t="s">
        <v>4454</v>
      </c>
      <c r="U1" s="27" t="s">
        <v>4455</v>
      </c>
      <c r="V1" s="30" t="s">
        <v>4456</v>
      </c>
      <c r="W1" s="30" t="s">
        <v>4457</v>
      </c>
      <c r="X1" s="30" t="s">
        <v>4458</v>
      </c>
      <c r="Y1" s="30" t="s">
        <v>4459</v>
      </c>
      <c r="Z1" s="27" t="s">
        <v>4460</v>
      </c>
      <c r="AA1" s="27" t="s">
        <v>4461</v>
      </c>
      <c r="AB1" s="27" t="s">
        <v>4462</v>
      </c>
      <c r="AC1" s="27" t="s">
        <v>4463</v>
      </c>
      <c r="AD1" s="27" t="s">
        <v>4464</v>
      </c>
      <c r="AE1" s="27" t="s">
        <v>4465</v>
      </c>
      <c r="AF1" s="27" t="s">
        <v>4466</v>
      </c>
      <c r="AG1" s="27" t="s">
        <v>4467</v>
      </c>
      <c r="AH1" s="30" t="s">
        <v>4468</v>
      </c>
      <c r="AI1" s="30" t="s">
        <v>4469</v>
      </c>
      <c r="AJ1" s="30" t="s">
        <v>4470</v>
      </c>
      <c r="AK1" s="30" t="s">
        <v>4471</v>
      </c>
      <c r="AL1" s="28" t="s">
        <v>35</v>
      </c>
      <c r="AM1" s="28" t="s">
        <v>33</v>
      </c>
      <c r="AN1" s="28" t="s">
        <v>37</v>
      </c>
      <c r="AO1" s="21" t="s">
        <v>73</v>
      </c>
      <c r="AP1" s="21" t="s">
        <v>796</v>
      </c>
      <c r="AQ1" s="21" t="s">
        <v>797</v>
      </c>
      <c r="AR1" s="21" t="s">
        <v>74</v>
      </c>
      <c r="AS1" s="21" t="s">
        <v>1659</v>
      </c>
      <c r="AT1" s="21" t="s">
        <v>1660</v>
      </c>
      <c r="AU1" s="21" t="s">
        <v>798</v>
      </c>
      <c r="AV1" s="21" t="s">
        <v>799</v>
      </c>
      <c r="AW1" s="21" t="s">
        <v>75</v>
      </c>
      <c r="AX1" s="21" t="s">
        <v>794</v>
      </c>
      <c r="AY1" s="21" t="s">
        <v>795</v>
      </c>
      <c r="AZ1" s="21" t="s">
        <v>792</v>
      </c>
      <c r="BA1" s="21" t="s">
        <v>793</v>
      </c>
      <c r="BB1" s="22" t="s">
        <v>76</v>
      </c>
      <c r="BC1" s="22" t="s">
        <v>77</v>
      </c>
      <c r="BD1" s="22" t="s">
        <v>1661</v>
      </c>
      <c r="BE1" s="22" t="s">
        <v>1662</v>
      </c>
      <c r="BF1" s="22" t="s">
        <v>78</v>
      </c>
      <c r="BG1" s="22" t="s">
        <v>811</v>
      </c>
      <c r="BH1" s="22" t="s">
        <v>1663</v>
      </c>
      <c r="BI1" s="22" t="s">
        <v>1664</v>
      </c>
      <c r="BK1" s="31" t="s">
        <v>1665</v>
      </c>
    </row>
    <row r="2" customFormat="false" ht="15" hidden="false" customHeight="true" outlineLevel="0" collapsed="false">
      <c r="BK2" s="33" t="s">
        <v>1326</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4472</v>
      </c>
      <c r="O1" s="27" t="s">
        <v>4473</v>
      </c>
      <c r="P1" s="27" t="s">
        <v>4474</v>
      </c>
      <c r="Q1" s="27" t="s">
        <v>4475</v>
      </c>
      <c r="R1" s="27" t="s">
        <v>4476</v>
      </c>
      <c r="S1" s="27" t="s">
        <v>4477</v>
      </c>
      <c r="T1" s="27" t="s">
        <v>4478</v>
      </c>
      <c r="U1" s="27" t="s">
        <v>4479</v>
      </c>
      <c r="V1" s="30" t="s">
        <v>4480</v>
      </c>
      <c r="W1" s="30" t="s">
        <v>4481</v>
      </c>
      <c r="X1" s="30" t="s">
        <v>4482</v>
      </c>
      <c r="Y1" s="30" t="s">
        <v>4483</v>
      </c>
      <c r="Z1" s="27" t="s">
        <v>4484</v>
      </c>
      <c r="AA1" s="27" t="s">
        <v>4485</v>
      </c>
      <c r="AB1" s="27" t="s">
        <v>4486</v>
      </c>
      <c r="AC1" s="27" t="s">
        <v>4487</v>
      </c>
      <c r="AD1" s="27" t="s">
        <v>4488</v>
      </c>
      <c r="AE1" s="27" t="s">
        <v>4489</v>
      </c>
      <c r="AF1" s="27" t="s">
        <v>4490</v>
      </c>
      <c r="AG1" s="27" t="s">
        <v>4491</v>
      </c>
      <c r="AH1" s="30" t="s">
        <v>4492</v>
      </c>
      <c r="AI1" s="30" t="s">
        <v>4493</v>
      </c>
      <c r="AJ1" s="30" t="s">
        <v>4494</v>
      </c>
      <c r="AK1" s="30" t="s">
        <v>4495</v>
      </c>
      <c r="AL1" s="27" t="s">
        <v>4496</v>
      </c>
      <c r="AM1" s="27" t="s">
        <v>4497</v>
      </c>
      <c r="AN1" s="27" t="s">
        <v>4498</v>
      </c>
      <c r="AO1" s="27" t="s">
        <v>4499</v>
      </c>
      <c r="AP1" s="27" t="s">
        <v>4500</v>
      </c>
      <c r="AQ1" s="27" t="s">
        <v>4501</v>
      </c>
      <c r="AR1" s="27" t="s">
        <v>4502</v>
      </c>
      <c r="AS1" s="27" t="s">
        <v>4503</v>
      </c>
      <c r="AT1" s="30" t="s">
        <v>4504</v>
      </c>
      <c r="AU1" s="30" t="s">
        <v>4505</v>
      </c>
      <c r="AV1" s="30" t="s">
        <v>4506</v>
      </c>
      <c r="AW1" s="30" t="s">
        <v>4507</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1328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4508</v>
      </c>
      <c r="O1" s="27" t="s">
        <v>4509</v>
      </c>
      <c r="P1" s="27" t="s">
        <v>4510</v>
      </c>
      <c r="Q1" s="27" t="s">
        <v>4511</v>
      </c>
      <c r="R1" s="27" t="s">
        <v>4512</v>
      </c>
      <c r="S1" s="27" t="s">
        <v>4513</v>
      </c>
      <c r="T1" s="27" t="s">
        <v>4514</v>
      </c>
      <c r="U1" s="27" t="s">
        <v>4515</v>
      </c>
      <c r="V1" s="30" t="s">
        <v>4516</v>
      </c>
      <c r="W1" s="30" t="s">
        <v>4517</v>
      </c>
      <c r="X1" s="30" t="s">
        <v>4518</v>
      </c>
      <c r="Y1" s="30" t="s">
        <v>4519</v>
      </c>
      <c r="Z1" s="27" t="s">
        <v>4520</v>
      </c>
      <c r="AA1" s="27" t="s">
        <v>4521</v>
      </c>
      <c r="AB1" s="27" t="s">
        <v>4522</v>
      </c>
      <c r="AC1" s="27" t="s">
        <v>4523</v>
      </c>
      <c r="AD1" s="27" t="s">
        <v>4524</v>
      </c>
      <c r="AE1" s="27" t="s">
        <v>4525</v>
      </c>
      <c r="AF1" s="27" t="s">
        <v>4526</v>
      </c>
      <c r="AG1" s="27" t="s">
        <v>4527</v>
      </c>
      <c r="AH1" s="30" t="s">
        <v>4528</v>
      </c>
      <c r="AI1" s="30" t="s">
        <v>4529</v>
      </c>
      <c r="AJ1" s="30" t="s">
        <v>4530</v>
      </c>
      <c r="AK1" s="30" t="s">
        <v>4531</v>
      </c>
      <c r="AL1" s="27" t="s">
        <v>4532</v>
      </c>
      <c r="AM1" s="27" t="s">
        <v>4533</v>
      </c>
      <c r="AN1" s="27" t="s">
        <v>4534</v>
      </c>
      <c r="AO1" s="27" t="s">
        <v>4535</v>
      </c>
      <c r="AP1" s="27" t="s">
        <v>4536</v>
      </c>
      <c r="AQ1" s="27" t="s">
        <v>4537</v>
      </c>
      <c r="AR1" s="27" t="s">
        <v>4538</v>
      </c>
      <c r="AS1" s="27" t="s">
        <v>4539</v>
      </c>
      <c r="AT1" s="30" t="s">
        <v>4540</v>
      </c>
      <c r="AU1" s="30" t="s">
        <v>4541</v>
      </c>
      <c r="AV1" s="30" t="s">
        <v>4542</v>
      </c>
      <c r="AW1" s="30" t="s">
        <v>4543</v>
      </c>
      <c r="AX1" s="27" t="s">
        <v>4544</v>
      </c>
      <c r="AY1" s="28" t="s">
        <v>35</v>
      </c>
      <c r="AZ1" s="28" t="s">
        <v>33</v>
      </c>
      <c r="BA1" s="28" t="s">
        <v>37</v>
      </c>
      <c r="BB1" s="21" t="s">
        <v>73</v>
      </c>
      <c r="BC1" s="21" t="s">
        <v>796</v>
      </c>
      <c r="BD1" s="21" t="s">
        <v>797</v>
      </c>
      <c r="BE1" s="21" t="s">
        <v>74</v>
      </c>
      <c r="BF1" s="21" t="s">
        <v>1659</v>
      </c>
      <c r="BG1" s="21" t="s">
        <v>1660</v>
      </c>
      <c r="BH1" s="21" t="s">
        <v>798</v>
      </c>
      <c r="BI1" s="21" t="s">
        <v>799</v>
      </c>
      <c r="BJ1" s="21" t="s">
        <v>75</v>
      </c>
      <c r="BK1" s="21" t="s">
        <v>794</v>
      </c>
      <c r="BL1" s="21" t="s">
        <v>795</v>
      </c>
      <c r="BM1" s="21" t="s">
        <v>792</v>
      </c>
      <c r="BN1" s="21" t="s">
        <v>793</v>
      </c>
      <c r="BO1" s="22" t="s">
        <v>76</v>
      </c>
      <c r="BP1" s="22" t="s">
        <v>77</v>
      </c>
      <c r="BQ1" s="22" t="s">
        <v>1661</v>
      </c>
      <c r="BR1" s="22" t="s">
        <v>1662</v>
      </c>
      <c r="BS1" s="22" t="s">
        <v>78</v>
      </c>
      <c r="BT1" s="22" t="s">
        <v>811</v>
      </c>
      <c r="BU1" s="22" t="s">
        <v>1663</v>
      </c>
      <c r="BV1" s="22" t="s">
        <v>1664</v>
      </c>
      <c r="BX1" s="31" t="s">
        <v>1665</v>
      </c>
    </row>
    <row r="2" customFormat="false" ht="15" hidden="false" customHeight="true" outlineLevel="0" collapsed="false">
      <c r="A2" s="24" t="s">
        <v>1011</v>
      </c>
      <c r="B2" s="24" t="s">
        <v>1011</v>
      </c>
      <c r="C2" s="24" t="s">
        <v>1012</v>
      </c>
      <c r="D2" s="24" t="n">
        <v>2022</v>
      </c>
      <c r="E2" s="24" t="s">
        <v>813</v>
      </c>
      <c r="F2" s="24" t="s">
        <v>1015</v>
      </c>
      <c r="G2" s="24" t="s">
        <v>1016</v>
      </c>
      <c r="H2" s="24" t="n">
        <v>24.724</v>
      </c>
      <c r="I2" s="24" t="n">
        <v>90.437</v>
      </c>
      <c r="J2" s="24" t="s">
        <v>83</v>
      </c>
      <c r="K2" s="24" t="s">
        <v>4545</v>
      </c>
      <c r="L2" s="24" t="s">
        <v>84</v>
      </c>
      <c r="M2" s="24" t="s">
        <v>85</v>
      </c>
      <c r="N2" s="24"/>
      <c r="O2" s="24"/>
      <c r="P2" s="24"/>
      <c r="Q2" s="24"/>
      <c r="R2" s="24" t="n">
        <v>48.8</v>
      </c>
      <c r="S2" s="24"/>
      <c r="T2" s="24" t="n">
        <v>37.8</v>
      </c>
      <c r="U2" s="24"/>
      <c r="V2" s="24"/>
      <c r="W2" s="24"/>
      <c r="X2" s="24"/>
      <c r="Y2" s="24"/>
      <c r="Z2" s="24"/>
      <c r="AA2" s="24"/>
      <c r="AB2" s="24"/>
      <c r="AC2" s="24"/>
      <c r="AD2" s="24" t="n">
        <v>100.5</v>
      </c>
      <c r="AE2" s="24"/>
      <c r="AF2" s="24" t="n">
        <v>90.5</v>
      </c>
      <c r="AG2" s="24"/>
      <c r="AH2" s="24"/>
      <c r="AI2" s="24"/>
      <c r="AJ2" s="24"/>
      <c r="AK2" s="24"/>
      <c r="AL2" s="24"/>
      <c r="AM2" s="24"/>
      <c r="AN2" s="24"/>
      <c r="AO2" s="24"/>
      <c r="AP2" s="24"/>
      <c r="AQ2" s="24"/>
      <c r="AR2" s="24"/>
      <c r="AS2" s="24"/>
      <c r="AT2" s="24"/>
      <c r="AU2" s="24"/>
      <c r="AV2" s="24"/>
      <c r="AW2" s="24"/>
      <c r="AX2" s="24" t="s">
        <v>4546</v>
      </c>
      <c r="AY2" s="24" t="n">
        <v>5</v>
      </c>
      <c r="AZ2" s="24" t="n">
        <v>3</v>
      </c>
      <c r="BA2" s="24" t="n">
        <f aca="false">IF(AND(N(AY2)&gt;0,N(AZ2)&gt;0),SQRT(2*AY2/AZ2),"")</f>
        <v>1.82574185835055</v>
      </c>
      <c r="BB2" s="24" t="n">
        <v>13</v>
      </c>
      <c r="BC2" s="24"/>
      <c r="BD2" s="24"/>
      <c r="BE2" s="24" t="n">
        <v>2400</v>
      </c>
      <c r="BF2" s="24" t="n">
        <v>24.724</v>
      </c>
      <c r="BG2" s="24" t="s">
        <v>4547</v>
      </c>
      <c r="BH2" s="24"/>
      <c r="BI2" s="24"/>
      <c r="BJ2" s="24" t="n">
        <v>6.92</v>
      </c>
      <c r="BK2" s="24" t="n">
        <v>13.2</v>
      </c>
      <c r="BL2" s="24" t="n">
        <v>1.58</v>
      </c>
      <c r="BM2" s="24" t="n">
        <v>11</v>
      </c>
      <c r="BN2" s="24" t="n">
        <v>76</v>
      </c>
      <c r="BO2" s="24" t="s">
        <v>4548</v>
      </c>
      <c r="BP2" s="24" t="s">
        <v>1735</v>
      </c>
      <c r="BQ2" s="24" t="s">
        <v>4549</v>
      </c>
      <c r="BR2" s="24" t="s">
        <v>4550</v>
      </c>
      <c r="BS2" s="24" t="s">
        <v>4551</v>
      </c>
      <c r="BT2" s="25" t="s">
        <v>4552</v>
      </c>
      <c r="BU2" s="24" t="s">
        <v>1030</v>
      </c>
      <c r="BV2" s="24" t="s">
        <v>4553</v>
      </c>
      <c r="BX2" s="33" t="s">
        <v>1330</v>
      </c>
    </row>
    <row r="3" customFormat="false" ht="14.25" hidden="false" customHeight="false" outlineLevel="0" collapsed="false">
      <c r="A3" s="24" t="s">
        <v>1011</v>
      </c>
      <c r="B3" s="24" t="s">
        <v>1011</v>
      </c>
      <c r="C3" s="24" t="s">
        <v>1012</v>
      </c>
      <c r="D3" s="24" t="n">
        <v>2022</v>
      </c>
      <c r="E3" s="24" t="s">
        <v>813</v>
      </c>
      <c r="F3" s="24" t="s">
        <v>1015</v>
      </c>
      <c r="G3" s="24" t="s">
        <v>1016</v>
      </c>
      <c r="H3" s="24" t="n">
        <v>24.724</v>
      </c>
      <c r="I3" s="24" t="n">
        <v>90.437</v>
      </c>
      <c r="J3" s="24" t="s">
        <v>83</v>
      </c>
      <c r="K3" s="24" t="s">
        <v>4545</v>
      </c>
      <c r="L3" s="24" t="s">
        <v>84</v>
      </c>
      <c r="M3" s="24" t="s">
        <v>85</v>
      </c>
      <c r="N3" s="24"/>
      <c r="O3" s="24"/>
      <c r="P3" s="24"/>
      <c r="Q3" s="24"/>
      <c r="R3" s="24" t="n">
        <v>41.1</v>
      </c>
      <c r="S3" s="24"/>
      <c r="T3" s="24" t="n">
        <v>32.4</v>
      </c>
      <c r="U3" s="24"/>
      <c r="V3" s="24"/>
      <c r="W3" s="24"/>
      <c r="X3" s="24"/>
      <c r="Y3" s="24"/>
      <c r="Z3" s="24"/>
      <c r="AA3" s="24"/>
      <c r="AB3" s="24"/>
      <c r="AC3" s="24"/>
      <c r="AD3" s="24" t="n">
        <v>80.6</v>
      </c>
      <c r="AE3" s="24"/>
      <c r="AF3" s="24" t="n">
        <v>73</v>
      </c>
      <c r="AG3" s="24"/>
      <c r="AH3" s="24"/>
      <c r="AI3" s="24"/>
      <c r="AJ3" s="24"/>
      <c r="AK3" s="24"/>
      <c r="AL3" s="24"/>
      <c r="AM3" s="24"/>
      <c r="AN3" s="24"/>
      <c r="AO3" s="24"/>
      <c r="AP3" s="24"/>
      <c r="AQ3" s="24"/>
      <c r="AR3" s="24"/>
      <c r="AS3" s="24"/>
      <c r="AT3" s="24"/>
      <c r="AU3" s="24"/>
      <c r="AV3" s="24"/>
      <c r="AW3" s="24"/>
      <c r="AX3" s="24" t="s">
        <v>4554</v>
      </c>
      <c r="AY3" s="24" t="n">
        <v>5</v>
      </c>
      <c r="AZ3" s="24" t="n">
        <v>3</v>
      </c>
      <c r="BA3" s="24" t="n">
        <f aca="false">IF(AND(N(AY3)&gt;0,N(AZ3)&gt;0),SQRT(2*AY3/AZ3),"")</f>
        <v>1.82574185835055</v>
      </c>
      <c r="BB3" s="24" t="n">
        <v>13</v>
      </c>
      <c r="BC3" s="24"/>
      <c r="BD3" s="24"/>
      <c r="BE3" s="24" t="n">
        <v>2400</v>
      </c>
      <c r="BF3" s="24" t="n">
        <v>24.724</v>
      </c>
      <c r="BG3" s="24" t="s">
        <v>4547</v>
      </c>
      <c r="BH3" s="24"/>
      <c r="BI3" s="24"/>
      <c r="BJ3" s="24" t="n">
        <v>6.92</v>
      </c>
      <c r="BK3" s="24" t="n">
        <v>13.2</v>
      </c>
      <c r="BL3" s="24" t="n">
        <v>1.58</v>
      </c>
      <c r="BM3" s="24" t="n">
        <v>11</v>
      </c>
      <c r="BN3" s="24" t="n">
        <v>76</v>
      </c>
      <c r="BO3" s="24" t="s">
        <v>4548</v>
      </c>
      <c r="BP3" s="24" t="s">
        <v>1735</v>
      </c>
      <c r="BQ3" s="24" t="s">
        <v>4555</v>
      </c>
      <c r="BR3" s="24" t="s">
        <v>4556</v>
      </c>
      <c r="BS3" s="24" t="s">
        <v>4551</v>
      </c>
      <c r="BT3" s="25" t="s">
        <v>4557</v>
      </c>
      <c r="BU3" s="24" t="s">
        <v>1030</v>
      </c>
      <c r="BV3" s="24" t="s">
        <v>4553</v>
      </c>
    </row>
    <row r="4" customFormat="false" ht="14.25" hidden="false" customHeight="false" outlineLevel="0" collapsed="false">
      <c r="A4" s="24" t="s">
        <v>1011</v>
      </c>
      <c r="B4" s="24" t="s">
        <v>1011</v>
      </c>
      <c r="C4" s="24" t="s">
        <v>1012</v>
      </c>
      <c r="D4" s="24" t="n">
        <v>2022</v>
      </c>
      <c r="E4" s="24" t="s">
        <v>813</v>
      </c>
      <c r="F4" s="24" t="s">
        <v>1015</v>
      </c>
      <c r="G4" s="24" t="s">
        <v>1016</v>
      </c>
      <c r="H4" s="24" t="n">
        <v>24.724</v>
      </c>
      <c r="I4" s="24" t="n">
        <v>90.437</v>
      </c>
      <c r="J4" s="24" t="s">
        <v>83</v>
      </c>
      <c r="K4" s="24" t="s">
        <v>4545</v>
      </c>
      <c r="L4" s="24" t="s">
        <v>84</v>
      </c>
      <c r="M4" s="24" t="s">
        <v>85</v>
      </c>
      <c r="N4" s="24"/>
      <c r="O4" s="24"/>
      <c r="P4" s="24"/>
      <c r="Q4" s="24"/>
      <c r="R4" s="24" t="n">
        <v>18.1</v>
      </c>
      <c r="S4" s="24"/>
      <c r="T4" s="24" t="n">
        <v>16.2</v>
      </c>
      <c r="U4" s="24"/>
      <c r="V4" s="24"/>
      <c r="W4" s="24"/>
      <c r="X4" s="24"/>
      <c r="Y4" s="24"/>
      <c r="Z4" s="24"/>
      <c r="AA4" s="24"/>
      <c r="AB4" s="24"/>
      <c r="AC4" s="24"/>
      <c r="AD4" s="24" t="n">
        <v>20.7</v>
      </c>
      <c r="AE4" s="24"/>
      <c r="AF4" s="24" t="n">
        <v>20.2</v>
      </c>
      <c r="AG4" s="24"/>
      <c r="AH4" s="24"/>
      <c r="AI4" s="24"/>
      <c r="AJ4" s="24"/>
      <c r="AK4" s="24"/>
      <c r="AL4" s="24"/>
      <c r="AM4" s="24"/>
      <c r="AN4" s="24"/>
      <c r="AO4" s="24"/>
      <c r="AP4" s="24"/>
      <c r="AQ4" s="24"/>
      <c r="AR4" s="24"/>
      <c r="AS4" s="24"/>
      <c r="AT4" s="24"/>
      <c r="AU4" s="24"/>
      <c r="AV4" s="24"/>
      <c r="AW4" s="24"/>
      <c r="AX4" s="24" t="s">
        <v>4554</v>
      </c>
      <c r="AY4" s="24" t="n">
        <v>5</v>
      </c>
      <c r="AZ4" s="24" t="n">
        <v>3</v>
      </c>
      <c r="BA4" s="24" t="n">
        <f aca="false">IF(AND(N(AY4)&gt;0,N(AZ4)&gt;0),SQRT(2*AY4/AZ4),"")</f>
        <v>1.82574185835055</v>
      </c>
      <c r="BB4" s="24" t="n">
        <v>13</v>
      </c>
      <c r="BC4" s="24"/>
      <c r="BD4" s="24"/>
      <c r="BE4" s="24" t="n">
        <v>2400</v>
      </c>
      <c r="BF4" s="24" t="n">
        <v>24.724</v>
      </c>
      <c r="BG4" s="24" t="s">
        <v>4547</v>
      </c>
      <c r="BH4" s="24"/>
      <c r="BI4" s="24"/>
      <c r="BJ4" s="24" t="n">
        <v>6.92</v>
      </c>
      <c r="BK4" s="24" t="n">
        <v>13.2</v>
      </c>
      <c r="BL4" s="24" t="n">
        <v>1.58</v>
      </c>
      <c r="BM4" s="24" t="n">
        <v>11</v>
      </c>
      <c r="BN4" s="24" t="n">
        <v>76</v>
      </c>
      <c r="BO4" s="24" t="s">
        <v>4558</v>
      </c>
      <c r="BP4" s="24" t="s">
        <v>1735</v>
      </c>
      <c r="BQ4" s="24" t="s">
        <v>4555</v>
      </c>
      <c r="BR4" s="24" t="s">
        <v>4556</v>
      </c>
      <c r="BS4" s="24" t="s">
        <v>4559</v>
      </c>
      <c r="BT4" s="25" t="s">
        <v>4560</v>
      </c>
      <c r="BU4" s="24" t="s">
        <v>1030</v>
      </c>
      <c r="BV4" s="24" t="s">
        <v>4561</v>
      </c>
    </row>
    <row r="5" customFormat="false" ht="14.25" hidden="false" customHeight="false" outlineLevel="0" collapsed="false">
      <c r="A5" s="24" t="s">
        <v>1011</v>
      </c>
      <c r="B5" s="24" t="s">
        <v>1011</v>
      </c>
      <c r="C5" s="24" t="s">
        <v>1012</v>
      </c>
      <c r="D5" s="24" t="n">
        <v>2022</v>
      </c>
      <c r="E5" s="24" t="s">
        <v>813</v>
      </c>
      <c r="F5" s="24" t="s">
        <v>1015</v>
      </c>
      <c r="G5" s="24" t="s">
        <v>1016</v>
      </c>
      <c r="H5" s="24" t="n">
        <v>24.724</v>
      </c>
      <c r="I5" s="24" t="n">
        <v>90.437</v>
      </c>
      <c r="J5" s="24" t="s">
        <v>83</v>
      </c>
      <c r="K5" s="24" t="s">
        <v>4545</v>
      </c>
      <c r="L5" s="24" t="s">
        <v>84</v>
      </c>
      <c r="M5" s="24" t="s">
        <v>85</v>
      </c>
      <c r="N5" s="24"/>
      <c r="O5" s="24"/>
      <c r="P5" s="24"/>
      <c r="Q5" s="24"/>
      <c r="R5" s="24" t="n">
        <v>36.4</v>
      </c>
      <c r="S5" s="24"/>
      <c r="T5" s="24" t="n">
        <v>31.7</v>
      </c>
      <c r="U5" s="24"/>
      <c r="V5" s="24"/>
      <c r="W5" s="24"/>
      <c r="X5" s="24"/>
      <c r="Y5" s="24"/>
      <c r="Z5" s="24"/>
      <c r="AA5" s="24"/>
      <c r="AB5" s="24"/>
      <c r="AC5" s="24"/>
      <c r="AD5" s="24" t="n">
        <v>69.1</v>
      </c>
      <c r="AE5" s="24"/>
      <c r="AF5" s="24" t="n">
        <v>62.4</v>
      </c>
      <c r="AG5" s="24"/>
      <c r="AH5" s="24"/>
      <c r="AI5" s="24"/>
      <c r="AJ5" s="24"/>
      <c r="AK5" s="24"/>
      <c r="AL5" s="24"/>
      <c r="AM5" s="24"/>
      <c r="AN5" s="24"/>
      <c r="AO5" s="24"/>
      <c r="AP5" s="24"/>
      <c r="AQ5" s="24"/>
      <c r="AR5" s="24"/>
      <c r="AS5" s="24"/>
      <c r="AT5" s="24"/>
      <c r="AU5" s="24"/>
      <c r="AV5" s="24"/>
      <c r="AW5" s="24"/>
      <c r="AX5" s="24" t="s">
        <v>4562</v>
      </c>
      <c r="AY5" s="24" t="n">
        <v>5</v>
      </c>
      <c r="AZ5" s="24" t="n">
        <v>3</v>
      </c>
      <c r="BA5" s="24" t="n">
        <f aca="false">IF(AND(N(AY5)&gt;0,N(AZ5)&gt;0),SQRT(2*AY5/AZ5),"")</f>
        <v>1.82574185835055</v>
      </c>
      <c r="BB5" s="24" t="n">
        <v>13</v>
      </c>
      <c r="BC5" s="24"/>
      <c r="BD5" s="24"/>
      <c r="BE5" s="24" t="n">
        <v>2400</v>
      </c>
      <c r="BF5" s="24" t="n">
        <v>24.724</v>
      </c>
      <c r="BG5" s="24" t="s">
        <v>4547</v>
      </c>
      <c r="BH5" s="24"/>
      <c r="BI5" s="24"/>
      <c r="BJ5" s="24" t="n">
        <v>6.92</v>
      </c>
      <c r="BK5" s="24" t="n">
        <v>13.2</v>
      </c>
      <c r="BL5" s="24" t="n">
        <v>1.58</v>
      </c>
      <c r="BM5" s="24" t="n">
        <v>11</v>
      </c>
      <c r="BN5" s="24" t="n">
        <v>76</v>
      </c>
      <c r="BO5" s="24" t="s">
        <v>4548</v>
      </c>
      <c r="BP5" s="24" t="s">
        <v>1735</v>
      </c>
      <c r="BQ5" s="24" t="s">
        <v>4563</v>
      </c>
      <c r="BR5" s="24" t="s">
        <v>4564</v>
      </c>
      <c r="BS5" s="24" t="s">
        <v>4551</v>
      </c>
      <c r="BT5" s="25" t="s">
        <v>4565</v>
      </c>
      <c r="BU5" s="24" t="s">
        <v>1030</v>
      </c>
      <c r="BV5" s="24" t="s">
        <v>4553</v>
      </c>
    </row>
    <row r="6" customFormat="false" ht="14.25" hidden="false" customHeight="false" outlineLevel="0" collapsed="false">
      <c r="A6" s="24" t="s">
        <v>1011</v>
      </c>
      <c r="B6" s="24" t="s">
        <v>1011</v>
      </c>
      <c r="C6" s="24" t="s">
        <v>1012</v>
      </c>
      <c r="D6" s="24" t="n">
        <v>2022</v>
      </c>
      <c r="E6" s="24" t="s">
        <v>813</v>
      </c>
      <c r="F6" s="24" t="s">
        <v>1015</v>
      </c>
      <c r="G6" s="24" t="s">
        <v>1016</v>
      </c>
      <c r="H6" s="24" t="n">
        <v>24.724</v>
      </c>
      <c r="I6" s="24" t="n">
        <v>90.437</v>
      </c>
      <c r="J6" s="24" t="s">
        <v>83</v>
      </c>
      <c r="K6" s="24" t="s">
        <v>4545</v>
      </c>
      <c r="L6" s="24" t="s">
        <v>84</v>
      </c>
      <c r="M6" s="24" t="s">
        <v>85</v>
      </c>
      <c r="N6" s="24"/>
      <c r="O6" s="24"/>
      <c r="P6" s="24"/>
      <c r="Q6" s="24"/>
      <c r="R6" s="24" t="n">
        <v>17.7</v>
      </c>
      <c r="S6" s="24"/>
      <c r="T6" s="24" t="n">
        <v>22.5</v>
      </c>
      <c r="U6" s="24"/>
      <c r="V6" s="24"/>
      <c r="W6" s="24"/>
      <c r="X6" s="24"/>
      <c r="Y6" s="24"/>
      <c r="Z6" s="24"/>
      <c r="AA6" s="24"/>
      <c r="AB6" s="24"/>
      <c r="AC6" s="24"/>
      <c r="AD6" s="24" t="n">
        <v>22</v>
      </c>
      <c r="AE6" s="24"/>
      <c r="AF6" s="24" t="n">
        <v>20.3</v>
      </c>
      <c r="AG6" s="24"/>
      <c r="AH6" s="24"/>
      <c r="AI6" s="24"/>
      <c r="AJ6" s="24"/>
      <c r="AK6" s="24"/>
      <c r="AL6" s="24"/>
      <c r="AM6" s="24"/>
      <c r="AN6" s="24"/>
      <c r="AO6" s="24"/>
      <c r="AP6" s="24"/>
      <c r="AQ6" s="24"/>
      <c r="AR6" s="24"/>
      <c r="AS6" s="24"/>
      <c r="AT6" s="24"/>
      <c r="AU6" s="24"/>
      <c r="AV6" s="24"/>
      <c r="AW6" s="24"/>
      <c r="AX6" s="24" t="s">
        <v>4562</v>
      </c>
      <c r="AY6" s="24" t="n">
        <v>5</v>
      </c>
      <c r="AZ6" s="24" t="n">
        <v>3</v>
      </c>
      <c r="BA6" s="24" t="n">
        <f aca="false">IF(AND(N(AY6)&gt;0,N(AZ6)&gt;0),SQRT(2*AY6/AZ6),"")</f>
        <v>1.82574185835055</v>
      </c>
      <c r="BB6" s="24" t="n">
        <v>13</v>
      </c>
      <c r="BC6" s="24"/>
      <c r="BD6" s="24"/>
      <c r="BE6" s="24" t="n">
        <v>2400</v>
      </c>
      <c r="BF6" s="24" t="n">
        <v>24.724</v>
      </c>
      <c r="BG6" s="24" t="s">
        <v>4547</v>
      </c>
      <c r="BH6" s="24"/>
      <c r="BI6" s="24"/>
      <c r="BJ6" s="24" t="n">
        <v>6.92</v>
      </c>
      <c r="BK6" s="24" t="n">
        <v>13.2</v>
      </c>
      <c r="BL6" s="24" t="n">
        <v>1.58</v>
      </c>
      <c r="BM6" s="24" t="n">
        <v>11</v>
      </c>
      <c r="BN6" s="24" t="n">
        <v>76</v>
      </c>
      <c r="BO6" s="24" t="s">
        <v>4558</v>
      </c>
      <c r="BP6" s="24" t="s">
        <v>1735</v>
      </c>
      <c r="BQ6" s="24" t="s">
        <v>4563</v>
      </c>
      <c r="BR6" s="24" t="s">
        <v>4564</v>
      </c>
      <c r="BS6" s="24" t="s">
        <v>4559</v>
      </c>
      <c r="BT6" s="25" t="s">
        <v>4566</v>
      </c>
      <c r="BU6" s="24" t="s">
        <v>1030</v>
      </c>
      <c r="BV6" s="24" t="s">
        <v>4561</v>
      </c>
    </row>
    <row r="7" customFormat="false" ht="14.25" hidden="false" customHeight="false" outlineLevel="0" collapsed="false">
      <c r="A7" s="24" t="s">
        <v>1011</v>
      </c>
      <c r="B7" s="24" t="s">
        <v>1011</v>
      </c>
      <c r="C7" s="24" t="s">
        <v>1012</v>
      </c>
      <c r="D7" s="24" t="n">
        <v>2022</v>
      </c>
      <c r="E7" s="24" t="s">
        <v>813</v>
      </c>
      <c r="F7" s="24" t="s">
        <v>1015</v>
      </c>
      <c r="G7" s="24" t="s">
        <v>1016</v>
      </c>
      <c r="H7" s="24" t="n">
        <v>24.724</v>
      </c>
      <c r="I7" s="24" t="n">
        <v>90.437</v>
      </c>
      <c r="J7" s="24" t="s">
        <v>83</v>
      </c>
      <c r="K7" s="24" t="s">
        <v>4545</v>
      </c>
      <c r="L7" s="24" t="s">
        <v>84</v>
      </c>
      <c r="M7" s="24" t="s">
        <v>85</v>
      </c>
      <c r="N7" s="24"/>
      <c r="O7" s="24"/>
      <c r="P7" s="24"/>
      <c r="Q7" s="24"/>
      <c r="R7" s="24" t="n">
        <v>33.7</v>
      </c>
      <c r="S7" s="24"/>
      <c r="T7" s="24" t="n">
        <v>27.7</v>
      </c>
      <c r="U7" s="24"/>
      <c r="V7" s="24"/>
      <c r="W7" s="24"/>
      <c r="X7" s="24"/>
      <c r="Y7" s="24"/>
      <c r="Z7" s="24"/>
      <c r="AA7" s="24"/>
      <c r="AB7" s="24"/>
      <c r="AC7" s="24"/>
      <c r="AD7" s="24" t="n">
        <v>64</v>
      </c>
      <c r="AE7" s="24"/>
      <c r="AF7" s="24" t="n">
        <v>54.9</v>
      </c>
      <c r="AG7" s="24"/>
      <c r="AH7" s="24"/>
      <c r="AI7" s="24"/>
      <c r="AJ7" s="24"/>
      <c r="AK7" s="24"/>
      <c r="AL7" s="24"/>
      <c r="AM7" s="24"/>
      <c r="AN7" s="24"/>
      <c r="AO7" s="24"/>
      <c r="AP7" s="24"/>
      <c r="AQ7" s="24"/>
      <c r="AR7" s="24"/>
      <c r="AS7" s="24"/>
      <c r="AT7" s="24"/>
      <c r="AU7" s="24"/>
      <c r="AV7" s="24"/>
      <c r="AW7" s="24"/>
      <c r="AX7" s="24" t="s">
        <v>4567</v>
      </c>
      <c r="AY7" s="24" t="n">
        <v>5</v>
      </c>
      <c r="AZ7" s="24" t="n">
        <v>3</v>
      </c>
      <c r="BA7" s="24" t="n">
        <f aca="false">IF(AND(N(AY7)&gt;0,N(AZ7)&gt;0),SQRT(2*AY7/AZ7),"")</f>
        <v>1.82574185835055</v>
      </c>
      <c r="BB7" s="24" t="n">
        <v>13</v>
      </c>
      <c r="BC7" s="24"/>
      <c r="BD7" s="24"/>
      <c r="BE7" s="24" t="n">
        <v>2400</v>
      </c>
      <c r="BF7" s="24" t="n">
        <v>24.724</v>
      </c>
      <c r="BG7" s="24" t="s">
        <v>4547</v>
      </c>
      <c r="BH7" s="24"/>
      <c r="BI7" s="24"/>
      <c r="BJ7" s="24" t="n">
        <v>6.92</v>
      </c>
      <c r="BK7" s="24" t="n">
        <v>13.2</v>
      </c>
      <c r="BL7" s="24" t="n">
        <v>1.58</v>
      </c>
      <c r="BM7" s="24" t="n">
        <v>11</v>
      </c>
      <c r="BN7" s="24" t="n">
        <v>76</v>
      </c>
      <c r="BO7" s="24" t="s">
        <v>4548</v>
      </c>
      <c r="BP7" s="24" t="s">
        <v>1735</v>
      </c>
      <c r="BQ7" s="24" t="s">
        <v>4568</v>
      </c>
      <c r="BR7" s="24" t="s">
        <v>4569</v>
      </c>
      <c r="BS7" s="24" t="s">
        <v>4551</v>
      </c>
      <c r="BT7" s="25" t="s">
        <v>4570</v>
      </c>
      <c r="BU7" s="24" t="s">
        <v>1030</v>
      </c>
      <c r="BV7" s="24" t="s">
        <v>4553</v>
      </c>
    </row>
    <row r="8" customFormat="false" ht="14.25" hidden="false" customHeight="false" outlineLevel="0" collapsed="false">
      <c r="A8" s="24" t="s">
        <v>1011</v>
      </c>
      <c r="B8" s="24" t="s">
        <v>1011</v>
      </c>
      <c r="C8" s="24" t="s">
        <v>1012</v>
      </c>
      <c r="D8" s="24" t="n">
        <v>2022</v>
      </c>
      <c r="E8" s="24" t="s">
        <v>813</v>
      </c>
      <c r="F8" s="24" t="s">
        <v>1015</v>
      </c>
      <c r="G8" s="24" t="s">
        <v>1016</v>
      </c>
      <c r="H8" s="24" t="n">
        <v>24.724</v>
      </c>
      <c r="I8" s="24" t="n">
        <v>90.437</v>
      </c>
      <c r="J8" s="24" t="s">
        <v>83</v>
      </c>
      <c r="K8" s="24" t="s">
        <v>4545</v>
      </c>
      <c r="L8" s="24" t="s">
        <v>84</v>
      </c>
      <c r="M8" s="24" t="s">
        <v>85</v>
      </c>
      <c r="N8" s="24"/>
      <c r="O8" s="24"/>
      <c r="P8" s="24"/>
      <c r="Q8" s="24"/>
      <c r="R8" s="24" t="n">
        <v>18.7</v>
      </c>
      <c r="S8" s="24"/>
      <c r="T8" s="24" t="n">
        <v>17.6</v>
      </c>
      <c r="U8" s="24"/>
      <c r="V8" s="24"/>
      <c r="W8" s="24"/>
      <c r="X8" s="24"/>
      <c r="Y8" s="24"/>
      <c r="Z8" s="24"/>
      <c r="AA8" s="24"/>
      <c r="AB8" s="24"/>
      <c r="AC8" s="24"/>
      <c r="AD8" s="24" t="n">
        <v>27.5</v>
      </c>
      <c r="AE8" s="24"/>
      <c r="AF8" s="24" t="n">
        <v>19.3</v>
      </c>
      <c r="AG8" s="24"/>
      <c r="AH8" s="24"/>
      <c r="AI8" s="24"/>
      <c r="AJ8" s="24"/>
      <c r="AK8" s="24"/>
      <c r="AL8" s="24"/>
      <c r="AM8" s="24"/>
      <c r="AN8" s="24"/>
      <c r="AO8" s="24"/>
      <c r="AP8" s="24"/>
      <c r="AQ8" s="24"/>
      <c r="AR8" s="24"/>
      <c r="AS8" s="24"/>
      <c r="AT8" s="24"/>
      <c r="AU8" s="24"/>
      <c r="AV8" s="24"/>
      <c r="AW8" s="24"/>
      <c r="AX8" s="24" t="s">
        <v>4567</v>
      </c>
      <c r="AY8" s="24" t="n">
        <v>5</v>
      </c>
      <c r="AZ8" s="24" t="n">
        <v>3</v>
      </c>
      <c r="BA8" s="24" t="n">
        <f aca="false">IF(AND(N(AY8)&gt;0,N(AZ8)&gt;0),SQRT(2*AY8/AZ8),"")</f>
        <v>1.82574185835055</v>
      </c>
      <c r="BB8" s="24" t="n">
        <v>13</v>
      </c>
      <c r="BC8" s="24"/>
      <c r="BD8" s="24"/>
      <c r="BE8" s="24" t="n">
        <v>2400</v>
      </c>
      <c r="BF8" s="24" t="n">
        <v>24.724</v>
      </c>
      <c r="BG8" s="24" t="s">
        <v>4547</v>
      </c>
      <c r="BH8" s="24"/>
      <c r="BI8" s="24"/>
      <c r="BJ8" s="24" t="n">
        <v>6.92</v>
      </c>
      <c r="BK8" s="24" t="n">
        <v>13.2</v>
      </c>
      <c r="BL8" s="24" t="n">
        <v>1.58</v>
      </c>
      <c r="BM8" s="24" t="n">
        <v>11</v>
      </c>
      <c r="BN8" s="24" t="n">
        <v>76</v>
      </c>
      <c r="BO8" s="24" t="s">
        <v>4558</v>
      </c>
      <c r="BP8" s="24" t="s">
        <v>1735</v>
      </c>
      <c r="BQ8" s="24" t="s">
        <v>4568</v>
      </c>
      <c r="BR8" s="24" t="s">
        <v>4569</v>
      </c>
      <c r="BS8" s="24" t="s">
        <v>4559</v>
      </c>
      <c r="BT8" s="25" t="s">
        <v>4571</v>
      </c>
      <c r="BU8" s="24" t="s">
        <v>1030</v>
      </c>
      <c r="BV8" s="24" t="s">
        <v>4561</v>
      </c>
    </row>
    <row r="9" customFormat="false" ht="14.25" hidden="false" customHeight="false" outlineLevel="0" collapsed="false">
      <c r="A9" s="24" t="s">
        <v>1011</v>
      </c>
      <c r="B9" s="24" t="s">
        <v>1011</v>
      </c>
      <c r="C9" s="24" t="s">
        <v>1012</v>
      </c>
      <c r="D9" s="24" t="n">
        <v>2022</v>
      </c>
      <c r="E9" s="24" t="s">
        <v>813</v>
      </c>
      <c r="F9" s="24" t="s">
        <v>1015</v>
      </c>
      <c r="G9" s="24" t="s">
        <v>1016</v>
      </c>
      <c r="H9" s="24" t="n">
        <v>24.724</v>
      </c>
      <c r="I9" s="24" t="n">
        <v>90.437</v>
      </c>
      <c r="J9" s="24" t="s">
        <v>83</v>
      </c>
      <c r="K9" s="24" t="s">
        <v>4545</v>
      </c>
      <c r="L9" s="24" t="s">
        <v>84</v>
      </c>
      <c r="M9" s="24" t="s">
        <v>85</v>
      </c>
      <c r="N9" s="24"/>
      <c r="O9" s="24"/>
      <c r="P9" s="24"/>
      <c r="Q9" s="24"/>
      <c r="R9" s="24" t="n">
        <v>27.5</v>
      </c>
      <c r="S9" s="24"/>
      <c r="T9" s="24" t="n">
        <v>23.8</v>
      </c>
      <c r="U9" s="24"/>
      <c r="V9" s="24"/>
      <c r="W9" s="24"/>
      <c r="X9" s="24"/>
      <c r="Y9" s="24"/>
      <c r="Z9" s="24"/>
      <c r="AA9" s="24"/>
      <c r="AB9" s="24"/>
      <c r="AC9" s="24"/>
      <c r="AD9" s="24" t="n">
        <v>52.6</v>
      </c>
      <c r="AE9" s="24"/>
      <c r="AF9" s="24" t="n">
        <v>45.5</v>
      </c>
      <c r="AG9" s="24"/>
      <c r="AH9" s="24"/>
      <c r="AI9" s="24"/>
      <c r="AJ9" s="24"/>
      <c r="AK9" s="24"/>
      <c r="AL9" s="24"/>
      <c r="AM9" s="24"/>
      <c r="AN9" s="24"/>
      <c r="AO9" s="24"/>
      <c r="AP9" s="24"/>
      <c r="AQ9" s="24"/>
      <c r="AR9" s="24"/>
      <c r="AS9" s="24"/>
      <c r="AT9" s="24"/>
      <c r="AU9" s="24"/>
      <c r="AV9" s="24"/>
      <c r="AW9" s="24"/>
      <c r="AX9" s="24" t="s">
        <v>4572</v>
      </c>
      <c r="AY9" s="24" t="n">
        <v>5</v>
      </c>
      <c r="AZ9" s="24" t="n">
        <v>3</v>
      </c>
      <c r="BA9" s="24" t="n">
        <f aca="false">IF(AND(N(AY9)&gt;0,N(AZ9)&gt;0),SQRT(2*AY9/AZ9),"")</f>
        <v>1.82574185835055</v>
      </c>
      <c r="BB9" s="24" t="n">
        <v>13</v>
      </c>
      <c r="BC9" s="24"/>
      <c r="BD9" s="24"/>
      <c r="BE9" s="24" t="n">
        <v>2400</v>
      </c>
      <c r="BF9" s="24" t="n">
        <v>24.724</v>
      </c>
      <c r="BG9" s="24" t="s">
        <v>4547</v>
      </c>
      <c r="BH9" s="24"/>
      <c r="BI9" s="24"/>
      <c r="BJ9" s="24" t="n">
        <v>6.92</v>
      </c>
      <c r="BK9" s="24" t="n">
        <v>13.2</v>
      </c>
      <c r="BL9" s="24" t="n">
        <v>1.58</v>
      </c>
      <c r="BM9" s="24" t="n">
        <v>11</v>
      </c>
      <c r="BN9" s="24" t="n">
        <v>76</v>
      </c>
      <c r="BO9" s="24" t="s">
        <v>4548</v>
      </c>
      <c r="BP9" s="24" t="s">
        <v>1735</v>
      </c>
      <c r="BQ9" s="24" t="s">
        <v>4573</v>
      </c>
      <c r="BR9" s="24" t="s">
        <v>4574</v>
      </c>
      <c r="BS9" s="24" t="s">
        <v>4551</v>
      </c>
      <c r="BT9" s="25" t="s">
        <v>4575</v>
      </c>
      <c r="BU9" s="24" t="s">
        <v>1030</v>
      </c>
      <c r="BV9" s="24" t="s">
        <v>4553</v>
      </c>
    </row>
    <row r="10" customFormat="false" ht="14.25" hidden="false" customHeight="false" outlineLevel="0" collapsed="false">
      <c r="A10" s="24" t="s">
        <v>1011</v>
      </c>
      <c r="B10" s="24" t="s">
        <v>1011</v>
      </c>
      <c r="C10" s="24" t="s">
        <v>1012</v>
      </c>
      <c r="D10" s="24" t="n">
        <v>2022</v>
      </c>
      <c r="E10" s="24" t="s">
        <v>813</v>
      </c>
      <c r="F10" s="24" t="s">
        <v>1015</v>
      </c>
      <c r="G10" s="24" t="s">
        <v>1016</v>
      </c>
      <c r="H10" s="24" t="n">
        <v>24.724</v>
      </c>
      <c r="I10" s="24" t="n">
        <v>90.437</v>
      </c>
      <c r="J10" s="24" t="s">
        <v>83</v>
      </c>
      <c r="K10" s="24" t="s">
        <v>4545</v>
      </c>
      <c r="L10" s="24" t="s">
        <v>84</v>
      </c>
      <c r="M10" s="24" t="s">
        <v>85</v>
      </c>
      <c r="N10" s="24"/>
      <c r="O10" s="24"/>
      <c r="P10" s="24"/>
      <c r="Q10" s="24"/>
      <c r="R10" s="24" t="n">
        <v>11.5</v>
      </c>
      <c r="S10" s="24"/>
      <c r="T10" s="24" t="n">
        <v>13.3</v>
      </c>
      <c r="U10" s="24"/>
      <c r="V10" s="24"/>
      <c r="W10" s="24"/>
      <c r="X10" s="24"/>
      <c r="Y10" s="24"/>
      <c r="Z10" s="24"/>
      <c r="AA10" s="24"/>
      <c r="AB10" s="24"/>
      <c r="AC10" s="24"/>
      <c r="AD10" s="24" t="n">
        <v>16.7</v>
      </c>
      <c r="AE10" s="24"/>
      <c r="AF10" s="24" t="n">
        <v>11.7</v>
      </c>
      <c r="AG10" s="24"/>
      <c r="AH10" s="24"/>
      <c r="AI10" s="24"/>
      <c r="AJ10" s="24"/>
      <c r="AK10" s="24"/>
      <c r="AL10" s="24"/>
      <c r="AM10" s="24"/>
      <c r="AN10" s="24"/>
      <c r="AO10" s="24"/>
      <c r="AP10" s="24"/>
      <c r="AQ10" s="24"/>
      <c r="AR10" s="24"/>
      <c r="AS10" s="24"/>
      <c r="AT10" s="24"/>
      <c r="AU10" s="24"/>
      <c r="AV10" s="24"/>
      <c r="AW10" s="24"/>
      <c r="AX10" s="24" t="s">
        <v>4572</v>
      </c>
      <c r="AY10" s="24" t="n">
        <v>5</v>
      </c>
      <c r="AZ10" s="24" t="n">
        <v>3</v>
      </c>
      <c r="BA10" s="24" t="n">
        <f aca="false">IF(AND(N(AY10)&gt;0,N(AZ10)&gt;0),SQRT(2*AY10/AZ10),"")</f>
        <v>1.82574185835055</v>
      </c>
      <c r="BB10" s="24" t="n">
        <v>13</v>
      </c>
      <c r="BC10" s="24"/>
      <c r="BD10" s="24"/>
      <c r="BE10" s="24" t="n">
        <v>2400</v>
      </c>
      <c r="BF10" s="24" t="n">
        <v>24.724</v>
      </c>
      <c r="BG10" s="24" t="s">
        <v>4547</v>
      </c>
      <c r="BH10" s="24"/>
      <c r="BI10" s="24"/>
      <c r="BJ10" s="24" t="n">
        <v>6.92</v>
      </c>
      <c r="BK10" s="24" t="n">
        <v>13.2</v>
      </c>
      <c r="BL10" s="24" t="n">
        <v>1.58</v>
      </c>
      <c r="BM10" s="24" t="n">
        <v>11</v>
      </c>
      <c r="BN10" s="24" t="n">
        <v>76</v>
      </c>
      <c r="BO10" s="24" t="s">
        <v>4558</v>
      </c>
      <c r="BP10" s="24" t="s">
        <v>1735</v>
      </c>
      <c r="BQ10" s="24" t="s">
        <v>4573</v>
      </c>
      <c r="BR10" s="24" t="s">
        <v>4574</v>
      </c>
      <c r="BS10" s="24" t="s">
        <v>4559</v>
      </c>
      <c r="BT10" s="25" t="s">
        <v>4576</v>
      </c>
      <c r="BU10" s="24" t="s">
        <v>1030</v>
      </c>
      <c r="BV10" s="24" t="s">
        <v>4561</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4577</v>
      </c>
      <c r="O1" s="27" t="s">
        <v>4578</v>
      </c>
      <c r="P1" s="27" t="s">
        <v>4579</v>
      </c>
      <c r="Q1" s="27" t="s">
        <v>4580</v>
      </c>
      <c r="R1" s="27" t="s">
        <v>4581</v>
      </c>
      <c r="S1" s="27" t="s">
        <v>4582</v>
      </c>
      <c r="T1" s="27" t="s">
        <v>4583</v>
      </c>
      <c r="U1" s="27" t="s">
        <v>4584</v>
      </c>
      <c r="V1" s="30" t="s">
        <v>4585</v>
      </c>
      <c r="W1" s="30" t="s">
        <v>4586</v>
      </c>
      <c r="X1" s="30" t="s">
        <v>4587</v>
      </c>
      <c r="Y1" s="30" t="s">
        <v>4588</v>
      </c>
      <c r="Z1" s="27" t="s">
        <v>4589</v>
      </c>
      <c r="AA1" s="27" t="s">
        <v>4590</v>
      </c>
      <c r="AB1" s="27" t="s">
        <v>4591</v>
      </c>
      <c r="AC1" s="27" t="s">
        <v>4592</v>
      </c>
      <c r="AD1" s="27" t="s">
        <v>4593</v>
      </c>
      <c r="AE1" s="27" t="s">
        <v>4594</v>
      </c>
      <c r="AF1" s="27" t="s">
        <v>4595</v>
      </c>
      <c r="AG1" s="27" t="s">
        <v>4596</v>
      </c>
      <c r="AH1" s="30" t="s">
        <v>4597</v>
      </c>
      <c r="AI1" s="30" t="s">
        <v>4598</v>
      </c>
      <c r="AJ1" s="30" t="s">
        <v>4599</v>
      </c>
      <c r="AK1" s="30" t="s">
        <v>4600</v>
      </c>
      <c r="AL1" s="27" t="s">
        <v>4601</v>
      </c>
      <c r="AM1" s="27" t="s">
        <v>4602</v>
      </c>
      <c r="AN1" s="27" t="s">
        <v>4603</v>
      </c>
      <c r="AO1" s="27" t="s">
        <v>4604</v>
      </c>
      <c r="AP1" s="27" t="s">
        <v>4605</v>
      </c>
      <c r="AQ1" s="27" t="s">
        <v>4606</v>
      </c>
      <c r="AR1" s="27" t="s">
        <v>4607</v>
      </c>
      <c r="AS1" s="27" t="s">
        <v>4608</v>
      </c>
      <c r="AT1" s="30" t="s">
        <v>4609</v>
      </c>
      <c r="AU1" s="30" t="s">
        <v>4610</v>
      </c>
      <c r="AV1" s="30" t="s">
        <v>4611</v>
      </c>
      <c r="AW1" s="30" t="s">
        <v>4612</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1333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4613</v>
      </c>
      <c r="O1" s="27" t="s">
        <v>4614</v>
      </c>
      <c r="P1" s="27" t="s">
        <v>4615</v>
      </c>
      <c r="Q1" s="27" t="s">
        <v>4616</v>
      </c>
      <c r="R1" s="27" t="s">
        <v>4617</v>
      </c>
      <c r="S1" s="27" t="s">
        <v>4618</v>
      </c>
      <c r="T1" s="27" t="s">
        <v>4619</v>
      </c>
      <c r="U1" s="27" t="s">
        <v>4620</v>
      </c>
      <c r="V1" s="30" t="s">
        <v>4621</v>
      </c>
      <c r="W1" s="30" t="s">
        <v>4622</v>
      </c>
      <c r="X1" s="30" t="s">
        <v>4623</v>
      </c>
      <c r="Y1" s="30" t="s">
        <v>4624</v>
      </c>
      <c r="Z1" s="27" t="s">
        <v>4625</v>
      </c>
      <c r="AA1" s="27" t="s">
        <v>4626</v>
      </c>
      <c r="AB1" s="27" t="s">
        <v>4627</v>
      </c>
      <c r="AC1" s="27" t="s">
        <v>4628</v>
      </c>
      <c r="AD1" s="27" t="s">
        <v>4629</v>
      </c>
      <c r="AE1" s="27" t="s">
        <v>4630</v>
      </c>
      <c r="AF1" s="27" t="s">
        <v>4631</v>
      </c>
      <c r="AG1" s="27" t="s">
        <v>4632</v>
      </c>
      <c r="AH1" s="30" t="s">
        <v>4633</v>
      </c>
      <c r="AI1" s="30" t="s">
        <v>4634</v>
      </c>
      <c r="AJ1" s="30" t="s">
        <v>4635</v>
      </c>
      <c r="AK1" s="30" t="s">
        <v>4636</v>
      </c>
      <c r="AL1" s="27" t="s">
        <v>4637</v>
      </c>
      <c r="AM1" s="27" t="s">
        <v>4638</v>
      </c>
      <c r="AN1" s="27" t="s">
        <v>4639</v>
      </c>
      <c r="AO1" s="27" t="s">
        <v>4640</v>
      </c>
      <c r="AP1" s="27" t="s">
        <v>4641</v>
      </c>
      <c r="AQ1" s="27" t="s">
        <v>4642</v>
      </c>
      <c r="AR1" s="27" t="s">
        <v>4643</v>
      </c>
      <c r="AS1" s="27" t="s">
        <v>4644</v>
      </c>
      <c r="AT1" s="30" t="s">
        <v>4645</v>
      </c>
      <c r="AU1" s="30" t="s">
        <v>4646</v>
      </c>
      <c r="AV1" s="30" t="s">
        <v>4647</v>
      </c>
      <c r="AW1" s="30" t="s">
        <v>4648</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A2" s="24" t="s">
        <v>1011</v>
      </c>
      <c r="B2" s="24" t="s">
        <v>1011</v>
      </c>
      <c r="C2" s="24" t="s">
        <v>1012</v>
      </c>
      <c r="D2" s="24" t="n">
        <v>2022</v>
      </c>
      <c r="E2" s="24" t="s">
        <v>813</v>
      </c>
      <c r="F2" s="24" t="s">
        <v>1015</v>
      </c>
      <c r="G2" s="24" t="s">
        <v>1016</v>
      </c>
      <c r="H2" s="24" t="n">
        <v>24.724</v>
      </c>
      <c r="I2" s="24" t="n">
        <v>90.437</v>
      </c>
      <c r="J2" s="24" t="s">
        <v>83</v>
      </c>
      <c r="K2" s="24" t="s">
        <v>4144</v>
      </c>
      <c r="L2" s="24" t="s">
        <v>842</v>
      </c>
      <c r="M2" s="24" t="s">
        <v>85</v>
      </c>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t="n">
        <f aca="false">2.09*1000</f>
        <v>2090</v>
      </c>
      <c r="AQ2" s="24"/>
      <c r="AR2" s="24" t="n">
        <f aca="false">1.48*1000</f>
        <v>1480</v>
      </c>
      <c r="AS2" s="24"/>
      <c r="AT2" s="24"/>
      <c r="AU2" s="24"/>
      <c r="AV2" s="24"/>
      <c r="AW2" s="24"/>
      <c r="AX2" s="24" t="n">
        <v>2</v>
      </c>
      <c r="AY2" s="24" t="n">
        <v>3</v>
      </c>
      <c r="AZ2" s="24" t="n">
        <f aca="false">IF(AND(N(AX2)&gt;0,N(AY2)&gt;0),SQRT(2*AX2/AY2),"")</f>
        <v>1.15470053837925</v>
      </c>
      <c r="BA2" s="24" t="n">
        <v>13</v>
      </c>
      <c r="BB2" s="24"/>
      <c r="BC2" s="24"/>
      <c r="BD2" s="24" t="n">
        <v>2400</v>
      </c>
      <c r="BE2" s="24" t="n">
        <v>24.724</v>
      </c>
      <c r="BF2" s="24" t="n">
        <v>1</v>
      </c>
      <c r="BG2" s="24"/>
      <c r="BH2" s="24"/>
      <c r="BI2" s="24" t="n">
        <v>6.92</v>
      </c>
      <c r="BJ2" s="24" t="n">
        <v>13.2</v>
      </c>
      <c r="BK2" s="24" t="n">
        <v>1.58</v>
      </c>
      <c r="BL2" s="24" t="n">
        <v>11</v>
      </c>
      <c r="BM2" s="24" t="n">
        <v>76</v>
      </c>
      <c r="BN2" s="24" t="s">
        <v>4649</v>
      </c>
      <c r="BO2" s="24" t="s">
        <v>1735</v>
      </c>
      <c r="BP2" s="24" t="s">
        <v>4650</v>
      </c>
      <c r="BQ2" s="24" t="s">
        <v>1737</v>
      </c>
      <c r="BR2" s="24" t="s">
        <v>1994</v>
      </c>
      <c r="BS2" s="25" t="s">
        <v>4651</v>
      </c>
      <c r="BT2" s="24" t="s">
        <v>1030</v>
      </c>
      <c r="BU2" s="24" t="s">
        <v>4652</v>
      </c>
      <c r="BW2" s="33" t="s">
        <v>1334</v>
      </c>
    </row>
    <row r="3" customFormat="false" ht="15" hidden="false" customHeight="true" outlineLevel="0" collapsed="false">
      <c r="A3" s="24" t="s">
        <v>1011</v>
      </c>
      <c r="B3" s="24" t="s">
        <v>1011</v>
      </c>
      <c r="C3" s="24" t="s">
        <v>1012</v>
      </c>
      <c r="D3" s="24" t="n">
        <v>2022</v>
      </c>
      <c r="E3" s="24" t="s">
        <v>813</v>
      </c>
      <c r="F3" s="24" t="s">
        <v>1015</v>
      </c>
      <c r="G3" s="24" t="s">
        <v>1016</v>
      </c>
      <c r="H3" s="24" t="n">
        <v>24.724</v>
      </c>
      <c r="I3" s="24" t="n">
        <v>90.437</v>
      </c>
      <c r="J3" s="24" t="s">
        <v>83</v>
      </c>
      <c r="K3" s="24" t="s">
        <v>4147</v>
      </c>
      <c r="L3" s="24" t="s">
        <v>842</v>
      </c>
      <c r="M3" s="24" t="s">
        <v>85</v>
      </c>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t="n">
        <f aca="false">1.88*1000</f>
        <v>1880</v>
      </c>
      <c r="AQ3" s="24"/>
      <c r="AR3" s="24" t="n">
        <f aca="false">1.35*1000</f>
        <v>1350</v>
      </c>
      <c r="AS3" s="24"/>
      <c r="AT3" s="24"/>
      <c r="AU3" s="24"/>
      <c r="AV3" s="24"/>
      <c r="AW3" s="24"/>
      <c r="AX3" s="24" t="n">
        <v>2</v>
      </c>
      <c r="AY3" s="24" t="n">
        <v>3</v>
      </c>
      <c r="AZ3" s="24" t="n">
        <f aca="false">IF(AND(N(AX3)&gt;0,N(AY3)&gt;0),SQRT(2*AX3/AY3),"")</f>
        <v>1.15470053837925</v>
      </c>
      <c r="BA3" s="24" t="n">
        <v>13</v>
      </c>
      <c r="BB3" s="24"/>
      <c r="BC3" s="24"/>
      <c r="BD3" s="24" t="n">
        <v>2400</v>
      </c>
      <c r="BE3" s="24" t="n">
        <v>24.724</v>
      </c>
      <c r="BF3" s="24" t="n">
        <v>2</v>
      </c>
      <c r="BG3" s="24"/>
      <c r="BH3" s="24"/>
      <c r="BI3" s="24" t="n">
        <v>6.92</v>
      </c>
      <c r="BJ3" s="24" t="n">
        <v>13.2</v>
      </c>
      <c r="BK3" s="24" t="n">
        <v>1.58</v>
      </c>
      <c r="BL3" s="24" t="n">
        <v>11</v>
      </c>
      <c r="BM3" s="24" t="n">
        <v>76</v>
      </c>
      <c r="BN3" s="24" t="s">
        <v>4649</v>
      </c>
      <c r="BO3" s="24" t="s">
        <v>1735</v>
      </c>
      <c r="BP3" s="24" t="s">
        <v>4653</v>
      </c>
      <c r="BQ3" s="24" t="s">
        <v>1737</v>
      </c>
      <c r="BR3" s="24" t="s">
        <v>1994</v>
      </c>
      <c r="BS3" s="25" t="s">
        <v>4654</v>
      </c>
      <c r="BT3" s="24" t="s">
        <v>1030</v>
      </c>
      <c r="BU3" s="24" t="s">
        <v>4652</v>
      </c>
    </row>
    <row r="4" customFormat="false" ht="15" hidden="false" customHeight="true" outlineLevel="0" collapsed="false">
      <c r="A4" s="24" t="s">
        <v>1011</v>
      </c>
      <c r="B4" s="24" t="s">
        <v>1011</v>
      </c>
      <c r="C4" s="24" t="s">
        <v>1012</v>
      </c>
      <c r="D4" s="24" t="n">
        <v>2022</v>
      </c>
      <c r="E4" s="24" t="s">
        <v>813</v>
      </c>
      <c r="F4" s="24" t="s">
        <v>1015</v>
      </c>
      <c r="G4" s="24" t="s">
        <v>1016</v>
      </c>
      <c r="H4" s="24" t="n">
        <v>24.724</v>
      </c>
      <c r="I4" s="24" t="n">
        <v>90.437</v>
      </c>
      <c r="J4" s="24" t="s">
        <v>83</v>
      </c>
      <c r="K4" s="24" t="s">
        <v>4150</v>
      </c>
      <c r="L4" s="24" t="s">
        <v>842</v>
      </c>
      <c r="M4" s="24" t="s">
        <v>85</v>
      </c>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t="n">
        <f aca="false">1.7*1000</f>
        <v>1700</v>
      </c>
      <c r="AQ4" s="24"/>
      <c r="AR4" s="24" t="n">
        <f aca="false">1.26*1000</f>
        <v>1260</v>
      </c>
      <c r="AS4" s="24"/>
      <c r="AT4" s="24"/>
      <c r="AU4" s="24"/>
      <c r="AV4" s="24"/>
      <c r="AW4" s="24"/>
      <c r="AX4" s="24" t="n">
        <v>2</v>
      </c>
      <c r="AY4" s="24" t="n">
        <v>3</v>
      </c>
      <c r="AZ4" s="24" t="n">
        <f aca="false">IF(AND(N(AX4)&gt;0,N(AY4)&gt;0),SQRT(2*AX4/AY4),"")</f>
        <v>1.15470053837925</v>
      </c>
      <c r="BA4" s="24" t="n">
        <v>13</v>
      </c>
      <c r="BB4" s="24"/>
      <c r="BC4" s="24"/>
      <c r="BD4" s="24" t="n">
        <v>2400</v>
      </c>
      <c r="BE4" s="24" t="n">
        <v>24.724</v>
      </c>
      <c r="BF4" s="24" t="n">
        <v>3</v>
      </c>
      <c r="BG4" s="24"/>
      <c r="BH4" s="24"/>
      <c r="BI4" s="24" t="n">
        <v>6.92</v>
      </c>
      <c r="BJ4" s="24" t="n">
        <v>13.2</v>
      </c>
      <c r="BK4" s="24" t="n">
        <v>1.58</v>
      </c>
      <c r="BL4" s="24" t="n">
        <v>11</v>
      </c>
      <c r="BM4" s="24" t="n">
        <v>76</v>
      </c>
      <c r="BN4" s="24" t="s">
        <v>4649</v>
      </c>
      <c r="BO4" s="24" t="s">
        <v>1735</v>
      </c>
      <c r="BP4" s="24" t="s">
        <v>4655</v>
      </c>
      <c r="BQ4" s="24" t="s">
        <v>1737</v>
      </c>
      <c r="BR4" s="24" t="s">
        <v>1994</v>
      </c>
      <c r="BS4" s="25" t="s">
        <v>4656</v>
      </c>
      <c r="BT4" s="24" t="s">
        <v>1030</v>
      </c>
      <c r="BU4" s="24" t="s">
        <v>4652</v>
      </c>
    </row>
    <row r="5" customFormat="false" ht="15" hidden="false" customHeight="true" outlineLevel="0" collapsed="false">
      <c r="A5" s="24" t="s">
        <v>1011</v>
      </c>
      <c r="B5" s="24" t="s">
        <v>1011</v>
      </c>
      <c r="C5" s="24" t="s">
        <v>1012</v>
      </c>
      <c r="D5" s="24" t="n">
        <v>2022</v>
      </c>
      <c r="E5" s="24" t="s">
        <v>813</v>
      </c>
      <c r="F5" s="24" t="s">
        <v>1015</v>
      </c>
      <c r="G5" s="24" t="s">
        <v>1016</v>
      </c>
      <c r="H5" s="24" t="n">
        <v>24.724</v>
      </c>
      <c r="I5" s="24" t="n">
        <v>90.437</v>
      </c>
      <c r="J5" s="24" t="s">
        <v>83</v>
      </c>
      <c r="K5" s="24" t="s">
        <v>1698</v>
      </c>
      <c r="L5" s="24" t="s">
        <v>84</v>
      </c>
      <c r="M5" s="24" t="s">
        <v>85</v>
      </c>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t="n">
        <f aca="false">2.78*1000</f>
        <v>2780</v>
      </c>
      <c r="AQ5" s="24"/>
      <c r="AR5" s="24" t="n">
        <f aca="false">1.83*1000</f>
        <v>1830</v>
      </c>
      <c r="AS5" s="24"/>
      <c r="AT5" s="24"/>
      <c r="AU5" s="24"/>
      <c r="AV5" s="24"/>
      <c r="AW5" s="24"/>
      <c r="AX5" s="24" t="n">
        <v>2</v>
      </c>
      <c r="AY5" s="24" t="n">
        <v>3</v>
      </c>
      <c r="AZ5" s="24" t="n">
        <f aca="false">IF(AND(N(AX5)&gt;0,N(AY5)&gt;0),SQRT(2*AX5/AY5),"")</f>
        <v>1.15470053837925</v>
      </c>
      <c r="BA5" s="24" t="n">
        <v>13</v>
      </c>
      <c r="BB5" s="24"/>
      <c r="BC5" s="24"/>
      <c r="BD5" s="24" t="n">
        <v>2400</v>
      </c>
      <c r="BE5" s="24" t="n">
        <v>24.724</v>
      </c>
      <c r="BF5" s="24" t="n">
        <v>4</v>
      </c>
      <c r="BG5" s="24"/>
      <c r="BH5" s="24"/>
      <c r="BI5" s="24" t="n">
        <v>6.92</v>
      </c>
      <c r="BJ5" s="24" t="n">
        <v>13.2</v>
      </c>
      <c r="BK5" s="24" t="n">
        <v>1.58</v>
      </c>
      <c r="BL5" s="24" t="n">
        <v>11</v>
      </c>
      <c r="BM5" s="24" t="n">
        <v>76</v>
      </c>
      <c r="BN5" s="24" t="s">
        <v>4649</v>
      </c>
      <c r="BO5" s="24" t="s">
        <v>1735</v>
      </c>
      <c r="BP5" s="24" t="s">
        <v>4657</v>
      </c>
      <c r="BQ5" s="24" t="s">
        <v>1737</v>
      </c>
      <c r="BR5" s="24" t="s">
        <v>1994</v>
      </c>
      <c r="BS5" s="25" t="s">
        <v>4658</v>
      </c>
      <c r="BT5" s="24" t="s">
        <v>1030</v>
      </c>
      <c r="BU5" s="24" t="s">
        <v>4652</v>
      </c>
    </row>
    <row r="6" customFormat="false" ht="15" hidden="false" customHeight="true" outlineLevel="0" collapsed="false">
      <c r="A6" s="24" t="s">
        <v>1011</v>
      </c>
      <c r="B6" s="24" t="s">
        <v>1011</v>
      </c>
      <c r="C6" s="24" t="s">
        <v>1012</v>
      </c>
      <c r="D6" s="24" t="n">
        <v>2022</v>
      </c>
      <c r="E6" s="24" t="s">
        <v>813</v>
      </c>
      <c r="F6" s="24" t="s">
        <v>1015</v>
      </c>
      <c r="G6" s="24" t="s">
        <v>1016</v>
      </c>
      <c r="H6" s="24" t="n">
        <v>24.724</v>
      </c>
      <c r="I6" s="24" t="n">
        <v>90.437</v>
      </c>
      <c r="J6" s="24" t="s">
        <v>83</v>
      </c>
      <c r="K6" s="24" t="s">
        <v>4659</v>
      </c>
      <c r="L6" s="24" t="s">
        <v>84</v>
      </c>
      <c r="M6" s="24" t="s">
        <v>85</v>
      </c>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t="n">
        <f aca="false">2.78*1000</f>
        <v>2780</v>
      </c>
      <c r="AQ6" s="24"/>
      <c r="AR6" s="24" t="n">
        <f aca="false">2*1000</f>
        <v>2000</v>
      </c>
      <c r="AS6" s="24"/>
      <c r="AT6" s="24"/>
      <c r="AU6" s="24"/>
      <c r="AV6" s="24"/>
      <c r="AW6" s="24"/>
      <c r="AX6" s="24" t="n">
        <v>2</v>
      </c>
      <c r="AY6" s="24" t="n">
        <v>3</v>
      </c>
      <c r="AZ6" s="24" t="n">
        <f aca="false">IF(AND(N(AX6)&gt;0,N(AY6)&gt;0),SQRT(2*AX6/AY6),"")</f>
        <v>1.15470053837925</v>
      </c>
      <c r="BA6" s="24" t="n">
        <v>13</v>
      </c>
      <c r="BB6" s="24"/>
      <c r="BC6" s="24"/>
      <c r="BD6" s="24" t="n">
        <v>2400</v>
      </c>
      <c r="BE6" s="24" t="n">
        <v>24.724</v>
      </c>
      <c r="BF6" s="24" t="n">
        <v>5</v>
      </c>
      <c r="BG6" s="24"/>
      <c r="BH6" s="24"/>
      <c r="BI6" s="24" t="n">
        <v>6.92</v>
      </c>
      <c r="BJ6" s="24" t="n">
        <v>13.2</v>
      </c>
      <c r="BK6" s="24" t="n">
        <v>1.58</v>
      </c>
      <c r="BL6" s="24" t="n">
        <v>11</v>
      </c>
      <c r="BM6" s="24" t="n">
        <v>76</v>
      </c>
      <c r="BN6" s="24" t="s">
        <v>4649</v>
      </c>
      <c r="BO6" s="24" t="s">
        <v>1735</v>
      </c>
      <c r="BP6" s="24" t="s">
        <v>4660</v>
      </c>
      <c r="BQ6" s="24" t="s">
        <v>1737</v>
      </c>
      <c r="BR6" s="24" t="s">
        <v>1994</v>
      </c>
      <c r="BS6" s="25" t="s">
        <v>4661</v>
      </c>
      <c r="BT6" s="24" t="s">
        <v>1030</v>
      </c>
      <c r="BU6" s="24" t="s">
        <v>4652</v>
      </c>
    </row>
    <row r="7" customFormat="false" ht="15" hidden="false" customHeight="true" outlineLevel="0" collapsed="false">
      <c r="A7" s="24" t="s">
        <v>1011</v>
      </c>
      <c r="B7" s="24" t="s">
        <v>1011</v>
      </c>
      <c r="C7" s="24" t="s">
        <v>1012</v>
      </c>
      <c r="D7" s="24" t="n">
        <v>2022</v>
      </c>
      <c r="E7" s="24" t="s">
        <v>813</v>
      </c>
      <c r="F7" s="24" t="s">
        <v>1015</v>
      </c>
      <c r="G7" s="24" t="s">
        <v>1016</v>
      </c>
      <c r="H7" s="24" t="n">
        <v>24.724</v>
      </c>
      <c r="I7" s="24" t="n">
        <v>90.437</v>
      </c>
      <c r="J7" s="24" t="s">
        <v>83</v>
      </c>
      <c r="K7" s="24" t="s">
        <v>4662</v>
      </c>
      <c r="L7" s="24" t="s">
        <v>84</v>
      </c>
      <c r="M7" s="24" t="s">
        <v>85</v>
      </c>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t="n">
        <f aca="false">2.78*1000</f>
        <v>2780</v>
      </c>
      <c r="AQ7" s="24"/>
      <c r="AR7" s="24" t="n">
        <f aca="false">1.59*1000</f>
        <v>1590</v>
      </c>
      <c r="AS7" s="24"/>
      <c r="AT7" s="24"/>
      <c r="AU7" s="24"/>
      <c r="AV7" s="24"/>
      <c r="AW7" s="24"/>
      <c r="AX7" s="24" t="n">
        <v>2</v>
      </c>
      <c r="AY7" s="24" t="n">
        <v>3</v>
      </c>
      <c r="AZ7" s="24" t="n">
        <f aca="false">IF(AND(N(AX7)&gt;0,N(AY7)&gt;0),SQRT(2*AX7/AY7),"")</f>
        <v>1.15470053837925</v>
      </c>
      <c r="BA7" s="24" t="n">
        <v>13</v>
      </c>
      <c r="BB7" s="24"/>
      <c r="BC7" s="24"/>
      <c r="BD7" s="24" t="n">
        <v>2400</v>
      </c>
      <c r="BE7" s="24" t="n">
        <v>24.724</v>
      </c>
      <c r="BF7" s="24" t="n">
        <v>6</v>
      </c>
      <c r="BG7" s="24"/>
      <c r="BH7" s="24"/>
      <c r="BI7" s="24" t="n">
        <v>6.92</v>
      </c>
      <c r="BJ7" s="24" t="n">
        <v>13.2</v>
      </c>
      <c r="BK7" s="24" t="n">
        <v>1.58</v>
      </c>
      <c r="BL7" s="24" t="n">
        <v>11</v>
      </c>
      <c r="BM7" s="24" t="n">
        <v>76</v>
      </c>
      <c r="BN7" s="24" t="s">
        <v>4649</v>
      </c>
      <c r="BO7" s="24" t="s">
        <v>1735</v>
      </c>
      <c r="BP7" s="24" t="s">
        <v>4663</v>
      </c>
      <c r="BQ7" s="24" t="s">
        <v>1737</v>
      </c>
      <c r="BR7" s="24" t="s">
        <v>1994</v>
      </c>
      <c r="BS7" s="25" t="s">
        <v>4664</v>
      </c>
      <c r="BT7" s="24" t="s">
        <v>1030</v>
      </c>
      <c r="BU7" s="24" t="s">
        <v>4652</v>
      </c>
    </row>
    <row r="8" customFormat="false" ht="15" hidden="false" customHeight="true" outlineLevel="0" collapsed="false">
      <c r="A8" s="24" t="s">
        <v>1011</v>
      </c>
      <c r="B8" s="24" t="s">
        <v>1011</v>
      </c>
      <c r="C8" s="24" t="s">
        <v>1012</v>
      </c>
      <c r="D8" s="24" t="n">
        <v>2022</v>
      </c>
      <c r="E8" s="24" t="s">
        <v>813</v>
      </c>
      <c r="F8" s="24" t="s">
        <v>1015</v>
      </c>
      <c r="G8" s="24" t="s">
        <v>1016</v>
      </c>
      <c r="H8" s="24" t="n">
        <v>24.724</v>
      </c>
      <c r="I8" s="24" t="n">
        <v>90.437</v>
      </c>
      <c r="J8" s="24" t="s">
        <v>83</v>
      </c>
      <c r="K8" s="24" t="s">
        <v>4172</v>
      </c>
      <c r="L8" s="24" t="s">
        <v>84</v>
      </c>
      <c r="M8" s="24" t="s">
        <v>85</v>
      </c>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t="n">
        <f aca="false">2.47*1000</f>
        <v>2470</v>
      </c>
      <c r="AQ8" s="24"/>
      <c r="AR8" s="24" t="n">
        <f aca="false">1.4*1000</f>
        <v>1400</v>
      </c>
      <c r="AS8" s="24"/>
      <c r="AT8" s="24"/>
      <c r="AU8" s="24"/>
      <c r="AV8" s="24"/>
      <c r="AW8" s="24"/>
      <c r="AX8" s="24" t="n">
        <v>2</v>
      </c>
      <c r="AY8" s="24" t="n">
        <v>3</v>
      </c>
      <c r="AZ8" s="24" t="n">
        <f aca="false">IF(AND(N(AX8)&gt;0,N(AY8)&gt;0),SQRT(2*AX8/AY8),"")</f>
        <v>1.15470053837925</v>
      </c>
      <c r="BA8" s="24" t="n">
        <v>13</v>
      </c>
      <c r="BB8" s="24"/>
      <c r="BC8" s="24"/>
      <c r="BD8" s="24" t="n">
        <v>2400</v>
      </c>
      <c r="BE8" s="24" t="n">
        <v>24.724</v>
      </c>
      <c r="BF8" s="24" t="n">
        <v>7</v>
      </c>
      <c r="BG8" s="24"/>
      <c r="BH8" s="24"/>
      <c r="BI8" s="24" t="n">
        <v>6.92</v>
      </c>
      <c r="BJ8" s="24" t="n">
        <v>13.2</v>
      </c>
      <c r="BK8" s="24" t="n">
        <v>1.58</v>
      </c>
      <c r="BL8" s="24" t="n">
        <v>11</v>
      </c>
      <c r="BM8" s="24" t="n">
        <v>76</v>
      </c>
      <c r="BN8" s="24" t="s">
        <v>4649</v>
      </c>
      <c r="BO8" s="24" t="s">
        <v>1735</v>
      </c>
      <c r="BP8" s="24" t="s">
        <v>4665</v>
      </c>
      <c r="BQ8" s="24" t="s">
        <v>1737</v>
      </c>
      <c r="BR8" s="24" t="s">
        <v>1994</v>
      </c>
      <c r="BS8" s="25" t="s">
        <v>4666</v>
      </c>
      <c r="BT8" s="24" t="s">
        <v>1030</v>
      </c>
      <c r="BU8" s="24" t="s">
        <v>4652</v>
      </c>
    </row>
    <row r="9" customFormat="false" ht="14.25" hidden="false" customHeight="false" outlineLevel="0" collapsed="false">
      <c r="A9" s="24" t="s">
        <v>1011</v>
      </c>
      <c r="B9" s="24" t="s">
        <v>1011</v>
      </c>
      <c r="C9" s="24" t="s">
        <v>1012</v>
      </c>
      <c r="D9" s="24" t="n">
        <v>2022</v>
      </c>
      <c r="E9" s="24" t="s">
        <v>813</v>
      </c>
      <c r="F9" s="24" t="s">
        <v>1015</v>
      </c>
      <c r="G9" s="24" t="s">
        <v>1016</v>
      </c>
      <c r="H9" s="24" t="n">
        <v>24.724</v>
      </c>
      <c r="I9" s="24" t="n">
        <v>90.437</v>
      </c>
      <c r="J9" s="24" t="s">
        <v>83</v>
      </c>
      <c r="K9" s="24" t="s">
        <v>4190</v>
      </c>
      <c r="L9" s="24" t="s">
        <v>84</v>
      </c>
      <c r="M9" s="24" t="s">
        <v>85</v>
      </c>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t="n">
        <f aca="false">2.53*1000</f>
        <v>2530</v>
      </c>
      <c r="AQ9" s="24"/>
      <c r="AR9" s="24" t="n">
        <f aca="false">1.61*1000</f>
        <v>1610</v>
      </c>
      <c r="AS9" s="24"/>
      <c r="AT9" s="24"/>
      <c r="AU9" s="24"/>
      <c r="AV9" s="24"/>
      <c r="AW9" s="24"/>
      <c r="AX9" s="24" t="n">
        <v>2</v>
      </c>
      <c r="AY9" s="24" t="n">
        <v>3</v>
      </c>
      <c r="AZ9" s="24" t="n">
        <f aca="false">IF(AND(N(AX9)&gt;0,N(AY9)&gt;0),SQRT(2*AX9/AY9),"")</f>
        <v>1.15470053837925</v>
      </c>
      <c r="BA9" s="24" t="n">
        <v>13</v>
      </c>
      <c r="BB9" s="24"/>
      <c r="BC9" s="24"/>
      <c r="BD9" s="24" t="n">
        <v>2400</v>
      </c>
      <c r="BE9" s="24" t="n">
        <v>24.724</v>
      </c>
      <c r="BF9" s="24" t="n">
        <v>8</v>
      </c>
      <c r="BG9" s="24"/>
      <c r="BH9" s="24"/>
      <c r="BI9" s="24" t="n">
        <v>6.92</v>
      </c>
      <c r="BJ9" s="24" t="n">
        <v>13.2</v>
      </c>
      <c r="BK9" s="24" t="n">
        <v>1.58</v>
      </c>
      <c r="BL9" s="24" t="n">
        <v>11</v>
      </c>
      <c r="BM9" s="24" t="n">
        <v>76</v>
      </c>
      <c r="BN9" s="24" t="s">
        <v>4649</v>
      </c>
      <c r="BO9" s="24" t="s">
        <v>1735</v>
      </c>
      <c r="BP9" s="24" t="s">
        <v>4667</v>
      </c>
      <c r="BQ9" s="24" t="s">
        <v>1737</v>
      </c>
      <c r="BR9" s="24" t="s">
        <v>1994</v>
      </c>
      <c r="BS9" s="25" t="s">
        <v>4668</v>
      </c>
      <c r="BT9" s="24" t="s">
        <v>1030</v>
      </c>
      <c r="BU9" s="24" t="s">
        <v>4652</v>
      </c>
    </row>
    <row r="10" customFormat="false" ht="14.25" hidden="false" customHeight="false" outlineLevel="0" collapsed="false">
      <c r="A10" s="24" t="s">
        <v>1011</v>
      </c>
      <c r="B10" s="24" t="s">
        <v>1011</v>
      </c>
      <c r="C10" s="24" t="s">
        <v>1012</v>
      </c>
      <c r="D10" s="24" t="n">
        <v>2022</v>
      </c>
      <c r="E10" s="24" t="s">
        <v>813</v>
      </c>
      <c r="F10" s="24" t="s">
        <v>1015</v>
      </c>
      <c r="G10" s="24" t="s">
        <v>1016</v>
      </c>
      <c r="H10" s="24" t="n">
        <v>24.724</v>
      </c>
      <c r="I10" s="24" t="n">
        <v>90.437</v>
      </c>
      <c r="J10" s="24" t="s">
        <v>83</v>
      </c>
      <c r="K10" s="24" t="s">
        <v>4201</v>
      </c>
      <c r="L10" s="24" t="s">
        <v>84</v>
      </c>
      <c r="M10" s="24" t="s">
        <v>85</v>
      </c>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t="n">
        <f aca="false">2.54*1000</f>
        <v>2540</v>
      </c>
      <c r="AQ10" s="24"/>
      <c r="AR10" s="24" t="n">
        <f aca="false">1.18*1000</f>
        <v>1180</v>
      </c>
      <c r="AS10" s="24"/>
      <c r="AT10" s="24"/>
      <c r="AU10" s="24"/>
      <c r="AV10" s="24"/>
      <c r="AW10" s="24"/>
      <c r="AX10" s="24" t="n">
        <v>2</v>
      </c>
      <c r="AY10" s="24" t="n">
        <v>3</v>
      </c>
      <c r="AZ10" s="24" t="n">
        <f aca="false">IF(AND(N(AX10)&gt;0,N(AY10)&gt;0),SQRT(2*AX10/AY10),"")</f>
        <v>1.15470053837925</v>
      </c>
      <c r="BA10" s="24" t="n">
        <v>13</v>
      </c>
      <c r="BB10" s="24"/>
      <c r="BC10" s="24"/>
      <c r="BD10" s="24" t="n">
        <v>2400</v>
      </c>
      <c r="BE10" s="24" t="n">
        <v>24.724</v>
      </c>
      <c r="BF10" s="24" t="n">
        <v>9</v>
      </c>
      <c r="BG10" s="24"/>
      <c r="BH10" s="24"/>
      <c r="BI10" s="24" t="n">
        <v>6.92</v>
      </c>
      <c r="BJ10" s="24" t="n">
        <v>13.2</v>
      </c>
      <c r="BK10" s="24" t="n">
        <v>1.58</v>
      </c>
      <c r="BL10" s="24" t="n">
        <v>11</v>
      </c>
      <c r="BM10" s="24" t="n">
        <v>76</v>
      </c>
      <c r="BN10" s="24" t="s">
        <v>4649</v>
      </c>
      <c r="BO10" s="24" t="s">
        <v>1735</v>
      </c>
      <c r="BP10" s="24" t="s">
        <v>4669</v>
      </c>
      <c r="BQ10" s="24" t="s">
        <v>1737</v>
      </c>
      <c r="BR10" s="24" t="s">
        <v>1994</v>
      </c>
      <c r="BS10" s="25" t="s">
        <v>4670</v>
      </c>
      <c r="BT10" s="24" t="s">
        <v>1030</v>
      </c>
      <c r="BU10" s="24" t="s">
        <v>4652</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4671</v>
      </c>
      <c r="O1" s="27" t="s">
        <v>4672</v>
      </c>
      <c r="P1" s="27" t="s">
        <v>4673</v>
      </c>
      <c r="Q1" s="27" t="s">
        <v>4674</v>
      </c>
      <c r="R1" s="27" t="s">
        <v>4675</v>
      </c>
      <c r="S1" s="27" t="s">
        <v>4676</v>
      </c>
      <c r="T1" s="27" t="s">
        <v>4677</v>
      </c>
      <c r="U1" s="27" t="s">
        <v>4678</v>
      </c>
      <c r="V1" s="30" t="s">
        <v>4679</v>
      </c>
      <c r="W1" s="30" t="s">
        <v>4680</v>
      </c>
      <c r="X1" s="30" t="s">
        <v>4681</v>
      </c>
      <c r="Y1" s="30" t="s">
        <v>4682</v>
      </c>
      <c r="Z1" s="27" t="s">
        <v>4683</v>
      </c>
      <c r="AA1" s="27" t="s">
        <v>4684</v>
      </c>
      <c r="AB1" s="27" t="s">
        <v>4685</v>
      </c>
      <c r="AC1" s="27" t="s">
        <v>4686</v>
      </c>
      <c r="AD1" s="27" t="s">
        <v>4687</v>
      </c>
      <c r="AE1" s="27" t="s">
        <v>4688</v>
      </c>
      <c r="AF1" s="27" t="s">
        <v>4689</v>
      </c>
      <c r="AG1" s="27" t="s">
        <v>4690</v>
      </c>
      <c r="AH1" s="30" t="s">
        <v>4691</v>
      </c>
      <c r="AI1" s="30" t="s">
        <v>4692</v>
      </c>
      <c r="AJ1" s="30" t="s">
        <v>4693</v>
      </c>
      <c r="AK1" s="30" t="s">
        <v>4694</v>
      </c>
      <c r="AL1" s="27" t="s">
        <v>4695</v>
      </c>
      <c r="AM1" s="27" t="s">
        <v>4696</v>
      </c>
      <c r="AN1" s="27" t="s">
        <v>4697</v>
      </c>
      <c r="AO1" s="27" t="s">
        <v>4698</v>
      </c>
      <c r="AP1" s="27" t="s">
        <v>4699</v>
      </c>
      <c r="AQ1" s="27" t="s">
        <v>4700</v>
      </c>
      <c r="AR1" s="27" t="s">
        <v>4701</v>
      </c>
      <c r="AS1" s="27" t="s">
        <v>4702</v>
      </c>
      <c r="AT1" s="30" t="s">
        <v>4703</v>
      </c>
      <c r="AU1" s="30" t="s">
        <v>4704</v>
      </c>
      <c r="AV1" s="30" t="s">
        <v>4705</v>
      </c>
      <c r="AW1" s="30" t="s">
        <v>4706</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1336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4707</v>
      </c>
      <c r="Q1" s="27" t="s">
        <v>4708</v>
      </c>
      <c r="R1" s="27" t="s">
        <v>4709</v>
      </c>
      <c r="S1" s="27" t="s">
        <v>4710</v>
      </c>
      <c r="T1" s="27" t="s">
        <v>4711</v>
      </c>
      <c r="U1" s="27" t="s">
        <v>4712</v>
      </c>
      <c r="V1" s="27" t="s">
        <v>4713</v>
      </c>
      <c r="W1" s="27" t="s">
        <v>4714</v>
      </c>
      <c r="X1" s="30" t="s">
        <v>4715</v>
      </c>
      <c r="Y1" s="30" t="s">
        <v>4716</v>
      </c>
      <c r="Z1" s="30" t="s">
        <v>4717</v>
      </c>
      <c r="AA1" s="30" t="s">
        <v>4718</v>
      </c>
      <c r="AB1" s="28" t="s">
        <v>35</v>
      </c>
      <c r="AC1" s="28" t="s">
        <v>33</v>
      </c>
      <c r="AD1" s="28" t="s">
        <v>37</v>
      </c>
      <c r="AE1" s="21" t="s">
        <v>73</v>
      </c>
      <c r="AF1" s="21" t="s">
        <v>796</v>
      </c>
      <c r="AG1" s="21" t="s">
        <v>797</v>
      </c>
      <c r="AH1" s="21" t="s">
        <v>74</v>
      </c>
      <c r="AI1" s="21" t="s">
        <v>1659</v>
      </c>
      <c r="AJ1" s="21" t="s">
        <v>1660</v>
      </c>
      <c r="AK1" s="21" t="s">
        <v>798</v>
      </c>
      <c r="AL1" s="21" t="s">
        <v>799</v>
      </c>
      <c r="AM1" s="21" t="s">
        <v>75</v>
      </c>
      <c r="AN1" s="21" t="s">
        <v>794</v>
      </c>
      <c r="AO1" s="21" t="s">
        <v>795</v>
      </c>
      <c r="AP1" s="21" t="s">
        <v>792</v>
      </c>
      <c r="AQ1" s="21" t="s">
        <v>793</v>
      </c>
      <c r="AR1" s="22" t="s">
        <v>76</v>
      </c>
      <c r="AS1" s="22" t="s">
        <v>77</v>
      </c>
      <c r="AT1" s="22" t="s">
        <v>1661</v>
      </c>
      <c r="AU1" s="22" t="s">
        <v>1662</v>
      </c>
      <c r="AV1" s="22" t="s">
        <v>78</v>
      </c>
      <c r="AW1" s="22" t="s">
        <v>811</v>
      </c>
      <c r="AX1" s="22" t="s">
        <v>1663</v>
      </c>
      <c r="AY1" s="22" t="s">
        <v>1664</v>
      </c>
      <c r="BA1" s="31" t="s">
        <v>1665</v>
      </c>
    </row>
    <row r="2" customFormat="false" ht="15" hidden="false" customHeight="true" outlineLevel="0" collapsed="false">
      <c r="A2" s="24" t="s">
        <v>1034</v>
      </c>
      <c r="B2" s="24" t="s">
        <v>1034</v>
      </c>
      <c r="C2" s="24" t="s">
        <v>1035</v>
      </c>
      <c r="D2" s="24" t="n">
        <v>2022</v>
      </c>
      <c r="E2" s="24" t="s">
        <v>80</v>
      </c>
      <c r="F2" s="24" t="s">
        <v>912</v>
      </c>
      <c r="G2" s="24" t="s">
        <v>913</v>
      </c>
      <c r="H2" s="24" t="n">
        <v>29.706</v>
      </c>
      <c r="I2" s="24" t="n">
        <v>76.956</v>
      </c>
      <c r="J2" s="24" t="s">
        <v>83</v>
      </c>
      <c r="K2" s="24" t="n">
        <v>2019</v>
      </c>
      <c r="L2" s="24" t="s">
        <v>84</v>
      </c>
      <c r="M2" s="24" t="s">
        <v>85</v>
      </c>
      <c r="N2" s="24" t="s">
        <v>86</v>
      </c>
      <c r="O2" s="24" t="s">
        <v>1720</v>
      </c>
      <c r="P2" s="24" t="n">
        <v>0.79</v>
      </c>
      <c r="Q2" s="24" t="n">
        <v>0.65</v>
      </c>
      <c r="R2" s="24"/>
      <c r="S2" s="24"/>
      <c r="T2" s="24"/>
      <c r="U2" s="24"/>
      <c r="V2" s="24"/>
      <c r="W2" s="24"/>
      <c r="X2" s="24" t="n">
        <v>0.75</v>
      </c>
      <c r="Y2" s="24"/>
      <c r="Z2" s="24"/>
      <c r="AA2" s="24"/>
      <c r="AB2" s="24" t="n">
        <v>2</v>
      </c>
      <c r="AC2" s="24" t="n">
        <v>3</v>
      </c>
      <c r="AD2" s="24" t="n">
        <f aca="false">IF(AND(N(AB2)&gt;0,N(AC2)&gt;0),SQRT(2*AB2/AC2),"")</f>
        <v>1.15470053837925</v>
      </c>
      <c r="AE2" s="24"/>
      <c r="AF2" s="24"/>
      <c r="AG2" s="24"/>
      <c r="AH2" s="24" t="n">
        <v>670</v>
      </c>
      <c r="AI2" s="24" t="n">
        <v>29.706</v>
      </c>
      <c r="AJ2" s="24" t="n">
        <v>10</v>
      </c>
      <c r="AK2" s="24"/>
      <c r="AL2" s="24"/>
      <c r="AM2" s="24"/>
      <c r="AN2" s="24"/>
      <c r="AO2" s="24"/>
      <c r="AP2" s="24"/>
      <c r="AQ2" s="24"/>
      <c r="AR2" s="24" t="s">
        <v>4719</v>
      </c>
      <c r="AS2" s="24" t="s">
        <v>1742</v>
      </c>
      <c r="AT2" s="24" t="s">
        <v>1743</v>
      </c>
      <c r="AU2" s="24" t="s">
        <v>1744</v>
      </c>
      <c r="AV2" s="24" t="s">
        <v>1738</v>
      </c>
      <c r="AW2" s="25" t="s">
        <v>4720</v>
      </c>
      <c r="AX2" s="24" t="s">
        <v>1046</v>
      </c>
      <c r="AY2" s="24" t="s">
        <v>4721</v>
      </c>
      <c r="BA2" s="36" t="s">
        <v>1338</v>
      </c>
    </row>
    <row r="3" customFormat="false" ht="14.25" hidden="false" customHeight="false" outlineLevel="0" collapsed="false">
      <c r="A3" s="24" t="s">
        <v>1034</v>
      </c>
      <c r="B3" s="24" t="s">
        <v>1034</v>
      </c>
      <c r="C3" s="24" t="s">
        <v>1035</v>
      </c>
      <c r="D3" s="24" t="n">
        <v>2022</v>
      </c>
      <c r="E3" s="24" t="s">
        <v>80</v>
      </c>
      <c r="F3" s="24" t="s">
        <v>912</v>
      </c>
      <c r="G3" s="24" t="s">
        <v>913</v>
      </c>
      <c r="H3" s="24" t="n">
        <v>29.706</v>
      </c>
      <c r="I3" s="24" t="n">
        <v>76.956</v>
      </c>
      <c r="J3" s="24" t="s">
        <v>83</v>
      </c>
      <c r="K3" s="24" t="n">
        <v>2019</v>
      </c>
      <c r="L3" s="24" t="s">
        <v>84</v>
      </c>
      <c r="M3" s="24" t="s">
        <v>85</v>
      </c>
      <c r="N3" s="24" t="s">
        <v>86</v>
      </c>
      <c r="O3" s="24" t="s">
        <v>1747</v>
      </c>
      <c r="P3" s="24" t="n">
        <v>0.96</v>
      </c>
      <c r="Q3" s="24" t="n">
        <v>0.69</v>
      </c>
      <c r="R3" s="24"/>
      <c r="S3" s="24"/>
      <c r="T3" s="24"/>
      <c r="U3" s="24"/>
      <c r="V3" s="24"/>
      <c r="W3" s="24"/>
      <c r="X3" s="24" t="n">
        <v>0.74</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4719</v>
      </c>
      <c r="AS3" s="24" t="s">
        <v>1742</v>
      </c>
      <c r="AT3" s="24" t="s">
        <v>1743</v>
      </c>
      <c r="AU3" s="24" t="s">
        <v>1744</v>
      </c>
      <c r="AV3" s="24" t="s">
        <v>1738</v>
      </c>
      <c r="AW3" s="25" t="s">
        <v>4722</v>
      </c>
      <c r="AX3" s="24" t="s">
        <v>1046</v>
      </c>
      <c r="AY3" s="24" t="s">
        <v>4721</v>
      </c>
    </row>
    <row r="4" customFormat="false" ht="14.25" hidden="false" customHeight="false" outlineLevel="0" collapsed="false">
      <c r="A4" s="24" t="s">
        <v>1034</v>
      </c>
      <c r="B4" s="24" t="s">
        <v>1034</v>
      </c>
      <c r="C4" s="24" t="s">
        <v>1035</v>
      </c>
      <c r="D4" s="24" t="n">
        <v>2022</v>
      </c>
      <c r="E4" s="24" t="s">
        <v>80</v>
      </c>
      <c r="F4" s="24" t="s">
        <v>912</v>
      </c>
      <c r="G4" s="24" t="s">
        <v>913</v>
      </c>
      <c r="H4" s="24" t="n">
        <v>29.706</v>
      </c>
      <c r="I4" s="24" t="n">
        <v>76.956</v>
      </c>
      <c r="J4" s="24" t="s">
        <v>83</v>
      </c>
      <c r="K4" s="24" t="n">
        <v>2019</v>
      </c>
      <c r="L4" s="24" t="s">
        <v>84</v>
      </c>
      <c r="M4" s="24" t="s">
        <v>85</v>
      </c>
      <c r="N4" s="24" t="s">
        <v>1673</v>
      </c>
      <c r="O4" s="24" t="s">
        <v>1674</v>
      </c>
      <c r="P4" s="24" t="n">
        <v>0.67</v>
      </c>
      <c r="Q4" s="24" t="n">
        <v>0.55</v>
      </c>
      <c r="R4" s="24"/>
      <c r="S4" s="24"/>
      <c r="T4" s="24"/>
      <c r="U4" s="24"/>
      <c r="V4" s="24"/>
      <c r="W4" s="24"/>
      <c r="X4" s="24" t="n">
        <v>0.84</v>
      </c>
      <c r="Y4" s="24"/>
      <c r="Z4" s="24"/>
      <c r="AA4" s="24"/>
      <c r="AB4" s="24" t="n">
        <v>1</v>
      </c>
      <c r="AC4" s="24" t="n">
        <v>3</v>
      </c>
      <c r="AD4" s="24" t="n">
        <f aca="false">IF(AND(N(AB4)&gt;0,N(AC4)&gt;0),SQRT(2*AB4/AC4),"")</f>
        <v>0.816496580927726</v>
      </c>
      <c r="AE4" s="24"/>
      <c r="AF4" s="24"/>
      <c r="AG4" s="24"/>
      <c r="AH4" s="24" t="n">
        <v>670</v>
      </c>
      <c r="AI4" s="24" t="n">
        <v>29.706</v>
      </c>
      <c r="AJ4" s="24" t="n">
        <v>10</v>
      </c>
      <c r="AK4" s="24"/>
      <c r="AL4" s="24"/>
      <c r="AM4" s="24"/>
      <c r="AN4" s="24"/>
      <c r="AO4" s="24"/>
      <c r="AP4" s="24"/>
      <c r="AQ4" s="24"/>
      <c r="AR4" s="24" t="s">
        <v>4719</v>
      </c>
      <c r="AS4" s="24" t="s">
        <v>1742</v>
      </c>
      <c r="AT4" s="24" t="s">
        <v>1743</v>
      </c>
      <c r="AU4" s="24" t="s">
        <v>1744</v>
      </c>
      <c r="AV4" s="24" t="s">
        <v>1738</v>
      </c>
      <c r="AW4" s="25" t="s">
        <v>4723</v>
      </c>
      <c r="AX4" s="24" t="s">
        <v>1046</v>
      </c>
      <c r="AY4" s="24" t="s">
        <v>4721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4724</v>
      </c>
      <c r="O1" s="27" t="s">
        <v>4725</v>
      </c>
      <c r="P1" s="27" t="s">
        <v>4726</v>
      </c>
      <c r="Q1" s="27" t="s">
        <v>4727</v>
      </c>
      <c r="R1" s="27" t="s">
        <v>4728</v>
      </c>
      <c r="S1" s="27" t="s">
        <v>4729</v>
      </c>
      <c r="T1" s="27" t="s">
        <v>4730</v>
      </c>
      <c r="U1" s="27" t="s">
        <v>4731</v>
      </c>
      <c r="V1" s="30" t="s">
        <v>4732</v>
      </c>
      <c r="W1" s="30" t="s">
        <v>4733</v>
      </c>
      <c r="X1" s="30" t="s">
        <v>4734</v>
      </c>
      <c r="Y1" s="30" t="s">
        <v>4735</v>
      </c>
      <c r="Z1" s="27" t="s">
        <v>4736</v>
      </c>
      <c r="AA1" s="27" t="s">
        <v>4737</v>
      </c>
      <c r="AB1" s="27" t="s">
        <v>4738</v>
      </c>
      <c r="AC1" s="27" t="s">
        <v>4739</v>
      </c>
      <c r="AD1" s="27" t="s">
        <v>4740</v>
      </c>
      <c r="AE1" s="27" t="s">
        <v>4741</v>
      </c>
      <c r="AF1" s="27" t="s">
        <v>4742</v>
      </c>
      <c r="AG1" s="27" t="s">
        <v>4743</v>
      </c>
      <c r="AH1" s="30" t="s">
        <v>4744</v>
      </c>
      <c r="AI1" s="30" t="s">
        <v>4745</v>
      </c>
      <c r="AJ1" s="30" t="s">
        <v>4746</v>
      </c>
      <c r="AK1" s="30" t="s">
        <v>4747</v>
      </c>
      <c r="AL1" s="27" t="s">
        <v>4748</v>
      </c>
      <c r="AM1" s="27" t="s">
        <v>4749</v>
      </c>
      <c r="AN1" s="27" t="s">
        <v>4750</v>
      </c>
      <c r="AO1" s="27" t="s">
        <v>4751</v>
      </c>
      <c r="AP1" s="27" t="s">
        <v>4752</v>
      </c>
      <c r="AQ1" s="27" t="s">
        <v>4753</v>
      </c>
      <c r="AR1" s="27" t="s">
        <v>4754</v>
      </c>
      <c r="AS1" s="27" t="s">
        <v>4755</v>
      </c>
      <c r="AT1" s="30" t="s">
        <v>4756</v>
      </c>
      <c r="AU1" s="30" t="s">
        <v>4757</v>
      </c>
      <c r="AV1" s="30" t="s">
        <v>4758</v>
      </c>
      <c r="AW1" s="30" t="s">
        <v>4759</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1340</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4760</v>
      </c>
      <c r="O1" s="27" t="s">
        <v>4761</v>
      </c>
      <c r="P1" s="27" t="s">
        <v>4762</v>
      </c>
      <c r="Q1" s="27" t="s">
        <v>4763</v>
      </c>
      <c r="R1" s="27" t="s">
        <v>4764</v>
      </c>
      <c r="S1" s="27" t="s">
        <v>4765</v>
      </c>
      <c r="T1" s="27" t="s">
        <v>4766</v>
      </c>
      <c r="U1" s="27" t="s">
        <v>4767</v>
      </c>
      <c r="V1" s="30" t="s">
        <v>4768</v>
      </c>
      <c r="W1" s="30" t="s">
        <v>4769</v>
      </c>
      <c r="X1" s="30" t="s">
        <v>4770</v>
      </c>
      <c r="Y1" s="30" t="s">
        <v>4771</v>
      </c>
      <c r="Z1" s="27" t="s">
        <v>4772</v>
      </c>
      <c r="AA1" s="27" t="s">
        <v>4773</v>
      </c>
      <c r="AB1" s="27" t="s">
        <v>4774</v>
      </c>
      <c r="AC1" s="27" t="s">
        <v>4775</v>
      </c>
      <c r="AD1" s="27" t="s">
        <v>4776</v>
      </c>
      <c r="AE1" s="27" t="s">
        <v>4777</v>
      </c>
      <c r="AF1" s="27" t="s">
        <v>4778</v>
      </c>
      <c r="AG1" s="27" t="s">
        <v>4779</v>
      </c>
      <c r="AH1" s="30" t="s">
        <v>4780</v>
      </c>
      <c r="AI1" s="30" t="s">
        <v>4781</v>
      </c>
      <c r="AJ1" s="30" t="s">
        <v>4782</v>
      </c>
      <c r="AK1" s="30" t="s">
        <v>4783</v>
      </c>
      <c r="AL1" s="27" t="s">
        <v>4784</v>
      </c>
      <c r="AM1" s="27" t="s">
        <v>4785</v>
      </c>
      <c r="AN1" s="27" t="s">
        <v>4786</v>
      </c>
      <c r="AO1" s="27" t="s">
        <v>4787</v>
      </c>
      <c r="AP1" s="27" t="s">
        <v>4788</v>
      </c>
      <c r="AQ1" s="27" t="s">
        <v>4789</v>
      </c>
      <c r="AR1" s="27" t="s">
        <v>4790</v>
      </c>
      <c r="AS1" s="27" t="s">
        <v>4791</v>
      </c>
      <c r="AT1" s="30" t="s">
        <v>4792</v>
      </c>
      <c r="AU1" s="30" t="s">
        <v>4793</v>
      </c>
      <c r="AV1" s="30" t="s">
        <v>4794</v>
      </c>
      <c r="AW1" s="30" t="s">
        <v>4795</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1342</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4796</v>
      </c>
      <c r="O1" s="27" t="s">
        <v>4797</v>
      </c>
      <c r="P1" s="27" t="s">
        <v>4798</v>
      </c>
      <c r="Q1" s="27" t="s">
        <v>4799</v>
      </c>
      <c r="R1" s="27" t="s">
        <v>4800</v>
      </c>
      <c r="S1" s="27" t="s">
        <v>4801</v>
      </c>
      <c r="T1" s="27" t="s">
        <v>4802</v>
      </c>
      <c r="U1" s="27" t="s">
        <v>4803</v>
      </c>
      <c r="V1" s="30" t="s">
        <v>4804</v>
      </c>
      <c r="W1" s="30" t="s">
        <v>4805</v>
      </c>
      <c r="X1" s="30" t="s">
        <v>4806</v>
      </c>
      <c r="Y1" s="30" t="s">
        <v>4807</v>
      </c>
      <c r="Z1" s="27" t="s">
        <v>4808</v>
      </c>
      <c r="AA1" s="27" t="s">
        <v>4809</v>
      </c>
      <c r="AB1" s="27" t="s">
        <v>4810</v>
      </c>
      <c r="AC1" s="27" t="s">
        <v>4811</v>
      </c>
      <c r="AD1" s="27" t="s">
        <v>4812</v>
      </c>
      <c r="AE1" s="27" t="s">
        <v>4813</v>
      </c>
      <c r="AF1" s="27" t="s">
        <v>4814</v>
      </c>
      <c r="AG1" s="27" t="s">
        <v>4815</v>
      </c>
      <c r="AH1" s="30" t="s">
        <v>4816</v>
      </c>
      <c r="AI1" s="30" t="s">
        <v>4817</v>
      </c>
      <c r="AJ1" s="30" t="s">
        <v>4818</v>
      </c>
      <c r="AK1" s="30" t="s">
        <v>4819</v>
      </c>
      <c r="AL1" s="27" t="s">
        <v>4820</v>
      </c>
      <c r="AM1" s="27" t="s">
        <v>4821</v>
      </c>
      <c r="AN1" s="27" t="s">
        <v>4822</v>
      </c>
      <c r="AO1" s="27" t="s">
        <v>4823</v>
      </c>
      <c r="AP1" s="27" t="s">
        <v>4824</v>
      </c>
      <c r="AQ1" s="27" t="s">
        <v>4825</v>
      </c>
      <c r="AR1" s="27" t="s">
        <v>4826</v>
      </c>
      <c r="AS1" s="27" t="s">
        <v>4827</v>
      </c>
      <c r="AT1" s="30" t="s">
        <v>4828</v>
      </c>
      <c r="AU1" s="30" t="s">
        <v>4829</v>
      </c>
      <c r="AV1" s="30" t="s">
        <v>4830</v>
      </c>
      <c r="AW1" s="30" t="s">
        <v>4831</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1344</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4832</v>
      </c>
      <c r="O1" s="27" t="s">
        <v>4833</v>
      </c>
      <c r="P1" s="27" t="s">
        <v>4834</v>
      </c>
      <c r="Q1" s="27" t="s">
        <v>4835</v>
      </c>
      <c r="R1" s="27" t="s">
        <v>4836</v>
      </c>
      <c r="S1" s="27" t="s">
        <v>4837</v>
      </c>
      <c r="T1" s="27" t="s">
        <v>4838</v>
      </c>
      <c r="U1" s="27" t="s">
        <v>4839</v>
      </c>
      <c r="V1" s="30" t="s">
        <v>4840</v>
      </c>
      <c r="W1" s="30" t="s">
        <v>4841</v>
      </c>
      <c r="X1" s="30" t="s">
        <v>4842</v>
      </c>
      <c r="Y1" s="30" t="s">
        <v>4843</v>
      </c>
      <c r="Z1" s="27" t="s">
        <v>4844</v>
      </c>
      <c r="AA1" s="27" t="s">
        <v>4845</v>
      </c>
      <c r="AB1" s="27" t="s">
        <v>4846</v>
      </c>
      <c r="AC1" s="27" t="s">
        <v>4847</v>
      </c>
      <c r="AD1" s="27" t="s">
        <v>4848</v>
      </c>
      <c r="AE1" s="27" t="s">
        <v>4849</v>
      </c>
      <c r="AF1" s="27" t="s">
        <v>4850</v>
      </c>
      <c r="AG1" s="27" t="s">
        <v>4851</v>
      </c>
      <c r="AH1" s="30" t="s">
        <v>4852</v>
      </c>
      <c r="AI1" s="30" t="s">
        <v>4853</v>
      </c>
      <c r="AJ1" s="30" t="s">
        <v>4854</v>
      </c>
      <c r="AK1" s="30" t="s">
        <v>4855</v>
      </c>
      <c r="AL1" s="27" t="s">
        <v>4856</v>
      </c>
      <c r="AM1" s="27" t="s">
        <v>4857</v>
      </c>
      <c r="AN1" s="27" t="s">
        <v>4858</v>
      </c>
      <c r="AO1" s="27" t="s">
        <v>4859</v>
      </c>
      <c r="AP1" s="27" t="s">
        <v>4860</v>
      </c>
      <c r="AQ1" s="27" t="s">
        <v>4861</v>
      </c>
      <c r="AR1" s="27" t="s">
        <v>4862</v>
      </c>
      <c r="AS1" s="27" t="s">
        <v>4863</v>
      </c>
      <c r="AT1" s="30" t="s">
        <v>4864</v>
      </c>
      <c r="AU1" s="30" t="s">
        <v>4865</v>
      </c>
      <c r="AV1" s="30" t="s">
        <v>4866</v>
      </c>
      <c r="AW1" s="30" t="s">
        <v>4867</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1346</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4868</v>
      </c>
      <c r="O1" s="27" t="s">
        <v>4869</v>
      </c>
      <c r="P1" s="27" t="s">
        <v>4870</v>
      </c>
      <c r="Q1" s="27" t="s">
        <v>4871</v>
      </c>
      <c r="R1" s="27" t="s">
        <v>4872</v>
      </c>
      <c r="S1" s="27" t="s">
        <v>4873</v>
      </c>
      <c r="T1" s="27" t="s">
        <v>4874</v>
      </c>
      <c r="U1" s="27" t="s">
        <v>4875</v>
      </c>
      <c r="V1" s="30" t="s">
        <v>4876</v>
      </c>
      <c r="W1" s="30" t="s">
        <v>4877</v>
      </c>
      <c r="X1" s="30" t="s">
        <v>4878</v>
      </c>
      <c r="Y1" s="30" t="s">
        <v>4879</v>
      </c>
      <c r="Z1" s="27" t="s">
        <v>4880</v>
      </c>
      <c r="AA1" s="27" t="s">
        <v>4881</v>
      </c>
      <c r="AB1" s="27" t="s">
        <v>4882</v>
      </c>
      <c r="AC1" s="27" t="s">
        <v>4883</v>
      </c>
      <c r="AD1" s="27" t="s">
        <v>4884</v>
      </c>
      <c r="AE1" s="27" t="s">
        <v>4885</v>
      </c>
      <c r="AF1" s="27" t="s">
        <v>4886</v>
      </c>
      <c r="AG1" s="27" t="s">
        <v>4887</v>
      </c>
      <c r="AH1" s="30" t="s">
        <v>4888</v>
      </c>
      <c r="AI1" s="30" t="s">
        <v>4889</v>
      </c>
      <c r="AJ1" s="30" t="s">
        <v>4890</v>
      </c>
      <c r="AK1" s="30" t="s">
        <v>4891</v>
      </c>
      <c r="AL1" s="27" t="s">
        <v>4892</v>
      </c>
      <c r="AM1" s="27" t="s">
        <v>4893</v>
      </c>
      <c r="AN1" s="27" t="s">
        <v>4894</v>
      </c>
      <c r="AO1" s="27" t="s">
        <v>4895</v>
      </c>
      <c r="AP1" s="27" t="s">
        <v>4896</v>
      </c>
      <c r="AQ1" s="27" t="s">
        <v>4897</v>
      </c>
      <c r="AR1" s="27" t="s">
        <v>4898</v>
      </c>
      <c r="AS1" s="27" t="s">
        <v>4899</v>
      </c>
      <c r="AT1" s="30" t="s">
        <v>4900</v>
      </c>
      <c r="AU1" s="30" t="s">
        <v>4901</v>
      </c>
      <c r="AV1" s="30" t="s">
        <v>4902</v>
      </c>
      <c r="AW1" s="30" t="s">
        <v>4903</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722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4904</v>
      </c>
      <c r="O1" s="27" t="s">
        <v>4905</v>
      </c>
      <c r="P1" s="27" t="s">
        <v>4906</v>
      </c>
      <c r="Q1" s="27" t="s">
        <v>4907</v>
      </c>
      <c r="R1" s="27" t="s">
        <v>4908</v>
      </c>
      <c r="S1" s="27" t="s">
        <v>4909</v>
      </c>
      <c r="T1" s="27" t="s">
        <v>4910</v>
      </c>
      <c r="U1" s="27" t="s">
        <v>4911</v>
      </c>
      <c r="V1" s="30" t="s">
        <v>4912</v>
      </c>
      <c r="W1" s="30" t="s">
        <v>4913</v>
      </c>
      <c r="X1" s="30" t="s">
        <v>4914</v>
      </c>
      <c r="Y1" s="30" t="s">
        <v>4915</v>
      </c>
      <c r="Z1" s="27" t="s">
        <v>4916</v>
      </c>
      <c r="AA1" s="27" t="s">
        <v>4917</v>
      </c>
      <c r="AB1" s="27" t="s">
        <v>4918</v>
      </c>
      <c r="AC1" s="27" t="s">
        <v>4919</v>
      </c>
      <c r="AD1" s="27" t="s">
        <v>4920</v>
      </c>
      <c r="AE1" s="27" t="s">
        <v>4921</v>
      </c>
      <c r="AF1" s="27" t="s">
        <v>4922</v>
      </c>
      <c r="AG1" s="27" t="s">
        <v>4923</v>
      </c>
      <c r="AH1" s="30" t="s">
        <v>4924</v>
      </c>
      <c r="AI1" s="30" t="s">
        <v>4925</v>
      </c>
      <c r="AJ1" s="30" t="s">
        <v>4926</v>
      </c>
      <c r="AK1" s="30" t="s">
        <v>4927</v>
      </c>
      <c r="AL1" s="27" t="s">
        <v>4928</v>
      </c>
      <c r="AM1" s="27" t="s">
        <v>4929</v>
      </c>
      <c r="AN1" s="27" t="s">
        <v>4930</v>
      </c>
      <c r="AO1" s="27" t="s">
        <v>4931</v>
      </c>
      <c r="AP1" s="27" t="s">
        <v>4932</v>
      </c>
      <c r="AQ1" s="27" t="s">
        <v>4933</v>
      </c>
      <c r="AR1" s="27" t="s">
        <v>4934</v>
      </c>
      <c r="AS1" s="27" t="s">
        <v>4935</v>
      </c>
      <c r="AT1" s="30" t="s">
        <v>4936</v>
      </c>
      <c r="AU1" s="30" t="s">
        <v>4937</v>
      </c>
      <c r="AV1" s="30" t="s">
        <v>4938</v>
      </c>
      <c r="AW1" s="30" t="s">
        <v>4939</v>
      </c>
      <c r="AX1" s="28" t="s">
        <v>35</v>
      </c>
      <c r="AY1" s="28" t="s">
        <v>33</v>
      </c>
      <c r="AZ1" s="28" t="s">
        <v>37</v>
      </c>
      <c r="BA1" s="21" t="s">
        <v>73</v>
      </c>
      <c r="BB1" s="21" t="s">
        <v>796</v>
      </c>
      <c r="BC1" s="21" t="s">
        <v>797</v>
      </c>
      <c r="BD1" s="21" t="s">
        <v>74</v>
      </c>
      <c r="BE1" s="21" t="s">
        <v>1659</v>
      </c>
      <c r="BF1" s="21" t="s">
        <v>1660</v>
      </c>
      <c r="BG1" s="21" t="s">
        <v>798</v>
      </c>
      <c r="BH1" s="21" t="s">
        <v>799</v>
      </c>
      <c r="BI1" s="21" t="s">
        <v>75</v>
      </c>
      <c r="BJ1" s="21" t="s">
        <v>794</v>
      </c>
      <c r="BK1" s="21" t="s">
        <v>795</v>
      </c>
      <c r="BL1" s="21" t="s">
        <v>792</v>
      </c>
      <c r="BM1" s="21" t="s">
        <v>793</v>
      </c>
      <c r="BN1" s="22" t="s">
        <v>76</v>
      </c>
      <c r="BO1" s="22" t="s">
        <v>77</v>
      </c>
      <c r="BP1" s="22" t="s">
        <v>1661</v>
      </c>
      <c r="BQ1" s="22" t="s">
        <v>1662</v>
      </c>
      <c r="BR1" s="22" t="s">
        <v>78</v>
      </c>
      <c r="BS1" s="22" t="s">
        <v>811</v>
      </c>
      <c r="BT1" s="22" t="s">
        <v>1663</v>
      </c>
      <c r="BU1" s="22" t="s">
        <v>1664</v>
      </c>
      <c r="BW1" s="31" t="s">
        <v>1665</v>
      </c>
    </row>
    <row r="2" customFormat="false" ht="15" hidden="false" customHeight="true" outlineLevel="0" collapsed="false">
      <c r="BW2" s="33" t="s">
        <v>1348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4940</v>
      </c>
      <c r="O1" s="27" t="s">
        <v>4941</v>
      </c>
      <c r="P1" s="27" t="s">
        <v>4942</v>
      </c>
      <c r="Q1" s="27" t="s">
        <v>4943</v>
      </c>
      <c r="R1" s="27" t="s">
        <v>4944</v>
      </c>
      <c r="S1" s="27" t="s">
        <v>4945</v>
      </c>
      <c r="T1" s="27" t="s">
        <v>4946</v>
      </c>
      <c r="U1" s="27" t="s">
        <v>4947</v>
      </c>
      <c r="V1" s="30" t="s">
        <v>4948</v>
      </c>
      <c r="W1" s="30" t="s">
        <v>4949</v>
      </c>
      <c r="X1" s="30" t="s">
        <v>4950</v>
      </c>
      <c r="Y1" s="30" t="s">
        <v>4951</v>
      </c>
      <c r="Z1" s="27" t="s">
        <v>4224</v>
      </c>
      <c r="AA1" s="28" t="s">
        <v>35</v>
      </c>
      <c r="AB1" s="28" t="s">
        <v>33</v>
      </c>
      <c r="AC1" s="28" t="s">
        <v>37</v>
      </c>
      <c r="AD1" s="21" t="s">
        <v>73</v>
      </c>
      <c r="AE1" s="21" t="s">
        <v>796</v>
      </c>
      <c r="AF1" s="21" t="s">
        <v>797</v>
      </c>
      <c r="AG1" s="21" t="s">
        <v>74</v>
      </c>
      <c r="AH1" s="21" t="s">
        <v>1659</v>
      </c>
      <c r="AI1" s="21" t="s">
        <v>1660</v>
      </c>
      <c r="AJ1" s="21" t="s">
        <v>798</v>
      </c>
      <c r="AK1" s="21" t="s">
        <v>799</v>
      </c>
      <c r="AL1" s="21" t="s">
        <v>75</v>
      </c>
      <c r="AM1" s="21" t="s">
        <v>794</v>
      </c>
      <c r="AN1" s="21" t="s">
        <v>795</v>
      </c>
      <c r="AO1" s="21" t="s">
        <v>792</v>
      </c>
      <c r="AP1" s="21" t="s">
        <v>793</v>
      </c>
      <c r="AQ1" s="22" t="s">
        <v>76</v>
      </c>
      <c r="AR1" s="22" t="s">
        <v>77</v>
      </c>
      <c r="AS1" s="22" t="s">
        <v>1661</v>
      </c>
      <c r="AT1" s="22" t="s">
        <v>1662</v>
      </c>
      <c r="AU1" s="22" t="s">
        <v>78</v>
      </c>
      <c r="AV1" s="22" t="s">
        <v>811</v>
      </c>
      <c r="AW1" s="22" t="s">
        <v>1663</v>
      </c>
      <c r="AX1" s="22" t="s">
        <v>1664</v>
      </c>
      <c r="AZ1" s="31" t="s">
        <v>1665</v>
      </c>
    </row>
    <row r="2" customFormat="false" ht="15" hidden="false" customHeight="true" outlineLevel="0" collapsed="false">
      <c r="AZ2" s="33" t="s">
        <v>1350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4952</v>
      </c>
      <c r="O1" s="27" t="s">
        <v>4953</v>
      </c>
      <c r="P1" s="27" t="s">
        <v>4954</v>
      </c>
      <c r="Q1" s="27" t="s">
        <v>4955</v>
      </c>
      <c r="R1" s="27" t="s">
        <v>4956</v>
      </c>
      <c r="S1" s="27" t="s">
        <v>4957</v>
      </c>
      <c r="T1" s="27" t="s">
        <v>4958</v>
      </c>
      <c r="U1" s="27" t="s">
        <v>4959</v>
      </c>
      <c r="V1" s="30" t="s">
        <v>4960</v>
      </c>
      <c r="W1" s="30" t="s">
        <v>4961</v>
      </c>
      <c r="X1" s="30" t="s">
        <v>4962</v>
      </c>
      <c r="Y1" s="30" t="s">
        <v>4963</v>
      </c>
      <c r="Z1" s="27" t="s">
        <v>4224</v>
      </c>
      <c r="AA1" s="28" t="s">
        <v>35</v>
      </c>
      <c r="AB1" s="28" t="s">
        <v>33</v>
      </c>
      <c r="AC1" s="28" t="s">
        <v>37</v>
      </c>
      <c r="AD1" s="21" t="s">
        <v>73</v>
      </c>
      <c r="AE1" s="21" t="s">
        <v>796</v>
      </c>
      <c r="AF1" s="21" t="s">
        <v>797</v>
      </c>
      <c r="AG1" s="21" t="s">
        <v>74</v>
      </c>
      <c r="AH1" s="21" t="s">
        <v>1659</v>
      </c>
      <c r="AI1" s="21" t="s">
        <v>1660</v>
      </c>
      <c r="AJ1" s="21" t="s">
        <v>798</v>
      </c>
      <c r="AK1" s="21" t="s">
        <v>799</v>
      </c>
      <c r="AL1" s="21" t="s">
        <v>75</v>
      </c>
      <c r="AM1" s="21" t="s">
        <v>794</v>
      </c>
      <c r="AN1" s="21" t="s">
        <v>795</v>
      </c>
      <c r="AO1" s="21" t="s">
        <v>792</v>
      </c>
      <c r="AP1" s="21" t="s">
        <v>793</v>
      </c>
      <c r="AQ1" s="22" t="s">
        <v>76</v>
      </c>
      <c r="AR1" s="22" t="s">
        <v>77</v>
      </c>
      <c r="AS1" s="22" t="s">
        <v>1661</v>
      </c>
      <c r="AT1" s="22" t="s">
        <v>1662</v>
      </c>
      <c r="AU1" s="22" t="s">
        <v>78</v>
      </c>
      <c r="AV1" s="22" t="s">
        <v>811</v>
      </c>
      <c r="AW1" s="22" t="s">
        <v>1663</v>
      </c>
      <c r="AX1" s="22" t="s">
        <v>1664</v>
      </c>
      <c r="AZ1" s="31" t="s">
        <v>1665</v>
      </c>
    </row>
    <row r="2" customFormat="false" ht="15" hidden="false" customHeight="true" outlineLevel="0" collapsed="false">
      <c r="AZ2" s="33" t="s">
        <v>1352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4964</v>
      </c>
      <c r="O1" s="27" t="s">
        <v>4965</v>
      </c>
      <c r="P1" s="27" t="s">
        <v>4966</v>
      </c>
      <c r="Q1" s="27" t="s">
        <v>4967</v>
      </c>
      <c r="R1" s="27" t="s">
        <v>4968</v>
      </c>
      <c r="S1" s="27" t="s">
        <v>4969</v>
      </c>
      <c r="T1" s="27" t="s">
        <v>4970</v>
      </c>
      <c r="U1" s="27" t="s">
        <v>4971</v>
      </c>
      <c r="V1" s="30" t="s">
        <v>4972</v>
      </c>
      <c r="W1" s="30" t="s">
        <v>4973</v>
      </c>
      <c r="X1" s="30" t="s">
        <v>4974</v>
      </c>
      <c r="Y1" s="30" t="s">
        <v>4975</v>
      </c>
      <c r="Z1" s="27" t="s">
        <v>4224</v>
      </c>
      <c r="AA1" s="28" t="s">
        <v>35</v>
      </c>
      <c r="AB1" s="28" t="s">
        <v>33</v>
      </c>
      <c r="AC1" s="28" t="s">
        <v>37</v>
      </c>
      <c r="AD1" s="21" t="s">
        <v>73</v>
      </c>
      <c r="AE1" s="21" t="s">
        <v>796</v>
      </c>
      <c r="AF1" s="21" t="s">
        <v>797</v>
      </c>
      <c r="AG1" s="21" t="s">
        <v>74</v>
      </c>
      <c r="AH1" s="21" t="s">
        <v>1659</v>
      </c>
      <c r="AI1" s="21" t="s">
        <v>1660</v>
      </c>
      <c r="AJ1" s="21" t="s">
        <v>798</v>
      </c>
      <c r="AK1" s="21" t="s">
        <v>799</v>
      </c>
      <c r="AL1" s="21" t="s">
        <v>75</v>
      </c>
      <c r="AM1" s="21" t="s">
        <v>794</v>
      </c>
      <c r="AN1" s="21" t="s">
        <v>795</v>
      </c>
      <c r="AO1" s="21" t="s">
        <v>792</v>
      </c>
      <c r="AP1" s="21" t="s">
        <v>793</v>
      </c>
      <c r="AQ1" s="22" t="s">
        <v>76</v>
      </c>
      <c r="AR1" s="22" t="s">
        <v>77</v>
      </c>
      <c r="AS1" s="22" t="s">
        <v>1661</v>
      </c>
      <c r="AT1" s="22" t="s">
        <v>1662</v>
      </c>
      <c r="AU1" s="22" t="s">
        <v>78</v>
      </c>
      <c r="AV1" s="22" t="s">
        <v>811</v>
      </c>
      <c r="AW1" s="22" t="s">
        <v>1663</v>
      </c>
      <c r="AX1" s="22" t="s">
        <v>1664</v>
      </c>
      <c r="AZ1" s="31" t="s">
        <v>1665</v>
      </c>
    </row>
    <row r="2" customFormat="false" ht="15" hidden="false" customHeight="true" outlineLevel="0" collapsed="false">
      <c r="AZ2" s="33" t="s">
        <v>1354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4976</v>
      </c>
      <c r="O1" s="27" t="s">
        <v>4977</v>
      </c>
      <c r="P1" s="27" t="s">
        <v>4978</v>
      </c>
      <c r="Q1" s="27" t="s">
        <v>4979</v>
      </c>
      <c r="R1" s="27" t="s">
        <v>4980</v>
      </c>
      <c r="S1" s="27" t="s">
        <v>4981</v>
      </c>
      <c r="T1" s="27" t="s">
        <v>4982</v>
      </c>
      <c r="U1" s="27" t="s">
        <v>4983</v>
      </c>
      <c r="V1" s="30" t="s">
        <v>4984</v>
      </c>
      <c r="W1" s="30" t="s">
        <v>4985</v>
      </c>
      <c r="X1" s="30" t="s">
        <v>4986</v>
      </c>
      <c r="Y1" s="30" t="s">
        <v>4987</v>
      </c>
      <c r="Z1" s="27" t="s">
        <v>4224</v>
      </c>
      <c r="AA1" s="28" t="s">
        <v>35</v>
      </c>
      <c r="AB1" s="28" t="s">
        <v>33</v>
      </c>
      <c r="AC1" s="28" t="s">
        <v>37</v>
      </c>
      <c r="AD1" s="21" t="s">
        <v>73</v>
      </c>
      <c r="AE1" s="21" t="s">
        <v>796</v>
      </c>
      <c r="AF1" s="21" t="s">
        <v>797</v>
      </c>
      <c r="AG1" s="21" t="s">
        <v>74</v>
      </c>
      <c r="AH1" s="21" t="s">
        <v>1659</v>
      </c>
      <c r="AI1" s="21" t="s">
        <v>1660</v>
      </c>
      <c r="AJ1" s="21" t="s">
        <v>798</v>
      </c>
      <c r="AK1" s="21" t="s">
        <v>799</v>
      </c>
      <c r="AL1" s="21" t="s">
        <v>75</v>
      </c>
      <c r="AM1" s="21" t="s">
        <v>794</v>
      </c>
      <c r="AN1" s="21" t="s">
        <v>795</v>
      </c>
      <c r="AO1" s="21" t="s">
        <v>792</v>
      </c>
      <c r="AP1" s="21" t="s">
        <v>793</v>
      </c>
      <c r="AQ1" s="22" t="s">
        <v>76</v>
      </c>
      <c r="AR1" s="22" t="s">
        <v>77</v>
      </c>
      <c r="AS1" s="22" t="s">
        <v>1661</v>
      </c>
      <c r="AT1" s="22" t="s">
        <v>1662</v>
      </c>
      <c r="AU1" s="22" t="s">
        <v>78</v>
      </c>
      <c r="AV1" s="22" t="s">
        <v>811</v>
      </c>
      <c r="AW1" s="22" t="s">
        <v>1663</v>
      </c>
      <c r="AX1" s="22" t="s">
        <v>1664</v>
      </c>
      <c r="AZ1" s="31" t="s">
        <v>1665</v>
      </c>
    </row>
    <row r="2" customFormat="false" ht="15" hidden="false" customHeight="true" outlineLevel="0" collapsed="false">
      <c r="AZ2" s="33" t="s">
        <v>1356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4988</v>
      </c>
      <c r="O1" s="27" t="s">
        <v>4989</v>
      </c>
      <c r="P1" s="27" t="s">
        <v>4990</v>
      </c>
      <c r="Q1" s="27" t="s">
        <v>4991</v>
      </c>
      <c r="R1" s="27" t="s">
        <v>4992</v>
      </c>
      <c r="S1" s="27" t="s">
        <v>4993</v>
      </c>
      <c r="T1" s="27" t="s">
        <v>4994</v>
      </c>
      <c r="U1" s="27" t="s">
        <v>4995</v>
      </c>
      <c r="V1" s="30" t="s">
        <v>4996</v>
      </c>
      <c r="W1" s="30" t="s">
        <v>4997</v>
      </c>
      <c r="X1" s="30" t="s">
        <v>4998</v>
      </c>
      <c r="Y1" s="30" t="s">
        <v>4999</v>
      </c>
      <c r="Z1" s="27" t="s">
        <v>4224</v>
      </c>
      <c r="AA1" s="28" t="s">
        <v>35</v>
      </c>
      <c r="AB1" s="28" t="s">
        <v>33</v>
      </c>
      <c r="AC1" s="28" t="s">
        <v>37</v>
      </c>
      <c r="AD1" s="21" t="s">
        <v>73</v>
      </c>
      <c r="AE1" s="21" t="s">
        <v>796</v>
      </c>
      <c r="AF1" s="21" t="s">
        <v>797</v>
      </c>
      <c r="AG1" s="21" t="s">
        <v>74</v>
      </c>
      <c r="AH1" s="21" t="s">
        <v>1659</v>
      </c>
      <c r="AI1" s="21" t="s">
        <v>1660</v>
      </c>
      <c r="AJ1" s="21" t="s">
        <v>798</v>
      </c>
      <c r="AK1" s="21" t="s">
        <v>799</v>
      </c>
      <c r="AL1" s="21" t="s">
        <v>75</v>
      </c>
      <c r="AM1" s="21" t="s">
        <v>794</v>
      </c>
      <c r="AN1" s="21" t="s">
        <v>795</v>
      </c>
      <c r="AO1" s="21" t="s">
        <v>792</v>
      </c>
      <c r="AP1" s="21" t="s">
        <v>793</v>
      </c>
      <c r="AQ1" s="22" t="s">
        <v>76</v>
      </c>
      <c r="AR1" s="22" t="s">
        <v>77</v>
      </c>
      <c r="AS1" s="22" t="s">
        <v>1661</v>
      </c>
      <c r="AT1" s="22" t="s">
        <v>1662</v>
      </c>
      <c r="AU1" s="22" t="s">
        <v>78</v>
      </c>
      <c r="AV1" s="22" t="s">
        <v>811</v>
      </c>
      <c r="AW1" s="22" t="s">
        <v>1663</v>
      </c>
      <c r="AX1" s="22" t="s">
        <v>1664</v>
      </c>
      <c r="AZ1" s="31" t="s">
        <v>1665</v>
      </c>
    </row>
    <row r="2" customFormat="false" ht="15" hidden="false" customHeight="true" outlineLevel="0" collapsed="false">
      <c r="AZ2" s="33" t="s">
        <v>1358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5000</v>
      </c>
      <c r="Q1" s="41" t="s">
        <v>3191</v>
      </c>
      <c r="R1" s="41" t="s">
        <v>3192</v>
      </c>
      <c r="S1" s="41" t="s">
        <v>3193</v>
      </c>
      <c r="T1" s="41" t="s">
        <v>3194</v>
      </c>
      <c r="U1" s="41" t="s">
        <v>3195</v>
      </c>
      <c r="V1" s="41" t="s">
        <v>3196</v>
      </c>
      <c r="W1" s="41" t="s">
        <v>3197</v>
      </c>
      <c r="X1" s="41" t="s">
        <v>3198</v>
      </c>
      <c r="Y1" s="42" t="s">
        <v>3199</v>
      </c>
      <c r="Z1" s="42" t="s">
        <v>3200</v>
      </c>
      <c r="AA1" s="42" t="s">
        <v>3201</v>
      </c>
      <c r="AB1" s="42" t="s">
        <v>3202</v>
      </c>
      <c r="AC1" s="43" t="s">
        <v>35</v>
      </c>
      <c r="AD1" s="43" t="s">
        <v>33</v>
      </c>
      <c r="AE1" s="43" t="s">
        <v>37</v>
      </c>
      <c r="AF1" s="44" t="s">
        <v>73</v>
      </c>
      <c r="AG1" s="44" t="s">
        <v>796</v>
      </c>
      <c r="AH1" s="44" t="s">
        <v>797</v>
      </c>
      <c r="AI1" s="44" t="s">
        <v>74</v>
      </c>
      <c r="AJ1" s="44" t="s">
        <v>1659</v>
      </c>
      <c r="AK1" s="44" t="s">
        <v>1660</v>
      </c>
      <c r="AL1" s="44" t="s">
        <v>798</v>
      </c>
      <c r="AM1" s="44" t="s">
        <v>799</v>
      </c>
      <c r="AN1" s="44" t="s">
        <v>75</v>
      </c>
      <c r="AO1" s="44" t="s">
        <v>794</v>
      </c>
      <c r="AP1" s="44" t="s">
        <v>795</v>
      </c>
      <c r="AQ1" s="44" t="s">
        <v>792</v>
      </c>
      <c r="AR1" s="44" t="s">
        <v>793</v>
      </c>
      <c r="AS1" s="45" t="s">
        <v>76</v>
      </c>
      <c r="AT1" s="45" t="s">
        <v>77</v>
      </c>
      <c r="AU1" s="45" t="s">
        <v>1661</v>
      </c>
      <c r="AV1" s="45" t="s">
        <v>1662</v>
      </c>
      <c r="AW1" s="45" t="s">
        <v>78</v>
      </c>
      <c r="AX1" s="45" t="s">
        <v>811</v>
      </c>
      <c r="AY1" s="45" t="s">
        <v>1663</v>
      </c>
      <c r="AZ1" s="45" t="s">
        <v>1664</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5000</v>
      </c>
      <c r="Q1" s="41" t="s">
        <v>5001</v>
      </c>
      <c r="R1" s="41" t="s">
        <v>5002</v>
      </c>
      <c r="S1" s="41" t="s">
        <v>5003</v>
      </c>
      <c r="T1" s="41" t="s">
        <v>5004</v>
      </c>
      <c r="U1" s="41" t="s">
        <v>5005</v>
      </c>
      <c r="V1" s="41" t="s">
        <v>5006</v>
      </c>
      <c r="W1" s="41" t="s">
        <v>5007</v>
      </c>
      <c r="X1" s="41" t="s">
        <v>5008</v>
      </c>
      <c r="Y1" s="42" t="s">
        <v>5009</v>
      </c>
      <c r="Z1" s="42" t="s">
        <v>5010</v>
      </c>
      <c r="AA1" s="42" t="s">
        <v>5011</v>
      </c>
      <c r="AB1" s="42" t="s">
        <v>5012</v>
      </c>
      <c r="AC1" s="43" t="s">
        <v>35</v>
      </c>
      <c r="AD1" s="43" t="s">
        <v>33</v>
      </c>
      <c r="AE1" s="43" t="s">
        <v>37</v>
      </c>
      <c r="AF1" s="44" t="s">
        <v>73</v>
      </c>
      <c r="AG1" s="44" t="s">
        <v>796</v>
      </c>
      <c r="AH1" s="44" t="s">
        <v>797</v>
      </c>
      <c r="AI1" s="44" t="s">
        <v>74</v>
      </c>
      <c r="AJ1" s="44" t="s">
        <v>1659</v>
      </c>
      <c r="AK1" s="44" t="s">
        <v>1660</v>
      </c>
      <c r="AL1" s="44" t="s">
        <v>798</v>
      </c>
      <c r="AM1" s="44" t="s">
        <v>799</v>
      </c>
      <c r="AN1" s="44" t="s">
        <v>75</v>
      </c>
      <c r="AO1" s="44" t="s">
        <v>794</v>
      </c>
      <c r="AP1" s="44" t="s">
        <v>795</v>
      </c>
      <c r="AQ1" s="44" t="s">
        <v>792</v>
      </c>
      <c r="AR1" s="44" t="s">
        <v>793</v>
      </c>
      <c r="AS1" s="45" t="s">
        <v>76</v>
      </c>
      <c r="AT1" s="45" t="s">
        <v>77</v>
      </c>
      <c r="AU1" s="45" t="s">
        <v>1661</v>
      </c>
      <c r="AV1" s="45" t="s">
        <v>1662</v>
      </c>
      <c r="AW1" s="45" t="s">
        <v>78</v>
      </c>
      <c r="AX1" s="45" t="s">
        <v>811</v>
      </c>
      <c r="AY1" s="45" t="s">
        <v>1663</v>
      </c>
      <c r="AZ1" s="45" t="s">
        <v>1664</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5000</v>
      </c>
      <c r="Q1" s="41" t="s">
        <v>3560</v>
      </c>
      <c r="R1" s="41" t="s">
        <v>3561</v>
      </c>
      <c r="S1" s="41" t="s">
        <v>3562</v>
      </c>
      <c r="T1" s="41" t="s">
        <v>3563</v>
      </c>
      <c r="U1" s="41" t="s">
        <v>3564</v>
      </c>
      <c r="V1" s="41" t="s">
        <v>3565</v>
      </c>
      <c r="W1" s="41" t="s">
        <v>3566</v>
      </c>
      <c r="X1" s="41" t="s">
        <v>3567</v>
      </c>
      <c r="Y1" s="42" t="s">
        <v>3568</v>
      </c>
      <c r="Z1" s="42" t="s">
        <v>3569</v>
      </c>
      <c r="AA1" s="42" t="s">
        <v>3570</v>
      </c>
      <c r="AB1" s="42" t="s">
        <v>3571</v>
      </c>
      <c r="AC1" s="43" t="s">
        <v>35</v>
      </c>
      <c r="AD1" s="43" t="s">
        <v>33</v>
      </c>
      <c r="AE1" s="43" t="s">
        <v>37</v>
      </c>
      <c r="AF1" s="44" t="s">
        <v>73</v>
      </c>
      <c r="AG1" s="44" t="s">
        <v>796</v>
      </c>
      <c r="AH1" s="44" t="s">
        <v>797</v>
      </c>
      <c r="AI1" s="44" t="s">
        <v>74</v>
      </c>
      <c r="AJ1" s="44" t="s">
        <v>1659</v>
      </c>
      <c r="AK1" s="44" t="s">
        <v>1660</v>
      </c>
      <c r="AL1" s="44" t="s">
        <v>798</v>
      </c>
      <c r="AM1" s="44" t="s">
        <v>799</v>
      </c>
      <c r="AN1" s="44" t="s">
        <v>75</v>
      </c>
      <c r="AO1" s="44" t="s">
        <v>794</v>
      </c>
      <c r="AP1" s="44" t="s">
        <v>795</v>
      </c>
      <c r="AQ1" s="44" t="s">
        <v>792</v>
      </c>
      <c r="AR1" s="44" t="s">
        <v>793</v>
      </c>
      <c r="AS1" s="45" t="s">
        <v>76</v>
      </c>
      <c r="AT1" s="45" t="s">
        <v>77</v>
      </c>
      <c r="AU1" s="45" t="s">
        <v>1661</v>
      </c>
      <c r="AV1" s="45" t="s">
        <v>1662</v>
      </c>
      <c r="AW1" s="45" t="s">
        <v>78</v>
      </c>
      <c r="AX1" s="45" t="s">
        <v>811</v>
      </c>
      <c r="AY1" s="45" t="s">
        <v>1663</v>
      </c>
      <c r="AZ1" s="45" t="s">
        <v>1664</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5000</v>
      </c>
      <c r="Q1" s="41" t="s">
        <v>5013</v>
      </c>
      <c r="R1" s="41" t="s">
        <v>5014</v>
      </c>
      <c r="S1" s="41" t="s">
        <v>5015</v>
      </c>
      <c r="T1" s="41" t="s">
        <v>5016</v>
      </c>
      <c r="U1" s="41" t="s">
        <v>5017</v>
      </c>
      <c r="V1" s="41" t="s">
        <v>5018</v>
      </c>
      <c r="W1" s="41" t="s">
        <v>5019</v>
      </c>
      <c r="X1" s="41" t="s">
        <v>5020</v>
      </c>
      <c r="Y1" s="42" t="s">
        <v>5021</v>
      </c>
      <c r="Z1" s="42" t="s">
        <v>5022</v>
      </c>
      <c r="AA1" s="42" t="s">
        <v>5023</v>
      </c>
      <c r="AB1" s="42" t="s">
        <v>5024</v>
      </c>
      <c r="AC1" s="43" t="s">
        <v>35</v>
      </c>
      <c r="AD1" s="43" t="s">
        <v>33</v>
      </c>
      <c r="AE1" s="43" t="s">
        <v>37</v>
      </c>
      <c r="AF1" s="44" t="s">
        <v>73</v>
      </c>
      <c r="AG1" s="44" t="s">
        <v>796</v>
      </c>
      <c r="AH1" s="44" t="s">
        <v>797</v>
      </c>
      <c r="AI1" s="44" t="s">
        <v>74</v>
      </c>
      <c r="AJ1" s="44" t="s">
        <v>1659</v>
      </c>
      <c r="AK1" s="44" t="s">
        <v>1660</v>
      </c>
      <c r="AL1" s="44" t="s">
        <v>798</v>
      </c>
      <c r="AM1" s="44" t="s">
        <v>799</v>
      </c>
      <c r="AN1" s="44" t="s">
        <v>75</v>
      </c>
      <c r="AO1" s="44" t="s">
        <v>794</v>
      </c>
      <c r="AP1" s="44" t="s">
        <v>795</v>
      </c>
      <c r="AQ1" s="44" t="s">
        <v>792</v>
      </c>
      <c r="AR1" s="44" t="s">
        <v>793</v>
      </c>
      <c r="AS1" s="45" t="s">
        <v>76</v>
      </c>
      <c r="AT1" s="45" t="s">
        <v>77</v>
      </c>
      <c r="AU1" s="45" t="s">
        <v>1661</v>
      </c>
      <c r="AV1" s="45" t="s">
        <v>1662</v>
      </c>
      <c r="AW1" s="45" t="s">
        <v>78</v>
      </c>
      <c r="AX1" s="45" t="s">
        <v>811</v>
      </c>
      <c r="AY1" s="45" t="s">
        <v>1663</v>
      </c>
      <c r="AZ1" s="45" t="s">
        <v>1664</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6" t="s">
        <v>5025</v>
      </c>
      <c r="B1" s="46" t="s">
        <v>56</v>
      </c>
      <c r="C1" s="46" t="s">
        <v>57</v>
      </c>
      <c r="D1" s="46" t="s">
        <v>58</v>
      </c>
      <c r="E1" s="46" t="s">
        <v>5026</v>
      </c>
      <c r="F1" s="46" t="s">
        <v>5027</v>
      </c>
    </row>
    <row r="2" customFormat="false" ht="135.75" hidden="false" customHeight="true" outlineLevel="0" collapsed="false">
      <c r="A2" s="5" t="s">
        <v>5028</v>
      </c>
      <c r="B2" s="5" t="n">
        <v>167</v>
      </c>
      <c r="C2" s="5" t="s">
        <v>1459</v>
      </c>
      <c r="D2" s="5" t="n">
        <v>2023</v>
      </c>
      <c r="E2" s="5" t="s">
        <v>5029</v>
      </c>
      <c r="F2" s="5" t="s">
        <v>5030</v>
      </c>
    </row>
    <row r="3" customFormat="false" ht="124.5" hidden="false" customHeight="true" outlineLevel="0" collapsed="false">
      <c r="A3" s="5" t="s">
        <v>5031</v>
      </c>
      <c r="B3" s="5" t="n">
        <v>164</v>
      </c>
      <c r="C3" s="5" t="s">
        <v>1380</v>
      </c>
      <c r="D3" s="5" t="n">
        <v>2000</v>
      </c>
      <c r="E3" s="5" t="s">
        <v>5032</v>
      </c>
      <c r="F3" s="5" t="s">
        <v>656</v>
      </c>
    </row>
    <row r="4" customFormat="false" ht="135.75" hidden="false" customHeight="true" outlineLevel="0" collapsed="false">
      <c r="A4" s="5" t="s">
        <v>5031</v>
      </c>
      <c r="B4" s="5" t="n">
        <v>166</v>
      </c>
      <c r="C4" s="5" t="s">
        <v>1428</v>
      </c>
      <c r="D4" s="5" t="n">
        <v>2014</v>
      </c>
      <c r="E4" s="5" t="s">
        <v>5033</v>
      </c>
      <c r="F4" s="5" t="s">
        <v>656</v>
      </c>
    </row>
    <row r="5" customFormat="false" ht="157.5" hidden="false" customHeight="true" outlineLevel="0" collapsed="false">
      <c r="A5" s="5" t="s">
        <v>5028</v>
      </c>
      <c r="B5" s="5" t="n">
        <v>169</v>
      </c>
      <c r="C5" s="5" t="s">
        <v>1480</v>
      </c>
      <c r="D5" s="5" t="n">
        <v>2005</v>
      </c>
      <c r="E5" s="5" t="s">
        <v>5034</v>
      </c>
      <c r="F5" s="5" t="s">
        <v>5035</v>
      </c>
    </row>
    <row r="6" customFormat="false" ht="147" hidden="false" customHeight="true" outlineLevel="0" collapsed="false">
      <c r="A6" s="5" t="s">
        <v>5031</v>
      </c>
      <c r="B6" s="5" t="s">
        <v>5036</v>
      </c>
      <c r="C6" s="5" t="s">
        <v>1485</v>
      </c>
      <c r="D6" s="5" t="n">
        <v>2019</v>
      </c>
      <c r="E6" s="5" t="s">
        <v>5037</v>
      </c>
      <c r="F6" s="5" t="s">
        <v>656</v>
      </c>
    </row>
    <row r="7" customFormat="false" ht="157.5" hidden="false" customHeight="true" outlineLevel="0" collapsed="false">
      <c r="A7" s="5" t="s">
        <v>5031</v>
      </c>
      <c r="B7" s="5" t="s">
        <v>952</v>
      </c>
      <c r="C7" s="5" t="s">
        <v>1522</v>
      </c>
      <c r="D7" s="5" t="n">
        <v>2023</v>
      </c>
      <c r="E7" s="5" t="s">
        <v>5038</v>
      </c>
      <c r="F7" s="5" t="s">
        <v>656</v>
      </c>
    </row>
    <row r="8" customFormat="false" ht="124.5" hidden="false" customHeight="true" outlineLevel="0" collapsed="false">
      <c r="A8" s="24" t="s">
        <v>5031</v>
      </c>
      <c r="B8" s="24" t="s">
        <v>1034</v>
      </c>
      <c r="C8" s="24" t="s">
        <v>79</v>
      </c>
      <c r="D8" s="24" t="n">
        <v>2022</v>
      </c>
      <c r="E8" s="24" t="s">
        <v>5039</v>
      </c>
      <c r="F8" s="24" t="s">
        <v>5040</v>
      </c>
    </row>
    <row r="9" customFormat="false" ht="124.5" hidden="false" customHeight="true" outlineLevel="0" collapsed="false">
      <c r="A9" s="24" t="s">
        <v>5041</v>
      </c>
      <c r="B9" s="24" t="s">
        <v>1011</v>
      </c>
      <c r="C9" s="24" t="s">
        <v>1576</v>
      </c>
      <c r="D9" s="24" t="n">
        <v>2022</v>
      </c>
      <c r="E9" s="24" t="s">
        <v>5042</v>
      </c>
      <c r="F9" s="24" t="s">
        <v>656</v>
      </c>
    </row>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2026-10-05T07:50:48Z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