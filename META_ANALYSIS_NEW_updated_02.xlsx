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107.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108.xml" ContentType="application/vnd.openxmlformats-officedocument.spreadsheetml.worksheet+xml"/>
  <Override PartName="/xl/worksheets/sheet37.xml" ContentType="application/vnd.openxmlformats-officedocument.spreadsheetml.worksheet+xml"/>
  <Override PartName="/xl/worksheets/sheet10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51.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30.xml" ContentType="application/vnd.openxmlformats-officedocument.spreadsheetml.worksheet+xml"/>
  <Override PartName="/xl/worksheets/sheet56.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55.xml" ContentType="application/vnd.openxmlformats-officedocument.spreadsheetml.worksheet+xml"/>
  <Override PartName="/xl/worksheets/sheet127.xml" ContentType="application/vnd.openxmlformats-officedocument.spreadsheetml.worksheet+xml"/>
  <Override PartName="/xl/worksheets/sheet54.xml" ContentType="application/vnd.openxmlformats-officedocument.spreadsheetml.worksheet+xml"/>
  <Override PartName="/xl/worksheets/sheet126.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41.xml.rels" ContentType="application/vnd.openxmlformats-package.relationships+xml"/>
  <Override PartName="/xl/worksheets/_rels/sheet34.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29.xml.rels" ContentType="application/vnd.openxmlformats-package.relationships+xml"/>
  <Override PartName="/xl/worksheets/_rels/sheet97.xml.rels" ContentType="application/vnd.openxmlformats-package.relationships+xml"/>
  <Override PartName="/xl/worksheets/_rels/sheet99.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137.xml.rels" ContentType="application/vnd.openxmlformats-package.relationships+xml"/>
  <Override PartName="/xl/worksheets/_rels/sheet79.xml.rels" ContentType="application/vnd.openxmlformats-package.relationships+xml"/>
  <Override PartName="/xl/worksheets/_rels/sheet100.xml.rels" ContentType="application/vnd.openxmlformats-package.relationships+xml"/>
  <Override PartName="/xl/worksheets/_rels/sheet42.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0.xml.rels" ContentType="application/vnd.openxmlformats-package.relationships+xml"/>
  <Override PartName="/xl/worksheets/_rels/sheet139.xml.rels" ContentType="application/vnd.openxmlformats-package.relationships+xml"/>
  <Override PartName="/xl/worksheets/_rels/sheet147.xml.rels" ContentType="application/vnd.openxmlformats-package.relationships+xml"/>
  <Override PartName="/xl/worksheets/_rels/sheet89.xml.rels" ContentType="application/vnd.openxmlformats-package.relationships+xml"/>
  <Override PartName="/xl/worksheets/_rels/sheet110.xml.rels" ContentType="application/vnd.openxmlformats-package.relationships+xml"/>
  <Override PartName="/xl/worksheets/_rels/sheet52.xml.rels" ContentType="application/vnd.openxmlformats-package.relationships+xml"/>
  <Override PartName="/xl/worksheets/_rels/sheet43.xml.rels" ContentType="application/vnd.openxmlformats-package.relationships+xml"/>
  <Override PartName="/xl/worksheets/_rels/sheet101.xml.rels" ContentType="application/vnd.openxmlformats-package.relationships+xml"/>
  <Override PartName="/xl/worksheets/_rels/sheet116.xml.rels" ContentType="application/vnd.openxmlformats-package.relationships+xml"/>
  <Override PartName="/xl/worksheets/_rels/sheet58.xml.rels" ContentType="application/vnd.openxmlformats-package.relationships+xml"/>
  <Override PartName="/xl/worksheets/_rels/sheet138.xml.rels" ContentType="application/vnd.openxmlformats-package.relationships+xml"/>
  <Override PartName="/xl/worksheets/_rels/sheet148.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48.xml.rels" ContentType="application/vnd.openxmlformats-package.relationships+xml"/>
  <Override PartName="/xl/worksheets/_rels/sheet106.xml.rels" ContentType="application/vnd.openxmlformats-package.relationships+xml"/>
  <Override PartName="/xl/worksheets/_rels/sheet111.xml.rels" ContentType="application/vnd.openxmlformats-package.relationships+xml"/>
  <Override PartName="/xl/worksheets/_rels/sheet53.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30.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142.xml.rels" ContentType="application/vnd.openxmlformats-package.relationships+xml"/>
  <Override PartName="/xl/worksheets/_rels/sheet16.xml.rels" ContentType="application/vnd.openxmlformats-package.relationships+xml"/>
  <Override PartName="/xl/worksheets/_rels/sheet84.xml.rels" ContentType="application/vnd.openxmlformats-package.relationships+xml"/>
  <Override PartName="/xl/worksheets/_rels/sheet19.xml.rels" ContentType="application/vnd.openxmlformats-package.relationships+xml"/>
  <Override PartName="/xl/worksheets/_rels/sheet87.xml.rels" ContentType="application/vnd.openxmlformats-package.relationships+xml"/>
  <Override PartName="/xl/worksheets/_rels/sheet145.xml.rels" ContentType="application/vnd.openxmlformats-package.relationships+xml"/>
  <Override PartName="/xl/worksheets/_rels/sheet22.xml.rels" ContentType="application/vnd.openxmlformats-package.relationships+xml"/>
  <Override PartName="/xl/worksheets/_rels/sheet90.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4.xml.rels" ContentType="application/vnd.openxmlformats-package.relationships+xml"/>
  <Override PartName="/xl/worksheets/_rels/sheet26.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12.xml" ContentType="application/vnd.openxmlformats-officedocument.spreadsheetml.worksheet+xml"/>
  <Override PartName="/xl/worksheets/sheet80.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8.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xl/comments2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macro c" sheetId="22" state="visible" r:id="rId24"/>
    <sheet name="micro c" sheetId="23" state="visible" r:id="rId25"/>
    <sheet name="PR" sheetId="24" state="visible" r:id="rId26"/>
    <sheet name="HC" sheetId="25" state="visible" r:id="rId27"/>
    <sheet name="IR" sheetId="26" state="visible" r:id="rId28"/>
    <sheet name="AWC (weight basis)" sheetId="27" state="visible" r:id="rId29"/>
    <sheet name="AWC (volume basis)" sheetId="28" state="visible" r:id="rId30"/>
    <sheet name="WHC" sheetId="29" state="visible" r:id="rId31"/>
    <sheet name="FC (weight basis)" sheetId="30" state="visible" r:id="rId32"/>
    <sheet name="PWP (weight basis)" sheetId="31" state="visible" r:id="rId33"/>
    <sheet name="SAT WC" sheetId="32" state="visible" r:id="rId34"/>
    <sheet name="GWC" sheetId="33" state="visible" r:id="rId35"/>
    <sheet name="Moisture storage" sheetId="34" state="visible" r:id="rId36"/>
    <sheet name="TEXTURE" sheetId="35" state="visible" r:id="rId37"/>
    <sheet name="SOC(active C pool)" sheetId="36" state="visible" r:id="rId38"/>
    <sheet name="TOC" sheetId="37" state="visible" r:id="rId39"/>
    <sheet name="TC(total c)" sheetId="38" state="visible" r:id="rId40"/>
    <sheet name="SIC" sheetId="39" state="visible" r:id="rId41"/>
    <sheet name="PSOC" sheetId="40" state="visible" r:id="rId42"/>
    <sheet name="MOC" sheetId="41" state="visible" r:id="rId43"/>
    <sheet name="WSC" sheetId="42" state="visible" r:id="rId44"/>
    <sheet name="DOC" sheetId="43" state="visible" r:id="rId45"/>
    <sheet name="LFC-LFOC" sheetId="44" state="visible" r:id="rId46"/>
    <sheet name="HFOC" sheetId="45" state="visible" r:id="rId47"/>
    <sheet name="LFON" sheetId="46" state="visible" r:id="rId48"/>
    <sheet name="PON" sheetId="47" state="visible" r:id="rId49"/>
    <sheet name="cPOM-C" sheetId="48" state="visible" r:id="rId50"/>
    <sheet name="fPOM-C" sheetId="49" state="visible" r:id="rId51"/>
    <sheet name="POXC(KMnO4-C)" sheetId="50" state="visible" r:id="rId52"/>
    <sheet name="VLC(Cfrac1)" sheetId="51" state="visible" r:id="rId53"/>
    <sheet name="LC(Cfrac2)" sheetId="52" state="visible" r:id="rId54"/>
    <sheet name="LLC(Cfrac3)" sheetId="53" state="visible" r:id="rId55"/>
    <sheet name="NLC(Cfrac4)" sheetId="54" state="visible" r:id="rId56"/>
    <sheet name="stock-SOC" sheetId="55" state="visible" r:id="rId57"/>
    <sheet name="c sequestration rate" sheetId="56" state="visible" r:id="rId58"/>
    <sheet name="C liability" sheetId="57" state="visible" r:id="rId59"/>
    <sheet name="LI" sheetId="58" state="visible" r:id="rId60"/>
    <sheet name="CPI" sheetId="59" state="visible" r:id="rId61"/>
    <sheet name="CMI" sheetId="60" state="visible" r:id="rId62"/>
    <sheet name="RESP" sheetId="61" state="visible" r:id="rId63"/>
    <sheet name="PH" sheetId="62" state="visible" r:id="rId64"/>
    <sheet name="EC" sheetId="63" state="visible" r:id="rId65"/>
    <sheet name="CEC" sheetId="64" state="visible" r:id="rId66"/>
    <sheet name="N" sheetId="65" state="visible" r:id="rId67"/>
    <sheet name="P" sheetId="66" state="visible" r:id="rId68"/>
    <sheet name="K" sheetId="67" state="visible" r:id="rId69"/>
    <sheet name="AV.S" sheetId="68" state="visible" r:id="rId70"/>
    <sheet name="total N" sheetId="69" state="visible" r:id="rId71"/>
    <sheet name="total P" sheetId="70" state="visible" r:id="rId72"/>
    <sheet name="total K" sheetId="71" state="visible" r:id="rId73"/>
    <sheet name="WS-K" sheetId="72" state="visible" r:id="rId74"/>
    <sheet name="EX-K" sheetId="73" state="visible" r:id="rId75"/>
    <sheet name="NEX-K" sheetId="74" state="visible" r:id="rId76"/>
    <sheet name="no3,nh4,PMN" sheetId="75" state="visible" r:id="rId77"/>
    <sheet name="NO3 leaching" sheetId="76" state="visible" r:id="rId78"/>
    <sheet name="15N RESIDUAL" sheetId="77" state="visible" r:id="rId79"/>
    <sheet name="B(ppm)" sheetId="78" state="visible" r:id="rId80"/>
    <sheet name="Fe(ppm)" sheetId="79" state="visible" r:id="rId81"/>
    <sheet name="Mn" sheetId="80" state="visible" r:id="rId82"/>
    <sheet name="Cu(ppm)" sheetId="81" state="visible" r:id="rId83"/>
    <sheet name="Zn(ppm)" sheetId="82" state="visible" r:id="rId84"/>
    <sheet name="MBC" sheetId="83" state="visible" r:id="rId85"/>
    <sheet name="MBN" sheetId="84" state="visible" r:id="rId86"/>
    <sheet name="GLOMALIN" sheetId="85" state="visible" r:id="rId87"/>
    <sheet name="MYCORRHIZAL SPORES" sheetId="86" state="visible" r:id="rId88"/>
    <sheet name="DHA" sheetId="87" state="visible" r:id="rId89"/>
    <sheet name="B-GLU" sheetId="88" state="visible" r:id="rId90"/>
    <sheet name="ACP" sheetId="89" state="visible" r:id="rId91"/>
    <sheet name="ALKP" sheetId="90" state="visible" r:id="rId92"/>
    <sheet name="GAP" sheetId="91" state="visible" r:id="rId93"/>
    <sheet name="LAP" sheetId="92" state="visible" r:id="rId94"/>
    <sheet name="NAG" sheetId="93" state="visible" r:id="rId95"/>
    <sheet name="B-galactosidase" sheetId="94" state="visible" r:id="rId96"/>
    <sheet name="CELL" sheetId="95" state="visible" r:id="rId97"/>
    <sheet name="UREASE" sheetId="96" state="visible" r:id="rId98"/>
    <sheet name="PHYTASE" sheetId="97" state="visible" r:id="rId99"/>
    <sheet name="INVERTASE" sheetId="98" state="visible" r:id="rId100"/>
    <sheet name="CATALASE" sheetId="99" state="visible" r:id="rId101"/>
    <sheet name="ASP" sheetId="100" state="visible" r:id="rId102"/>
    <sheet name="XYL" sheetId="101" state="visible" r:id="rId103"/>
    <sheet name="PHOX" sheetId="102" state="visible" r:id="rId104"/>
    <sheet name="PEROX" sheetId="103" state="visible" r:id="rId105"/>
    <sheet name="PPO" sheetId="104" state="visible" r:id="rId106"/>
    <sheet name="FDA" sheetId="105" state="visible" r:id="rId107"/>
    <sheet name="NR" sheetId="106" state="visible" r:id="rId108"/>
    <sheet name="Actinomycetes" sheetId="107" state="visible" r:id="rId109"/>
    <sheet name="Soil microbial count" sheetId="108" state="visible" r:id="rId110"/>
    <sheet name="Fungal count" sheetId="109" state="visible" r:id="rId111"/>
    <sheet name="EARTHWORM" sheetId="110" state="visible" r:id="rId112"/>
    <sheet name="Cellulolytic count" sheetId="111" state="visible" r:id="rId113"/>
    <sheet name="RLD(CM-CM3)" sheetId="112" state="visible" r:id="rId114"/>
    <sheet name="PLANT HEIGHT" sheetId="113" state="visible" r:id="rId115"/>
    <sheet name="RMD(mg-cm3)" sheetId="114" state="visible" r:id="rId116"/>
    <sheet name="RVD(cm3-cm3)" sheetId="115" state="visible" r:id="rId117"/>
    <sheet name="RSD(cm2-cm3)" sheetId="116" state="visible" r:id="rId118"/>
    <sheet name="ROOT DIA(mm)" sheetId="117" state="visible" r:id="rId119"/>
    <sheet name="YIELD" sheetId="118" state="visible" r:id="rId120"/>
    <sheet name="SYS STRAW" sheetId="119" state="visible" r:id="rId121"/>
    <sheet name="PANICLE-SPIKE DENSITY" sheetId="120" state="visible" r:id="rId122"/>
    <sheet name="GRAINS PER PANICLE" sheetId="121" state="visible" r:id="rId123"/>
    <sheet name="1000-GRAIN WEIGHT" sheetId="122" state="visible" r:id="rId124"/>
    <sheet name="HARVEST INDEX" sheetId="123" state="visible" r:id="rId125"/>
    <sheet name="DAYS TO FLOWERING" sheetId="124" state="visible" r:id="rId126"/>
    <sheet name="DAYS TO MATURITY" sheetId="125" state="visible" r:id="rId127"/>
    <sheet name="GRAIN FILLING DAYS" sheetId="126" state="visible" r:id="rId128"/>
    <sheet name="N uptake" sheetId="127" state="visible" r:id="rId129"/>
    <sheet name="P uptake" sheetId="128" state="visible" r:id="rId130"/>
    <sheet name="K uptake" sheetId="129" state="visible" r:id="rId131"/>
    <sheet name="WUE" sheetId="130" state="visible" r:id="rId132"/>
    <sheet name="NUE" sheetId="131" state="visible" r:id="rId133"/>
    <sheet name="BC ratio" sheetId="132" state="visible" r:id="rId134"/>
    <sheet name="NET RETURN" sheetId="133" state="visible" r:id="rId135"/>
    <sheet name="NET ECONOMIC BENEFIT" sheetId="134" state="visible" r:id="rId136"/>
    <sheet name="SQI" sheetId="135" state="visible" r:id="rId137"/>
    <sheet name="emission CH4" sheetId="136" state="visible" r:id="rId138"/>
    <sheet name="emission N2O" sheetId="137" state="visible" r:id="rId139"/>
    <sheet name="CO2 emission" sheetId="138" state="visible" r:id="rId140"/>
    <sheet name="NO" sheetId="139" state="visible" r:id="rId141"/>
    <sheet name="GWP" sheetId="140" state="visible" r:id="rId142"/>
    <sheet name="NGWP" sheetId="141" state="visible" r:id="rId143"/>
    <sheet name="C input" sheetId="142" state="visible" r:id="rId144"/>
    <sheet name="C output" sheetId="143" state="visible" r:id="rId145"/>
    <sheet name="CSI" sheetId="144" state="visible" r:id="rId146"/>
    <sheet name="CER" sheetId="145" state="visible" r:id="rId147"/>
    <sheet name="GHG intensity" sheetId="146" state="visible" r:id="rId148"/>
    <sheet name="AGG-TP" sheetId="147" state="visible" r:id="rId149"/>
    <sheet name="AGG-AvP" sheetId="148" state="visible" r:id="rId150"/>
    <sheet name="AGG-ALKP" sheetId="149" state="visible" r:id="rId151"/>
    <sheet name="AGG-PhytinP" sheetId="150" state="visible" r:id="rId152"/>
    <sheet name="EXCLUDED_rows" sheetId="151" state="visible" r:id="rId153"/>
  </sheets>
  <definedNames>
    <definedName function="false" hidden="true" localSheetId="121" name="_xlnm._FilterDatabase" vbProcedure="false">'1000-GRAIN WEIGHT'!$A$1:$BK$1</definedName>
    <definedName function="false" hidden="true" localSheetId="76" name="_xlnm._FilterDatabase" vbProcedure="false">'15N RESIDUAL'!$A$1:$AY$1</definedName>
    <definedName function="false" hidden="true" localSheetId="88" name="_xlnm._FilterDatabase" vbProcedure="false">ACP!$A$1:$AY$1</definedName>
    <definedName function="false" hidden="true" localSheetId="106" name="_xlnm._FilterDatabase" vbProcedure="false">Actinomycetes!$A$1:$AY$1</definedName>
    <definedName function="false" hidden="true" localSheetId="148" name="_xlnm._FilterDatabase" vbProcedure="false">'AGG-ALKP'!$A$1:$AZ$1</definedName>
    <definedName function="false" hidden="true" localSheetId="147" name="_xlnm._FilterDatabase" vbProcedure="false">'AGG-AvP'!$A$1:$AZ$1</definedName>
    <definedName function="false" hidden="true" localSheetId="149" name="_xlnm._FilterDatabase" vbProcedure="false">'AGG-PhytinP'!$A$1:$AZ$1</definedName>
    <definedName function="false" hidden="true" localSheetId="146" name="_xlnm._FilterDatabase" vbProcedure="false">'AGG-TP'!$A$1:$AZ$1</definedName>
    <definedName function="false" hidden="true" localSheetId="89" name="_xlnm._FilterDatabase" vbProcedure="false">ALKP!$A$1:$AY$1</definedName>
    <definedName function="false" hidden="true" localSheetId="99" name="_xlnm._FilterDatabase" vbProcedure="false">ASP!$A$1:$AY$1</definedName>
    <definedName function="false" hidden="true" localSheetId="67" name="_xlnm._FilterDatabase" vbProcedure="false">'AV.S'!$A$1:$AY$1</definedName>
    <definedName function="false" hidden="true" localSheetId="27" name="_xlnm._FilterDatabase" vbProcedure="false">'AWC (volume basis)'!$A$1:$AY$1</definedName>
    <definedName function="false" hidden="true" localSheetId="26" name="_xlnm._FilterDatabase" vbProcedure="false">'AWC (weight basis)'!$A$1:$AY$1</definedName>
    <definedName function="false" hidden="true" localSheetId="93" name="_xlnm._FilterDatabase" vbProcedure="false">'B-galactosidase'!$A$1:$AY$1</definedName>
    <definedName function="false" hidden="true" localSheetId="87" name="_xlnm._FilterDatabase" vbProcedure="false">'B-GLU'!$A$1:$AY$1</definedName>
    <definedName function="false" hidden="true" localSheetId="77" name="_xlnm._FilterDatabase" vbProcedure="false">'B(ppm)'!$A$1:$AY$1</definedName>
    <definedName function="false" hidden="true" localSheetId="131" name="_xlnm._FilterDatabase" vbProcedure="false">'BC ratio'!$A$1:$BU$1</definedName>
    <definedName function="false" hidden="true" localSheetId="9" name="_xlnm._FilterDatabase" vbProcedure="false">BD!$A$1:$AY$1</definedName>
    <definedName function="false" hidden="true" localSheetId="141" name="_xlnm._FilterDatabase" vbProcedure="false">'C input'!$A$1:$AX$1</definedName>
    <definedName function="false" hidden="true" localSheetId="56" name="_xlnm._FilterDatabase" vbProcedure="false">'C liability'!$A$1:$AY$1</definedName>
    <definedName function="false" hidden="true" localSheetId="142" name="_xlnm._FilterDatabase" vbProcedure="false">'C output'!$A$1:$AX$1</definedName>
    <definedName function="false" hidden="true" localSheetId="55" name="_xlnm._FilterDatabase" vbProcedure="false">'c sequestration rate'!$A$1:$AY$1</definedName>
    <definedName function="false" hidden="true" localSheetId="98" name="_xlnm._FilterDatabase" vbProcedure="false">CATALASE!$A$1:$AY$1</definedName>
    <definedName function="false" hidden="true" localSheetId="63" name="_xlnm._FilterDatabase" vbProcedure="false">CEC!$A$1:$AY$1</definedName>
    <definedName function="false" hidden="true" localSheetId="94" name="_xlnm._FilterDatabase" vbProcedure="false">CELL!$A$1:$AY$1</definedName>
    <definedName function="false" hidden="true" localSheetId="110" name="_xlnm._FilterDatabase" vbProcedure="false">'Cellulolytic count'!$A$1:$AY$1</definedName>
    <definedName function="false" hidden="true" localSheetId="144" name="_xlnm._FilterDatabase" vbProcedure="false">CER!$A$1:$AX$1</definedName>
    <definedName function="false" hidden="true" localSheetId="59" name="_xlnm._FilterDatabase" vbProcedure="false">CMI!$A$1:$AY$1</definedName>
    <definedName function="false" hidden="true" localSheetId="137" name="_xlnm._FilterDatabase" vbProcedure="false">'CO2 emission'!$A$1:$BU$1</definedName>
    <definedName function="false" hidden="true" localSheetId="58" name="_xlnm._FilterDatabase" vbProcedure="false">CPI!$A$1:$AY$1</definedName>
    <definedName function="false" hidden="true" localSheetId="47" name="_xlnm._FilterDatabase" vbProcedure="false">'cPOM-C'!$A$1:$AY$1</definedName>
    <definedName function="false" hidden="true" localSheetId="143" name="_xlnm._FilterDatabase" vbProcedure="false">CSI!$A$1:$AX$1</definedName>
    <definedName function="false" hidden="true" localSheetId="80" name="_xlnm._FilterDatabase" vbProcedure="false">'Cu(ppm)'!$A$1:$AY$1</definedName>
    <definedName function="false" hidden="true" localSheetId="123" name="_xlnm._FilterDatabase" vbProcedure="false">'DAYS TO FLOWERING'!$A$1:$BK$1</definedName>
    <definedName function="false" hidden="true" localSheetId="124" name="_xlnm._FilterDatabase" vbProcedure="false">'DAYS TO MATURITY'!$A$1:$BK$1</definedName>
    <definedName function="false" hidden="true" localSheetId="86" name="_xlnm._FilterDatabase" vbProcedure="false">DHA!$A$1:$AY$1</definedName>
    <definedName function="false" hidden="true" localSheetId="42" name="_xlnm._FilterDatabase" vbProcedure="false">DOC!$A$1:$AY$1</definedName>
    <definedName function="false" hidden="true" localSheetId="109" name="_xlnm._FilterDatabase" vbProcedure="false">EARTHWORM!$A$1:$AY$1</definedName>
    <definedName function="false" hidden="true" localSheetId="62" name="_xlnm._FilterDatabase" vbProcedure="false">EC!$A$1:$AY$1</definedName>
    <definedName function="false" hidden="true" localSheetId="135" name="_xlnm._FilterDatabase" vbProcedure="false">'emission CH4'!$A$1:$BU$1</definedName>
    <definedName function="false" hidden="true" localSheetId="136" name="_xlnm._FilterDatabase" vbProcedure="false">'emission N2O'!$A$1:$BU$1</definedName>
    <definedName function="false" hidden="true" localSheetId="72" name="_xlnm._FilterDatabase" vbProcedure="false">'EX-K'!$A$1:$AY$1</definedName>
    <definedName function="false" hidden="true" localSheetId="29" name="_xlnm._FilterDatabase" vbProcedure="false">'FC (weight basis)'!$A$1:$AY$1</definedName>
    <definedName function="false" hidden="true" localSheetId="104" name="_xlnm._FilterDatabase" vbProcedure="false">FDA!$A$1:$AY$1</definedName>
    <definedName function="false" hidden="true" localSheetId="78" name="_xlnm._FilterDatabase" vbProcedure="false">'Fe(ppm)'!$A$1:$AY$1</definedName>
    <definedName function="false" hidden="true" localSheetId="48" name="_xlnm._FilterDatabase" vbProcedure="false">'fPOM-C'!$A$1:$AY$1</definedName>
    <definedName function="false" hidden="true" localSheetId="108" name="_xlnm._FilterDatabase" vbProcedure="false">'Fungal count'!$A$1:$AY$1</definedName>
    <definedName function="false" hidden="true" localSheetId="90" name="_xlnm._FilterDatabase" vbProcedure="false">GAP!$A$1:$AY$1</definedName>
    <definedName function="false" hidden="true" localSheetId="145" name="_xlnm._FilterDatabase" vbProcedure="false">'GHG intensity'!$A$1:$AX$1</definedName>
    <definedName function="false" hidden="true" localSheetId="84" name="_xlnm._FilterDatabase" vbProcedure="false">GLOMALIN!$A$1:$AY$1</definedName>
    <definedName function="false" hidden="true" localSheetId="17" name="_xlnm._FilterDatabase" vbProcedure="false">'GMD 1'!$A$1:$AY$1</definedName>
    <definedName function="false" hidden="true" localSheetId="125" name="_xlnm._FilterDatabase" vbProcedure="false">'GRAIN FILLING DAYS'!$A$1:$BK$1</definedName>
    <definedName function="false" hidden="true" localSheetId="120" name="_xlnm._FilterDatabase" vbProcedure="false">'GRAINS PER PANICLE'!$A$1:$BK$1</definedName>
    <definedName function="false" hidden="true" localSheetId="32" name="_xlnm._FilterDatabase" vbProcedure="false">GWC!$A$1:$AY$1</definedName>
    <definedName function="false" hidden="true" localSheetId="139" name="_xlnm._FilterDatabase" vbProcedure="false">GWP!$A$1:$BU$1</definedName>
    <definedName function="false" hidden="true" localSheetId="122" name="_xlnm._FilterDatabase" vbProcedure="false">'HARVEST INDEX'!$A$1:$BK$1</definedName>
    <definedName function="false" hidden="true" localSheetId="24" name="_xlnm._FilterDatabase" vbProcedure="false">HC!$A$1:$AY$1</definedName>
    <definedName function="false" hidden="true" localSheetId="44" name="_xlnm._FilterDatabase" vbProcedure="false">HFOC!$A$1:$AY$1</definedName>
    <definedName function="false" hidden="true" localSheetId="97" name="_xlnm._FilterDatabase" vbProcedure="false">INVERTASE!$A$1:$AY$1</definedName>
    <definedName function="false" hidden="true" localSheetId="25" name="_xlnm._FilterDatabase" vbProcedure="false">IR!$A$1:$BK$1</definedName>
    <definedName function="false" hidden="true" localSheetId="66" name="_xlnm._FilterDatabase" vbProcedure="false">K!$A$1:$AY$1</definedName>
    <definedName function="false" hidden="true" localSheetId="128" name="_xlnm._FilterDatabase" vbProcedure="false">'K uptake'!$A$1:$BI$1</definedName>
    <definedName function="false" hidden="true" localSheetId="91" name="_xlnm._FilterDatabase" vbProcedure="false">LAP!$A$1:$AY$1</definedName>
    <definedName function="false" hidden="true" localSheetId="8" name="_xlnm._FilterDatabase" vbProcedure="false">LAT_LONG!$A$1:$M$1</definedName>
    <definedName function="false" hidden="true" localSheetId="51" name="_xlnm._FilterDatabase" vbProcedure="false">'LC(Cfrac2)'!$A$1:$AY$1</definedName>
    <definedName function="false" hidden="true" localSheetId="43" name="_xlnm._FilterDatabase" vbProcedure="false">'LFC-LFOC'!$A$1:$AY$1</definedName>
    <definedName function="false" hidden="true" localSheetId="45" name="_xlnm._FilterDatabase" vbProcedure="false">LFON!$A$1:$AY$1</definedName>
    <definedName function="false" hidden="true" localSheetId="57" name="_xlnm._FilterDatabase" vbProcedure="false">LI!$A$1:$AY$1</definedName>
    <definedName function="false" hidden="true" localSheetId="52" name="_xlnm._FilterDatabase" vbProcedure="false">'LLC(Cfrac3)'!$A$1:$AY$1</definedName>
    <definedName function="false" hidden="true" localSheetId="19" name="_xlnm._FilterDatabase" vbProcedure="false">MACRO!$A$1:$AY$1</definedName>
    <definedName function="false" hidden="true" localSheetId="21" name="_xlnm._FilterDatabase" vbProcedure="false">'macro c'!$A$1:$AY$1</definedName>
    <definedName function="false" hidden="true" localSheetId="12" name="_xlnm._FilterDatabase" vbProcedure="false">'macro pore'!$A$1:$AY$1</definedName>
    <definedName function="false" hidden="true" localSheetId="82" name="_xlnm._FilterDatabase" vbProcedure="false">MBC!$A$1:$AY$1</definedName>
    <definedName function="false" hidden="true" localSheetId="83"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2" name="_xlnm._FilterDatabase" vbProcedure="false">'micro c'!$A$1:$AY$1</definedName>
    <definedName function="false" hidden="true" localSheetId="14" name="_xlnm._FilterDatabase" vbProcedure="false">'micro pore'!$A$1:$AY$1</definedName>
    <definedName function="false" hidden="true" localSheetId="79" name="_xlnm._FilterDatabase" vbProcedure="false">Mn!$A$1:$AY$1</definedName>
    <definedName function="false" hidden="true" localSheetId="40" name="_xlnm._FilterDatabase" vbProcedure="false">MOC!$A$1:$AY$1</definedName>
    <definedName function="false" hidden="true" localSheetId="33"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5" name="_xlnm._FilterDatabase" vbProcedure="false">'MYCORRHIZAL SPORES'!$A$1:$AY$1</definedName>
    <definedName function="false" hidden="true" localSheetId="64" name="_xlnm._FilterDatabase" vbProcedure="false">N!$A$1:$AY$1</definedName>
    <definedName function="false" hidden="true" localSheetId="126" name="_xlnm._FilterDatabase" vbProcedure="false">'N uptake'!$A$1:$BJ$1</definedName>
    <definedName function="false" hidden="true" localSheetId="92" name="_xlnm._FilterDatabase" vbProcedure="false">NAG!$A$1:$AY$1</definedName>
    <definedName function="false" hidden="true" localSheetId="133" name="_xlnm._FilterDatabase" vbProcedure="false">'NET ECONOMIC BENEFIT'!$A$1:$BU$1</definedName>
    <definedName function="false" hidden="true" localSheetId="132" name="_xlnm._FilterDatabase" vbProcedure="false">'NET RETURN'!$A$1:$BU$1</definedName>
    <definedName function="false" hidden="true" localSheetId="73" name="_xlnm._FilterDatabase" vbProcedure="false">'NEX-K'!$A$1:$AY$1</definedName>
    <definedName function="false" hidden="true" localSheetId="140" name="_xlnm._FilterDatabase" vbProcedure="false">NGWP!$A$1:$BU$1</definedName>
    <definedName function="false" hidden="true" localSheetId="53" name="_xlnm._FilterDatabase" vbProcedure="false">'NLC(Cfrac4)'!$A$1:$AY$1</definedName>
    <definedName function="false" hidden="true" localSheetId="138" name="_xlnm._FilterDatabase" vbProcedure="false">NO!$A$1:$BU$1</definedName>
    <definedName function="false" hidden="true" localSheetId="75" name="_xlnm._FilterDatabase" vbProcedure="false">'NO3 leaching'!$A$1:$AY$1</definedName>
    <definedName function="false" hidden="true" localSheetId="74" name="_xlnm._FilterDatabase" vbProcedure="false">'no3,nh4,PMN'!$A$1:$CI$1</definedName>
    <definedName function="false" hidden="true" localSheetId="105" name="_xlnm._FilterDatabase" vbProcedure="false">NR!$A$1:$AY$1</definedName>
    <definedName function="false" hidden="true" localSheetId="130" name="_xlnm._FilterDatabase" vbProcedure="false">NUE!$A$1:$BV$1</definedName>
    <definedName function="false" hidden="true" localSheetId="65" name="_xlnm._FilterDatabase" vbProcedure="false">P!$A$1:$AY$1</definedName>
    <definedName function="false" hidden="true" localSheetId="127" name="_xlnm._FilterDatabase" vbProcedure="false">'P uptake'!$A$1:$BI$1</definedName>
    <definedName function="false" hidden="true" localSheetId="119" name="_xlnm._FilterDatabase" vbProcedure="false">'PANICLE-SPIKE DENSITY'!$A$1:$BK$1</definedName>
    <definedName function="false" hidden="true" localSheetId="10" name="_xlnm._FilterDatabase" vbProcedure="false">PD!$A$1:$AZ$1</definedName>
    <definedName function="false" hidden="true" localSheetId="102" name="_xlnm._FilterDatabase" vbProcedure="false">PEROX!$A$1:$AY$1</definedName>
    <definedName function="false" hidden="true" localSheetId="61" name="_xlnm._FilterDatabase" vbProcedure="false">PH!$A$1:$AY$1</definedName>
    <definedName function="false" hidden="true" localSheetId="101" name="_xlnm._FilterDatabase" vbProcedure="false">PHOX!$A$1:$AY$1</definedName>
    <definedName function="false" hidden="true" localSheetId="96" name="_xlnm._FilterDatabase" vbProcedure="false">PHYTASE!$A$1:$AY$1</definedName>
    <definedName function="false" hidden="true" localSheetId="112" name="_xlnm._FilterDatabase" vbProcedure="false">'PLANT HEIGHT'!$A$1:$BK$1</definedName>
    <definedName function="false" hidden="true" localSheetId="46" name="_xlnm._FilterDatabase" vbProcedure="false">PON!$A$1:$AY$1</definedName>
    <definedName function="false" hidden="true" localSheetId="11" name="_xlnm._FilterDatabase" vbProcedure="false">POROSITY!$A$1:$AY$1</definedName>
    <definedName function="false" hidden="true" localSheetId="49" name="_xlnm._FilterDatabase" vbProcedure="false">'POXC(KMnO4-C)'!$A$1:$AY$1</definedName>
    <definedName function="false" hidden="true" localSheetId="103" name="_xlnm._FilterDatabase" vbProcedure="false">PPO!$A$1:$AY$1</definedName>
    <definedName function="false" hidden="true" localSheetId="23" name="_xlnm._FilterDatabase" vbProcedure="false">PR!$A$1:$AY$1</definedName>
    <definedName function="false" hidden="true" localSheetId="39" name="_xlnm._FilterDatabase" vbProcedure="false">PSOC!$A$1:$AY$1</definedName>
    <definedName function="false" hidden="true" localSheetId="30" name="_xlnm._FilterDatabase" vbProcedure="false">'PWP (weight basis)'!$A$1:$AY$1</definedName>
    <definedName function="false" hidden="true" localSheetId="60" name="_xlnm._FilterDatabase" vbProcedure="false">RESP!$A$1:$AY$1</definedName>
    <definedName function="false" hidden="true" localSheetId="111" name="_xlnm._FilterDatabase" vbProcedure="false">'RLD(CM-CM3)'!$A$1:$BK$1</definedName>
    <definedName function="false" hidden="true" localSheetId="113" name="_xlnm._FilterDatabase" vbProcedure="false">'RMD(mg-cm3)'!$A$1:$BK$1</definedName>
    <definedName function="false" hidden="true" localSheetId="116" name="_xlnm._FilterDatabase" vbProcedure="false">'ROOT DIA(mm)'!$A$1:$BK$1</definedName>
    <definedName function="false" hidden="true" localSheetId="115" name="_xlnm._FilterDatabase" vbProcedure="false">'RSD(cm2-cm3)'!$A$1:$BK$1</definedName>
    <definedName function="false" hidden="true" localSheetId="114" name="_xlnm._FilterDatabase" vbProcedure="false">'RVD(cm3-cm3)'!$A$1:$BK$1</definedName>
    <definedName function="false" hidden="true" localSheetId="31" name="_xlnm._FilterDatabase" vbProcedure="false">'SAT WC'!$A$1:$AY$1</definedName>
    <definedName function="false" hidden="true" localSheetId="38" name="_xlnm._FilterDatabase" vbProcedure="false">SIC!$A$1:$AY$1</definedName>
    <definedName function="false" hidden="true" localSheetId="35" name="_xlnm._FilterDatabase" vbProcedure="false">'SOC(active C pool)'!$A$1:$BB$1</definedName>
    <definedName function="false" hidden="true" localSheetId="107" name="_xlnm._FilterDatabase" vbProcedure="false">'Soil microbial count'!$A$1:$AY$1</definedName>
    <definedName function="false" hidden="true" localSheetId="134" name="_xlnm._FilterDatabase" vbProcedure="false">SQI!$A$1:$AY$1</definedName>
    <definedName function="false" hidden="true" localSheetId="54" name="_xlnm._FilterDatabase" vbProcedure="false">'stock-SOC'!$A$1:$BB$1</definedName>
    <definedName function="false" hidden="true" localSheetId="4" name="_xlnm._FilterDatabase" vbProcedure="false">Study_Info!$A$1:$AR$1</definedName>
    <definedName function="false" hidden="true" localSheetId="118" name="_xlnm._FilterDatabase" vbProcedure="false">'SYS STRAW'!$A$1:$AX$1</definedName>
    <definedName function="false" hidden="true" localSheetId="37" name="_xlnm._FilterDatabase" vbProcedure="false">'TC(total c)'!$A$1:$AY$1</definedName>
    <definedName function="false" hidden="true" localSheetId="34" name="_xlnm._FilterDatabase" vbProcedure="false">TEXTURE!$A$1:$AM$1</definedName>
    <definedName function="false" hidden="true" localSheetId="36" name="_xlnm._FilterDatabase" vbProcedure="false">TOC!$A$1:$AY$1</definedName>
    <definedName function="false" hidden="true" localSheetId="70" name="_xlnm._FilterDatabase" vbProcedure="false">'total K'!$A$1:$AY$1</definedName>
    <definedName function="false" hidden="true" localSheetId="68" name="_xlnm._FilterDatabase" vbProcedure="false">'total N'!$A$1:$AY$1</definedName>
    <definedName function="false" hidden="true" localSheetId="69" name="_xlnm._FilterDatabase" vbProcedure="false">'total P'!$A$1:$AY$1</definedName>
    <definedName function="false" hidden="true" localSheetId="7" name="_xlnm._FilterDatabase" vbProcedure="false">Treatment_Mapping!$A$1:$N$1</definedName>
    <definedName function="false" hidden="true" localSheetId="95" name="_xlnm._FilterDatabase" vbProcedure="false">UREASE!$A$1:$AY$1</definedName>
    <definedName function="false" hidden="true" localSheetId="50" name="_xlnm._FilterDatabase" vbProcedure="false">'VLC(Cfrac1)'!$A$1:$AY$1</definedName>
    <definedName function="false" hidden="true" localSheetId="28" name="_xlnm._FilterDatabase" vbProcedure="false">WHC!$A$1:$AY$1</definedName>
    <definedName function="false" hidden="true" localSheetId="71" name="_xlnm._FilterDatabase" vbProcedure="false">'WS-K'!$A$1:$AY$1</definedName>
    <definedName function="false" hidden="true" localSheetId="18" name="_xlnm._FilterDatabase" vbProcedure="false">WSA!$A$1:$AY$1</definedName>
    <definedName function="false" hidden="true" localSheetId="41" name="_xlnm._FilterDatabase" vbProcedure="false">WSC!$A$1:$AY$1</definedName>
    <definedName function="false" hidden="true" localSheetId="129" name="_xlnm._FilterDatabase" vbProcedure="false">WUE!$A$1:$BU$1</definedName>
    <definedName function="false" hidden="true" localSheetId="100" name="_xlnm._FilterDatabase" vbProcedure="false">XYL!$A$1:$AY$1</definedName>
    <definedName function="false" hidden="true" localSheetId="117" name="_xlnm._FilterDatabase" vbProcedure="false">YIELD!$A$1:$CS$1</definedName>
    <definedName function="false" hidden="true" localSheetId="81"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6.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<sst xmlns="http://schemas.openxmlformats.org/spreadsheetml/2006/main" count="13919" uniqueCount="3852">
  <si>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</si>
  <si>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</si>
  <si>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</si>
  <si>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</si>
  <si>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</si>
  <si>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</si>
  <si>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</si>
  <si>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</si>
  <si>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</si>
  <si>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</si>
  <si>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</si>
  <si>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</si>
  <si>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</si>
  <si>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</si>
  <si>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</si>
  <si>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</si>
  <si>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</si>
  <si>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</si>
  <si>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</si>
  <si>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</si>
  <si>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</si>
  <si>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</si>
  <si>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</si>
  <si>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</si>
  <si>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</si>
  <si>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</si>
  <si>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</si>
  <si>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</si>
  <si>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</si>
  <si>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</si>
  <si>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</si>
  <si>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</si>
  <si>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</si>
  <si>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</si>
  <si>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</si>
  <si>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</si>
  <si>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</si>
  <si>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</si>
  <si>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</si>
  <si>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</si>
  <si>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</si>
  <si>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</si>
  <si>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</si>
  <si>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</si>
  <si>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</si>
  <si>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</si>
  <si>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</si>
  <si>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</si>
  <si>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</si>
  <si>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</si>
  <si>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</si>
  <si>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</si>
  <si>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</si>
  <si>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</si>
  <si>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</si>
  <si>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</si>
  <si>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</si>
  <si>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</si>
  <si>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</si>
  <si>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</si>
  <si>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</si>
  <si>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</si>
  <si>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</si>
  <si>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</si>
  <si>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</si>
  <si>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</si>
  <si>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</si>
  <si>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</si>
  <si>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</si>
  <si>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</si>
  <si>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</si>
  <si>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</si>
  <si>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</si>
  <si>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</si>
  <si>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</si>
  <si>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</si>
  <si>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</si>
  <si>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</si>
  <si>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</si>
  <si>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</si>
  <si>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</si>
  <si>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</si>
  <si>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</si>
  <si>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</si>
  <si>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</si>
  <si>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</si>
  <si>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</si>
  <si>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</si>
  <si>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</si>
  <si>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</si>
  <si>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</si>
  <si>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</si>
  <si>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</si>
  <si>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</si>
  <si>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</si>
  <si>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</si>
  <si>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</si>
  <si>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</si>
  <si>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</si>
  <si>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</si>
  <si>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</si>
  <si>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</si>
  <si>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</si>
  <si>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</si>
  <si>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</si>
  <si>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</si>
  <si>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</si>
  <si>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</si>
  <si>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</si>
  <si>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</si>
  <si>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</si>
  <si>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</si>
  <si>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</si>
  <si>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</si>
  <si>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</si>
  <si>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</si>
  <si>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</si>
  <si>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</si>
  <si>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</si>
  <si>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</si>
  <si>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</si>
  <si>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</si>
  <si>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</si>
  <si>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</si>
  <si>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</si>
  <si>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</si>
  <si>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</si>
  <si>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</si>
  <si>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</si>
  <si>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</si>
  <si>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</si>
  <si>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</si>
  <si>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</si>
  <si>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</si>
  <si>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</si>
  <si>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</si>
  <si>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</si>
  <si>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</si>
  <si>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</si>
  <si>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</si>
  <si>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</si>
  <si>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</si>
  <si>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</si>
  <si>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</si>
  <si>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</si>
  <si>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</si>
  <si>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</si>
  <si>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</si>
  <si>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</si>
  <si>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</si>
  <si>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</si>
  <si>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</si>
  <si>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</si>
  <si>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</si>
  <si>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</si>
  <si>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</si>
  <si>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</si>
  <si>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</si>
  <si>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</si>
  <si>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</si>
  <si>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</si>
  <si>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</si>
  <si>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</si>
  <si>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</si>
  <si>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</si>
  <si>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</si>
  <si>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</si>
  <si>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</si>
  <si>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</si>
  <si>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</si>
  <si>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</si>
  <si>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</si>
  <si>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</si>
  <si>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</si>
  <si>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</si>
  <si>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</si>
  <si>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</si>
  <si>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</si>
  <si>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</si>
  <si>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</si>
  <si>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</si>
  <si>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</si>
  <si>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</si>
  <si>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</si>
  <si>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</si>
  <si>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</si>
  <si>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</si>
  <si>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</si>
  <si>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</si>
  <si>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</si>
  <si>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</si>
  <si>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</si>
  <si>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</si>
  <si>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</si>
  <si>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</si>
  <si>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</si>
  <si>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</si>
  <si>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</si>
  <si>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</si>
  <si>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</si>
  <si>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</si>
  <si>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</si>
  <si>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</si>
  <si>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</si>
  <si>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</si>
  <si>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</si>
  <si>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</si>
  <si>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</si>
  <si>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</si>
  <si>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</si>
  <si>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</si>
  <si>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</si>
  <si>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</si>
  <si>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</si>
  <si>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</si>
  <si>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</si>
  <si>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</si>
  <si>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</si>
  <si>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</si>
  <si>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</si>
  <si>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</si>
  <si>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</si>
  <si>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</si>
  <si>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</si>
  <si>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</si>
  <si>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</si>
  <si>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</si>
  <si>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</si>
  <si>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</si>
  <si>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</si>
  <si>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</si>
  <si>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</si>
  <si>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</si>
  <si>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</si>
  <si>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</si>
  <si>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</si>
  <si>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</si>
  <si>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</si>
  <si>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</si>
  <si>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</si>
  <si>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</si>
  <si>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</si>
  <si>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</si>
  <si>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</si>
  <si>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</si>
  <si>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</si>
  <si>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</si>
  <si>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</si>
  <si>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</si>
  <si>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</si>
  <si>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</si>
  <si>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</si>
  <si>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</si>
  <si>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</si>
  <si>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</si>
  <si>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</si>
  <si>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</si>
  <si>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</si>
  <si>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</si>
  <si>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</si>
  <si>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</si>
  <si>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</si>
  <si>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</si>
  <si>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</si>
  <si>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</si>
  <si>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</si>
  <si>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</si>
  <si>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</si>
  <si>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</si>
  <si>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</si>
  <si>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</si>
  <si>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</si>
  <si>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</si>
  <si>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</si>
  <si>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</si>
  <si>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</si>
  <si>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</si>
  <si>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</si>
  <si>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</si>
  <si>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</si>
  <si>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</si>
  <si>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</si>
  <si>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</si>
  <si>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</si>
  <si>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</si>
  <si>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</si>
  <si>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</si>
  <si>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</si>
  <si>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</si>
  <si>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</si>
  <si>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</si>
  <si>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</si>
  <si>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</si>
  <si>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</si>
  <si>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</si>
  <si>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</si>
  <si>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</si>
  <si>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</si>
  <si>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</si>
  <si>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</si>
  <si>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</si>
  <si>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</si>
  <si>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</si>
  <si>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</si>
  <si>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</si>
  <si>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</si>
  <si>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</si>
  <si>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</si>
  <si>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</si>
  <si>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</si>
  <si>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</si>
  <si>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</si>
  <si>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</si>
  <si>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</si>
  <si>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</si>
  <si>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</si>
  <si>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</si>
  <si>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</si>
  <si>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</si>
  <si>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</si>
  <si>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</si>
  <si>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</si>
  <si>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PENDING CONFIRMATION</t>
  </si>
  <si>
    <t xml:space="preserve">Soil sampled only after rice harvest -&gt; rice-season fallback, whole rows red (rule 36).</t>
  </si>
  <si>
    <t xml:space="preserve">Dhaliwal 2020 (168): all soil rows red.</t>
  </si>
  <si>
    <t xml:space="preserve">IN FORCE (rule 36)</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</si>
  <si>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</si>
  <si>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</si>
  <si>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</si>
  <si>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Aggregate-scale water retention (pressure plate on packed aggregates) entered on FC / PWP / AWC sheets, flagged AGGREGATE-SCALE; AWCv uses the paper's initial BD.</t>
  </si>
  <si>
    <t xml:space="preserve">Das 2014 (166) Table 3, 2-5 mm and 5-8 mm aggregates (separate rows).</t>
  </si>
  <si>
    <t xml:space="preserve">Default 2026-10-05 (rule 9)</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</si>
  <si>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</si>
  <si>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</si>
  <si>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</si>
  <si>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</si>
  <si>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</si>
  <si>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</si>
  <si>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</si>
  <si>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</si>
  <si>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</si>
  <si>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</si>
  <si>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</si>
  <si>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</si>
  <si>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</si>
  <si>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</si>
  <si>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</si>
  <si>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</si>
  <si>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</si>
  <si>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</si>
  <si>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</si>
  <si>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</si>
  <si>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</si>
  <si>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</si>
  <si>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</si>
  <si>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</si>
  <si>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</si>
  <si>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</si>
  <si>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</si>
  <si>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</si>
  <si>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</si>
  <si>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</si>
  <si>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</si>
  <si>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</si>
  <si>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</si>
  <si>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</si>
  <si>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</si>
  <si>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</si>
  <si>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</si>
  <si>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</si>
  <si>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</si>
  <si>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</si>
  <si>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</si>
  <si>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</si>
  <si>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</si>
  <si>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</si>
  <si>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</si>
  <si>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</si>
  <si>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</si>
  <si>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</si>
  <si>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</si>
  <si>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</si>
  <si>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</si>
  <si>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</si>
  <si>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</si>
  <si>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</si>
  <si>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</si>
  <si>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</si>
  <si>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</si>
  <si>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</si>
  <si>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</si>
  <si>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</si>
  <si>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</si>
  <si>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</si>
  <si>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</si>
  <si>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</si>
  <si>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</si>
  <si>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</si>
  <si>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</si>
  <si>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</si>
  <si>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</si>
  <si>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</si>
  <si>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</si>
  <si>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</si>
  <si>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</si>
  <si>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</si>
  <si>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</si>
  <si>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</si>
  <si>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</si>
  <si>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</si>
  <si>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</si>
  <si>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</si>
  <si>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</si>
  <si>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</si>
  <si>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</si>
  <si>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</si>
  <si>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</si>
  <si>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</si>
  <si>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</si>
  <si>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</si>
  <si>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</si>
  <si>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</si>
  <si>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</si>
  <si>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</si>
  <si>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</si>
  <si>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</si>
  <si>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</si>
  <si>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</si>
  <si>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</si>
  <si>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</si>
  <si>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</si>
  <si>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</si>
  <si>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</si>
  <si>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</si>
  <si>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</si>
  <si>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</si>
  <si>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</si>
  <si>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</si>
  <si>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</si>
  <si>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</si>
  <si>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</si>
  <si>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</si>
  <si>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</si>
  <si>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</si>
  <si>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</si>
  <si>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</si>
  <si>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</si>
  <si>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</si>
  <si>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</si>
  <si>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</si>
  <si>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</si>
  <si>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</si>
  <si>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</si>
  <si>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</si>
  <si>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</si>
  <si>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</si>
  <si>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</si>
  <si>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</si>
  <si>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</si>
  <si>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</si>
  <si>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</si>
  <si>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</si>
  <si>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</si>
  <si>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</si>
  <si>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</si>
  <si>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</si>
  <si>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</si>
  <si>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</si>
  <si>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</si>
  <si>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</si>
  <si>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</si>
  <si>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</si>
  <si>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</si>
  <si>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</si>
  <si>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</si>
  <si>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</si>
  <si>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</si>
  <si>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</si>
  <si>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</si>
  <si>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</si>
  <si>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</si>
  <si>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</si>
  <si>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</si>
  <si>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</si>
  <si>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</si>
  <si>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</si>
  <si>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</si>
  <si>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</si>
  <si>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</si>
  <si>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</si>
  <si>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</si>
  <si>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</si>
  <si>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</si>
  <si>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</si>
  <si>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</si>
  <si>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</si>
  <si>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</si>
  <si>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</si>
  <si>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</si>
  <si>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</si>
  <si>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</si>
  <si>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</si>
  <si>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</si>
  <si>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</si>
  <si>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</si>
  <si>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</si>
  <si>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</si>
  <si>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</si>
  <si>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</si>
  <si>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</si>
  <si>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</si>
  <si>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</si>
  <si>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</si>
  <si>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</si>
  <si>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</si>
  <si>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</si>
  <si>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</si>
  <si>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</si>
  <si>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</si>
  <si>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</si>
  <si>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</si>
  <si>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</si>
  <si>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</si>
  <si>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</si>
  <si>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</si>
  <si>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</si>
  <si>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</si>
  <si>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</si>
  <si>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</si>
  <si>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</si>
  <si>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</si>
  <si>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</si>
  <si>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</si>
  <si>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</si>
  <si>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</si>
  <si>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</si>
  <si>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</si>
  <si>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</si>
  <si>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</si>
  <si>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</si>
  <si>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</si>
  <si>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</si>
  <si>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</si>
  <si>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</si>
  <si>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</si>
  <si>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</si>
  <si>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</si>
  <si>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</si>
  <si>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</si>
  <si>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</si>
  <si>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</si>
  <si>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</si>
  <si>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</si>
  <si>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</si>
  <si>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</si>
  <si>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</si>
  <si>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</si>
  <si>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</si>
  <si>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</si>
  <si>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</si>
  <si>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</si>
  <si>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</si>
  <si>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</si>
  <si>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</si>
  <si>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</si>
  <si>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</si>
  <si>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</si>
  <si>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</si>
  <si>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</si>
  <si>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</si>
  <si>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</si>
  <si>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</si>
  <si>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</si>
  <si>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</si>
  <si>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</si>
  <si>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</si>
  <si>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</si>
  <si>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</si>
  <si>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</si>
  <si>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</si>
  <si>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</si>
  <si>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</si>
  <si>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</si>
  <si>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</si>
  <si>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</si>
  <si>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</si>
  <si>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</si>
  <si>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</si>
  <si>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</si>
  <si>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</si>
  <si>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</si>
  <si>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</si>
  <si>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</si>
  <si>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</si>
  <si>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</si>
  <si>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</si>
  <si>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</si>
  <si>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</si>
  <si>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</si>
  <si>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</si>
  <si>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</si>
  <si>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</si>
  <si>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</si>
  <si>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</si>
  <si>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</si>
  <si>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</si>
  <si>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</si>
  <si>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</si>
  <si>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</si>
  <si>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</si>
  <si>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</si>
  <si>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</si>
  <si>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</si>
  <si>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</si>
  <si>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</si>
  <si>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</si>
  <si>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</si>
  <si>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</si>
  <si>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</si>
  <si>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</si>
  <si>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</si>
  <si>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</si>
  <si>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</si>
  <si>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</si>
  <si>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</si>
  <si>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</si>
  <si>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</si>
  <si>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</si>
  <si>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</si>
  <si>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</si>
  <si>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</si>
  <si>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</si>
  <si>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</si>
  <si>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</si>
  <si>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</si>
  <si>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</si>
  <si>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</si>
  <si>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</si>
  <si>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</si>
  <si>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</si>
  <si>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</si>
  <si>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</si>
  <si>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</si>
  <si>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</si>
  <si>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</si>
  <si>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</si>
  <si>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</si>
  <si>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</si>
  <si>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</si>
  <si>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</si>
  <si>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</si>
  <si>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</si>
  <si>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</si>
  <si>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</si>
  <si>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</si>
  <si>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</si>
  <si>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</si>
  <si>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</si>
  <si>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</si>
  <si>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</si>
  <si>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</si>
  <si>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</si>
  <si>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</si>
  <si>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</si>
  <si>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</si>
  <si>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</si>
  <si>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</si>
  <si>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</si>
  <si>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</si>
  <si>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</si>
  <si>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</si>
  <si>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</si>
  <si>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</si>
  <si>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</si>
  <si>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</si>
  <si>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</si>
  <si>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</si>
  <si>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</si>
  <si>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</si>
  <si>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</si>
  <si>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</si>
  <si>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</si>
  <si>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</si>
  <si>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</si>
  <si>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</si>
  <si>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</si>
  <si>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</si>
  <si>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</si>
  <si>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</si>
  <si>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</si>
  <si>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</si>
  <si>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</si>
  <si>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</si>
  <si>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</si>
  <si>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</si>
  <si>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</si>
  <si>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</si>
  <si>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</si>
  <si>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</si>
  <si>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</si>
  <si>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</si>
  <si>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</si>
  <si>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</si>
  <si>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</si>
  <si>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</si>
  <si>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</si>
  <si>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</si>
  <si>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</si>
  <si>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</si>
  <si>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</si>
  <si>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</si>
  <si>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</si>
  <si>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</si>
  <si>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</si>
  <si>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</si>
  <si>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</si>
  <si>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</si>
  <si>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</si>
  <si>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</si>
  <si>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</si>
  <si>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</si>
  <si>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</si>
  <si>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</si>
  <si>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</si>
  <si>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</si>
  <si>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</si>
  <si>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</si>
  <si>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</si>
  <si>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</si>
  <si>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</si>
  <si>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</si>
  <si>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</si>
  <si>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</si>
  <si>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</si>
  <si>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</si>
  <si>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</si>
  <si>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</si>
  <si>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</si>
  <si>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</si>
  <si>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</si>
  <si>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</si>
  <si>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</si>
  <si>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</si>
  <si>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</si>
  <si>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</si>
  <si>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</si>
  <si>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</si>
  <si>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</si>
  <si>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</si>
  <si>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</si>
  <si>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</si>
  <si>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</si>
  <si>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</si>
  <si>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</si>
  <si>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</si>
  <si>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</si>
  <si>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</si>
  <si>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</si>
  <si>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</si>
  <si>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</si>
  <si>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</si>
  <si>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</si>
  <si>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</si>
  <si>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</si>
  <si>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</si>
  <si>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</si>
  <si>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</si>
  <si>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</si>
  <si>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</si>
  <si>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</si>
  <si>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</si>
  <si>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</si>
  <si>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</si>
  <si>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</si>
  <si>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</si>
  <si>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</si>
  <si>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</si>
  <si>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</si>
  <si>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</si>
  <si>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</si>
  <si>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</si>
  <si>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</si>
  <si>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</si>
  <si>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</si>
  <si>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</si>
  <si>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</si>
  <si>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</si>
  <si>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</si>
  <si>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</si>
  <si>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</si>
  <si>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</si>
  <si>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</si>
  <si>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</si>
  <si>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</si>
  <si>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</si>
  <si>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</si>
  <si>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</si>
  <si>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</si>
  <si>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</si>
  <si>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</si>
  <si>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</si>
  <si>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</si>
  <si>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</si>
  <si>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</si>
  <si>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</si>
  <si>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</si>
  <si>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</si>
  <si>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</si>
  <si>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</si>
  <si>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</si>
  <si>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</si>
  <si>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</si>
  <si>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</si>
  <si>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</si>
  <si>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</si>
  <si>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</si>
  <si>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</si>
  <si>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</si>
  <si>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</si>
  <si>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</si>
  <si>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</si>
  <si>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</si>
  <si>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</si>
  <si>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</si>
  <si>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</si>
  <si>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</si>
  <si>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</si>
  <si>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</si>
  <si>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</si>
  <si>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</si>
  <si>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</si>
  <si>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</si>
  <si>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</si>
  <si>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</si>
  <si>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</si>
  <si>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</si>
  <si>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</si>
  <si>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</si>
  <si>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</si>
  <si>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</si>
  <si>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</si>
  <si>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</si>
  <si>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</si>
  <si>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</si>
  <si>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</si>
  <si>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</si>
  <si>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</si>
  <si>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</si>
  <si>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</si>
  <si>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</si>
  <si>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</si>
  <si>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</si>
  <si>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</si>
  <si>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</si>
  <si>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</si>
  <si>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</si>
  <si>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</si>
  <si>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</si>
  <si>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</si>
  <si>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</si>
  <si>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</si>
  <si>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</si>
  <si>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</si>
  <si>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</si>
  <si>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</si>
  <si>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</si>
  <si>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</si>
  <si>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</si>
  <si>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</si>
  <si>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</si>
  <si>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</si>
  <si>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t>
  </si>
  <si>
    <t xml:space="preserve">PD</t>
  </si>
  <si>
    <t xml:space="preserve">NO DATA</t>
  </si>
  <si>
    <t xml:space="preserve">POROSITY</t>
  </si>
  <si>
    <t xml:space="preserve">macro pore</t>
  </si>
  <si>
    <t xml:space="preserve">meso pore</t>
  </si>
  <si>
    <t xml:space="preserve">micro pore</t>
  </si>
  <si>
    <t xml:space="preserve">MWD 1</t>
  </si>
  <si>
    <t xml:space="preserve">mm (wet sieving)</t>
  </si>
  <si>
    <t xml:space="preserve">168: 2; 166: 6</t>
  </si>
  <si>
    <t xml:space="preserve">MWDA</t>
  </si>
  <si>
    <t xml:space="preserve">mm (dry sieving)</t>
  </si>
  <si>
    <t xml:space="preserve">GMD 1</t>
  </si>
  <si>
    <t xml:space="preserve">mm</t>
  </si>
  <si>
    <t xml:space="preserve">WSA</t>
  </si>
  <si>
    <t xml:space="preserve">g/g soil (water-stable aggregates = sum of ALL water-stable fractions &gt; 0.053 mm; % / 100)</t>
  </si>
  <si>
    <t xml:space="preserve">168: 2; 166: 3</t>
  </si>
  <si>
    <t xml:space="preserve">MACRO</t>
  </si>
  <si>
    <t xml:space="preserve">% (&gt;0.25 mm aggregates)</t>
  </si>
  <si>
    <t xml:space="preserve">MICRO</t>
  </si>
  <si>
    <t xml:space="preserve">% (&lt;0.25 mm aggregates)</t>
  </si>
  <si>
    <t xml:space="preserve">macro c</t>
  </si>
  <si>
    <t xml:space="preserve">g/kg (C in &gt;0.25 mm aggregates)</t>
  </si>
  <si>
    <t xml:space="preserve">166: 3</t>
  </si>
  <si>
    <t xml:space="preserve">micro c</t>
  </si>
  <si>
    <t xml:space="preserve">g/kg (C in &lt;0.25 mm aggregates)</t>
  </si>
  <si>
    <t xml:space="preserve">PR</t>
  </si>
  <si>
    <t xml:space="preserve">MPa (soil penetration resistance; 10 cm depth classes 0-10 ... 50-60 CM, &gt;60 CM)</t>
  </si>
  <si>
    <t xml:space="preserve">HC</t>
  </si>
  <si>
    <t xml:space="preserve">cm/hr (saturated hydraulic conductivity)</t>
  </si>
  <si>
    <t xml:space="preserve">165: 2</t>
  </si>
  <si>
    <t xml:space="preserve">IR</t>
  </si>
  <si>
    <t xml:space="preserve">cm/hr. IR_ = STEADY-STATE infiltration rate (final / basic / quasi-steady rate at the end of the run). IIR_ = INITIAL infiltration rate (rate at the first reading). Author definition 2026-10-03.</t>
  </si>
  <si>
    <t xml:space="preserve">168: 1</t>
  </si>
  <si>
    <t xml:space="preserve">AWC (weight basis)</t>
  </si>
  <si>
    <t xml:space="preserve">% w/w (available water content, weight basis; v/v rows converted: AWCw = AWCv / BD)</t>
  </si>
  <si>
    <t xml:space="preserve">168: 1; 166: 6</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</si>
  <si>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</si>
  <si>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</si>
  <si>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</si>
  <si>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</si>
  <si>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</si>
  <si>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</si>
  <si>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</si>
  <si>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</si>
  <si>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</si>
  <si>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</si>
  <si>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</si>
  <si>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</si>
  <si>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Moisture storage</t>
  </si>
  <si>
    <t xml:space="preserve">mm (soil-profile moisture storage)</t>
  </si>
  <si>
    <t xml:space="preserve">TEXTURE</t>
  </si>
  <si>
    <t xml:space="preserve">% sand / silt / clay</t>
  </si>
  <si>
    <t xml:space="preserve">168: 2; 165: 4; 164: 7</t>
  </si>
  <si>
    <t xml:space="preserve">TOC</t>
  </si>
  <si>
    <t xml:space="preserve">TC(total c)</t>
  </si>
  <si>
    <t xml:space="preserve">SIC</t>
  </si>
  <si>
    <t xml:space="preserve">PSOC</t>
  </si>
  <si>
    <t xml:space="preserve">g/kg (particulate SOC)</t>
  </si>
  <si>
    <t xml:space="preserve">MOC</t>
  </si>
  <si>
    <t xml:space="preserve">g/kg (mineral-associated organic carbon, MOC/MAOC = SOC - POC)</t>
  </si>
  <si>
    <t xml:space="preserve">WSC</t>
  </si>
  <si>
    <t xml:space="preserve">mg/kg (water-soluble carbon)</t>
  </si>
  <si>
    <t xml:space="preserve">DOC</t>
  </si>
  <si>
    <t xml:space="preserve">dissolved organic carbon AS PRINTED (mg/kg soil or mg/L of extract - see UNIT column; mg/L values are not convertible without the extraction ratio)</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</si>
  <si>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</si>
  <si>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</si>
  <si>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</si>
  <si>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</si>
  <si>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</si>
  <si>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</si>
  <si>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</si>
  <si>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</si>
  <si>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</si>
  <si>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</si>
  <si>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fPOM-C</t>
  </si>
  <si>
    <t xml:space="preserve">g/kg (fine particulate organic matter carbon)</t>
  </si>
  <si>
    <t xml:space="preserve">mg/kg (permanganate-oxidisable C, KMnO4-C)</t>
  </si>
  <si>
    <t xml:space="preserve">VLC(Cfrac1)</t>
  </si>
  <si>
    <t xml:space="preserve">g/kg (very labile C, oxidisable by 12 N H2SO4 - Chan et al. 2001)</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</si>
  <si>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</si>
  <si>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</si>
  <si>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</si>
  <si>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</si>
  <si>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</si>
  <si>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</si>
  <si>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</si>
  <si>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t>
  </si>
  <si>
    <t xml:space="preserve">c sequestration rate</t>
  </si>
  <si>
    <t xml:space="preserve">Mg C/ha/yr  [(SOCs_final - SOCs_initial)/duration]</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</si>
  <si>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</si>
  <si>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</si>
  <si>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</si>
  <si>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</si>
  <si>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</si>
  <si>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</si>
  <si>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</si>
  <si>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</si>
  <si>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</si>
  <si>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</si>
  <si>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t>
  </si>
  <si>
    <t xml:space="preserve">PH</t>
  </si>
  <si>
    <t xml:space="preserve">pH (1:2.5 soil:water)</t>
  </si>
  <si>
    <t xml:space="preserve">EC</t>
  </si>
  <si>
    <t xml:space="preserve">dS/m</t>
  </si>
  <si>
    <t xml:space="preserve">CEC</t>
  </si>
  <si>
    <t xml:space="preserve">cmol(+)/kg</t>
  </si>
  <si>
    <t xml:space="preserve">N</t>
  </si>
  <si>
    <t xml:space="preserve">kg/ha (available N)</t>
  </si>
  <si>
    <t xml:space="preserve">164: 4</t>
  </si>
  <si>
    <t xml:space="preserve">P</t>
  </si>
  <si>
    <t xml:space="preserve">kg/ha (available P; mg/kg x 2.24 when converted - state basis in UNIT column)</t>
  </si>
  <si>
    <t xml:space="preserve">165: 4; 164: 7</t>
  </si>
  <si>
    <t xml:space="preserve">K</t>
  </si>
  <si>
    <t xml:space="preserve">kg/ha (available K)</t>
  </si>
  <si>
    <t xml:space="preserve">AV.S</t>
  </si>
  <si>
    <t xml:space="preserve">kg/ha (available S)</t>
  </si>
  <si>
    <t xml:space="preserve">total N</t>
  </si>
  <si>
    <t xml:space="preserve">165: 4</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</si>
  <si>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</si>
  <si>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</si>
  <si>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</si>
  <si>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</si>
  <si>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</si>
  <si>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</si>
  <si>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</si>
  <si>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</si>
  <si>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</si>
  <si>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</si>
  <si>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</si>
  <si>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</si>
  <si>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NO3 leaching</t>
  </si>
  <si>
    <t xml:space="preserve">kg NO3-N/ha (nitrate-N leached below the stated depth, per season)</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</si>
  <si>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</si>
  <si>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</si>
  <si>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</si>
  <si>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</si>
  <si>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</si>
  <si>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Mn</t>
  </si>
  <si>
    <t xml:space="preserve">Cu(ppm)</t>
  </si>
  <si>
    <t xml:space="preserve">Zn(ppm)</t>
  </si>
  <si>
    <t xml:space="preserve">MBC</t>
  </si>
  <si>
    <t xml:space="preserve">ug C/g soil (= mg/kg dry soil)</t>
  </si>
  <si>
    <t xml:space="preserve">MBN</t>
  </si>
  <si>
    <t xml:space="preserve">ug N/g soil (= mg/kg dry soil)</t>
  </si>
  <si>
    <t xml:space="preserve">GLOMALIN</t>
  </si>
  <si>
    <t xml:space="preserve">mg/g soil (easily-extractable + total; state which in Notes)</t>
  </si>
  <si>
    <t xml:space="preserve">MYCORRHIZAL SPORES</t>
  </si>
  <si>
    <t xml:space="preserve">number of AM fungal spores per 100 g soil (wet sieving and decanting)</t>
  </si>
  <si>
    <t xml:space="preserve">DHA</t>
  </si>
  <si>
    <t xml:space="preserve">ug TPF/g soil/h</t>
  </si>
  <si>
    <t xml:space="preserve">B-GLU</t>
  </si>
  <si>
    <t xml:space="preserve">ug PNP/g soil/h</t>
  </si>
  <si>
    <t xml:space="preserve">ACP</t>
  </si>
  <si>
    <t xml:space="preserve">ug PNP/g soil/h (acid phosphatase)</t>
  </si>
  <si>
    <t xml:space="preserve">ALKP</t>
  </si>
  <si>
    <t xml:space="preserve">ug PNP/g soil/h (alkaline phosphatase)</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</si>
  <si>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</si>
  <si>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</si>
  <si>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</si>
  <si>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</si>
  <si>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</si>
  <si>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</si>
  <si>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</si>
  <si>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</si>
  <si>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CELL</t>
  </si>
  <si>
    <t xml:space="preserve">ug glucose/g soil/h (cellulase)</t>
  </si>
  <si>
    <t xml:space="preserve">UREASE</t>
  </si>
  <si>
    <t xml:space="preserve">ug urea/g soil/h</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</si>
  <si>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</si>
  <si>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</si>
  <si>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</si>
  <si>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</si>
  <si>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</si>
  <si>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</si>
  <si>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</si>
  <si>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</si>
  <si>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</si>
  <si>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</si>
  <si>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</si>
  <si>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</si>
  <si>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</si>
  <si>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</si>
  <si>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</si>
  <si>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</si>
  <si>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</si>
  <si>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</si>
  <si>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</si>
  <si>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</si>
  <si>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</si>
  <si>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</si>
  <si>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</si>
  <si>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</si>
  <si>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</si>
  <si>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</si>
  <si>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</si>
  <si>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</si>
  <si>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</si>
  <si>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</si>
  <si>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</si>
  <si>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</si>
  <si>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</si>
  <si>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</si>
  <si>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</si>
  <si>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</si>
  <si>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</si>
  <si>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</si>
  <si>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</si>
  <si>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</si>
  <si>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</si>
  <si>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</si>
  <si>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</si>
  <si>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t>
  </si>
  <si>
    <t xml:space="preserve">SYS STRAW</t>
  </si>
  <si>
    <t xml:space="preserve">t/ha system straw yield (rice + wheat straw)</t>
  </si>
  <si>
    <t xml:space="preserve">PANICLE-SPIKE DENSITY</t>
  </si>
  <si>
    <t xml:space="preserve">no./m2 (panicles of rice / spikes of wheat; W = wheat, R = rice)</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</si>
  <si>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</si>
  <si>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</si>
  <si>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</si>
  <si>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</si>
  <si>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</si>
  <si>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DAYS TO FLOWERING</t>
  </si>
  <si>
    <t xml:space="preserve">days after sowing to flowering (anthesis)</t>
  </si>
  <si>
    <t xml:space="preserve">DAYS TO MATURITY</t>
  </si>
  <si>
    <t xml:space="preserve">days after sowing to physiological maturity</t>
  </si>
  <si>
    <t xml:space="preserve">GRAIN FILLING DAYS</t>
  </si>
  <si>
    <t xml:space="preserve">days (flowering to maturity)</t>
  </si>
  <si>
    <t xml:space="preserve">N uptake</t>
  </si>
  <si>
    <t xml:space="preserve">kg N/ha</t>
  </si>
  <si>
    <t xml:space="preserve">P uptake</t>
  </si>
  <si>
    <t xml:space="preserve">kg P/ha</t>
  </si>
  <si>
    <t xml:space="preserve">K uptake</t>
  </si>
  <si>
    <t xml:space="preserve">kg K/ha</t>
  </si>
  <si>
    <t xml:space="preserve">WUE</t>
  </si>
  <si>
    <t xml:space="preserve">kg/mm/ha</t>
  </si>
  <si>
    <t xml:space="preserve">NUE</t>
  </si>
  <si>
    <t xml:space="preserve">kg grain/kg N applied</t>
  </si>
  <si>
    <t xml:space="preserve">BC ratio</t>
  </si>
  <si>
    <t xml:space="preserve">ratio (net return / cost of production)</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</si>
  <si>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</si>
  <si>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</si>
  <si>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</si>
  <si>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</si>
  <si>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</si>
  <si>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</si>
  <si>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</si>
  <si>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</si>
  <si>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</si>
  <si>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</si>
  <si>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</si>
  <si>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</si>
  <si>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</si>
  <si>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</si>
  <si>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</si>
  <si>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</si>
  <si>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</si>
  <si>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C output</t>
  </si>
  <si>
    <t xml:space="preserve">kg C/ha/yr (carbon output = biomass x 0.4)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</si>
  <si>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</si>
  <si>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</si>
  <si>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</si>
  <si>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</si>
  <si>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</si>
  <si>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</si>
  <si>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</si>
  <si>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</si>
  <si>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</si>
  <si>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</si>
  <si>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</si>
  <si>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</si>
  <si>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</si>
  <si>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</si>
  <si>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</si>
  <si>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</si>
  <si>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</si>
  <si>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</si>
  <si>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</si>
  <si>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</si>
  <si>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</si>
  <si>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</si>
  <si>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</si>
  <si>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</si>
  <si>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</si>
  <si>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</si>
  <si>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</si>
  <si>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</si>
  <si>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</si>
  <si>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</si>
  <si>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</si>
  <si>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</si>
  <si>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</si>
  <si>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</si>
  <si>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</si>
  <si>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</si>
  <si>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</si>
  <si>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</si>
  <si>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</si>
  <si>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</si>
  <si>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</si>
  <si>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</si>
  <si>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</si>
  <si>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</si>
  <si>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</si>
  <si>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</si>
  <si>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</si>
  <si>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</si>
  <si>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</si>
  <si>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</si>
  <si>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</si>
  <si>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</si>
  <si>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</si>
  <si>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</si>
  <si>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</si>
  <si>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</si>
  <si>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</si>
  <si>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</si>
  <si>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</si>
  <si>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</si>
  <si>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</si>
  <si>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</si>
  <si>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</si>
  <si>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</si>
  <si>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</si>
  <si>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</si>
  <si>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</si>
  <si>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</si>
  <si>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</si>
  <si>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</si>
  <si>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</si>
  <si>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</si>
  <si>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</si>
  <si>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</si>
  <si>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</si>
  <si>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</si>
  <si>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</si>
  <si>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</si>
  <si>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</si>
  <si>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</si>
  <si>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</si>
  <si>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</si>
  <si>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</si>
  <si>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</si>
  <si>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</si>
  <si>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</si>
  <si>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</si>
  <si>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</si>
  <si>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</si>
  <si>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</si>
  <si>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</si>
  <si>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</si>
  <si>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</si>
  <si>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</si>
  <si>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</si>
  <si>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</si>
  <si>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</si>
  <si>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</si>
  <si>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</si>
  <si>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</si>
  <si>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</si>
  <si>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</si>
  <si>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</si>
  <si>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</si>
  <si>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</si>
  <si>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</si>
  <si>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</si>
  <si>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</si>
  <si>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</si>
  <si>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</si>
  <si>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</si>
  <si>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</si>
  <si>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</si>
  <si>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</si>
  <si>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</si>
  <si>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</si>
  <si>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</si>
  <si>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</si>
  <si>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</si>
  <si>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</si>
  <si>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</si>
  <si>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</si>
  <si>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</si>
  <si>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</si>
  <si>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</si>
  <si>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</si>
  <si>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</si>
  <si>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</si>
  <si>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</si>
  <si>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</si>
  <si>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</si>
  <si>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</si>
  <si>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</si>
  <si>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India (Bihar)</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</si>
  <si>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</si>
  <si>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</si>
  <si>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</si>
  <si>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</si>
  <si>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</si>
  <si>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</si>
  <si>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</si>
  <si>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</si>
  <si>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</si>
  <si>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</si>
  <si>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</si>
  <si>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</si>
  <si>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</si>
  <si>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</si>
  <si>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</si>
  <si>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</si>
  <si>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</si>
  <si>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</si>
  <si>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</si>
  <si>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</si>
  <si>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</si>
  <si>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</si>
  <si>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</si>
  <si>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</si>
  <si>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</si>
  <si>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</si>
  <si>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</si>
  <si>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</si>
  <si>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</si>
  <si>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</si>
  <si>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</si>
  <si>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</si>
  <si>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</si>
  <si>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</si>
  <si>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</si>
  <si>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</si>
  <si>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</si>
  <si>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</si>
  <si>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</si>
  <si>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</si>
  <si>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</si>
  <si>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</si>
  <si>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</si>
  <si>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</si>
  <si>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</si>
  <si>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</si>
  <si>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</si>
  <si>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</si>
  <si>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</si>
  <si>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</si>
  <si>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</si>
  <si>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</si>
  <si>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</si>
  <si>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</si>
  <si>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</si>
  <si>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</si>
  <si>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</si>
  <si>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</si>
  <si>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</si>
  <si>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</si>
  <si>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</si>
  <si>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</si>
  <si>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</si>
  <si>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</si>
  <si>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</si>
  <si>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</si>
  <si>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</si>
  <si>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</si>
  <si>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</si>
  <si>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</si>
  <si>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</si>
  <si>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</si>
  <si>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</si>
  <si>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</si>
  <si>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</si>
  <si>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</si>
  <si>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</si>
  <si>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</si>
  <si>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</si>
  <si>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</si>
  <si>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</si>
  <si>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</si>
  <si>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</si>
  <si>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</si>
  <si>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</si>
  <si>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</si>
  <si>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</si>
  <si>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</si>
  <si>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</si>
  <si>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</si>
  <si>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</si>
  <si>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</si>
  <si>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</si>
  <si>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</si>
  <si>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</si>
  <si>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</si>
  <si>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</si>
  <si>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</si>
  <si>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</si>
  <si>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</si>
  <si>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</si>
  <si>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</si>
  <si>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</si>
  <si>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</si>
  <si>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</si>
  <si>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</si>
  <si>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</si>
  <si>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</si>
  <si>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</si>
  <si>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</si>
  <si>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</si>
  <si>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</si>
  <si>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</si>
  <si>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</si>
  <si>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</si>
  <si>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</si>
  <si>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</si>
  <si>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</si>
  <si>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</si>
  <si>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</si>
  <si>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</si>
  <si>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</si>
  <si>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</si>
  <si>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</si>
  <si>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</si>
  <si>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</si>
  <si>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</si>
  <si>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</si>
  <si>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</si>
  <si>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</si>
  <si>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</si>
  <si>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</si>
  <si>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</si>
  <si>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Table 4</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</si>
  <si>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</si>
  <si>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</si>
  <si>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0-7.5 cm</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</si>
  <si>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</si>
  <si>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</si>
  <si>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</si>
  <si>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</si>
  <si>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</si>
  <si>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</si>
  <si>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</si>
  <si>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</si>
  <si>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</si>
  <si>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</si>
  <si>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capillary re-wetting to field capacity (slow wetting)</t>
  </si>
  <si>
    <t xml:space="preserve">7.5-15 cm</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</si>
  <si>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</si>
  <si>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</si>
  <si>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</si>
  <si>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</si>
  <si>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</si>
  <si>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</si>
  <si>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</si>
  <si>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</si>
  <si>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</si>
  <si>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</si>
  <si>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</si>
  <si>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</si>
  <si>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</si>
  <si>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</si>
  <si>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</si>
  <si>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</si>
  <si>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</si>
  <si>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</si>
  <si>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</si>
  <si>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</si>
  <si>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</si>
  <si>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</si>
  <si>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</si>
  <si>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</si>
  <si>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</si>
  <si>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</si>
  <si>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</si>
  <si>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</si>
  <si>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</si>
  <si>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</si>
  <si>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</si>
  <si>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</si>
  <si>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</si>
  <si>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</si>
  <si>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</si>
  <si>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</si>
  <si>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</si>
  <si>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</si>
  <si>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</si>
  <si>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</si>
  <si>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</si>
  <si>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</si>
  <si>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</si>
  <si>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</si>
  <si>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</si>
  <si>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</si>
  <si>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</si>
  <si>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</si>
  <si>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</si>
  <si>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</si>
  <si>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</si>
  <si>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</si>
  <si>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</si>
  <si>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</si>
  <si>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</si>
  <si>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</si>
  <si>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</si>
  <si>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</si>
  <si>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</si>
  <si>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</si>
  <si>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</si>
  <si>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</si>
  <si>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</si>
  <si>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</si>
  <si>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</si>
  <si>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</si>
  <si>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</si>
  <si>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</si>
  <si>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</si>
  <si>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</si>
  <si>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</si>
  <si>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</si>
  <si>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</si>
  <si>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</si>
  <si>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</si>
  <si>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</si>
  <si>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</si>
  <si>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</si>
  <si>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</si>
  <si>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</si>
  <si>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</si>
  <si>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</si>
  <si>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</si>
  <si>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</si>
  <si>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</si>
  <si>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</si>
  <si>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</si>
  <si>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</si>
  <si>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</si>
  <si>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</si>
  <si>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</si>
  <si>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</si>
  <si>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</si>
  <si>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</si>
  <si>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</si>
  <si>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</si>
  <si>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</si>
  <si>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</si>
  <si>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</si>
  <si>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</si>
  <si>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</si>
  <si>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</si>
  <si>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</si>
  <si>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</si>
  <si>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</si>
  <si>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</si>
  <si>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</si>
  <si>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</si>
  <si>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</si>
  <si>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</si>
  <si>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</si>
  <si>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</si>
  <si>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</si>
  <si>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</si>
  <si>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</si>
  <si>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</si>
  <si>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</si>
  <si>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</si>
  <si>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</si>
  <si>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</si>
  <si>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</si>
  <si>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</si>
  <si>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</si>
  <si>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</si>
  <si>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</si>
  <si>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</si>
  <si>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</si>
  <si>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</si>
  <si>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</si>
  <si>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</si>
  <si>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</si>
  <si>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</si>
  <si>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</si>
  <si>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</si>
  <si>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</si>
  <si>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</si>
  <si>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</si>
  <si>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</si>
  <si>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</si>
  <si>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</si>
  <si>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</si>
  <si>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</si>
  <si>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</si>
  <si>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</si>
  <si>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</si>
  <si>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</si>
  <si>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</si>
  <si>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</si>
  <si>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</si>
  <si>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</si>
  <si>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</si>
  <si>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</si>
  <si>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</si>
  <si>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</si>
  <si>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</si>
  <si>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</si>
  <si>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</si>
  <si>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</si>
  <si>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</si>
  <si>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</si>
  <si>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</si>
  <si>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</si>
  <si>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</si>
  <si>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</si>
  <si>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</si>
  <si>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</si>
  <si>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</si>
  <si>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</si>
  <si>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</si>
  <si>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Table 6</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</si>
  <si>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t>
  </si>
  <si>
    <t xml:space="preserve">Double-ring infiltrometer (Reynolds et al. 2002), 30/60 cm rings, constant head, readings to 372 min</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</si>
  <si>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</si>
  <si>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</si>
  <si>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</si>
  <si>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</si>
  <si>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</si>
  <si>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</si>
  <si>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</si>
  <si>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</si>
  <si>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</si>
  <si>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</si>
  <si>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</si>
  <si>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</si>
  <si>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</si>
  <si>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</si>
  <si>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</si>
  <si>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Pressure-plate extractor (Soilmoisture Equipment Corp.), Klute &amp; Dirksen (1986)</t>
  </si>
  <si>
    <t xml:space="preserve">% w/w (FC - PWP, 2-5 mm aggregates)</t>
  </si>
  <si>
    <t xml:space="preserve">Table 3 - DERIVED</t>
  </si>
  <si>
    <t xml:space="preserve">DERIVED: AWC = FC - PWP. WATER-QUANTITY CHECK: water retained by 2-5 mm AGGREGATES packed in cylinders and equilibrated at -33 kPa (FC) and -1500 kPa (PWP) on a pressure plate; oven-dried to determine water -&gt; weight basis assumed (printed '%'). FLAG: AGGREGATE-SCALE retention, not bulk-soil FC/PWP.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</si>
  <si>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2-5 mm aggregates in 5 x 2.5 cm cylinders, 2-3 wet-dry cycles</t>
  </si>
  <si>
    <t xml:space="preserve">% w/w (FC - PWP, 5-8 mm aggregates)</t>
  </si>
  <si>
    <t xml:space="preserve">DERIVED: AWC = FC - PWP. WATER-QUANTITY CHECK: water retained by 5-8 mm AGGREGATES packed in cylinders and equilibrated at -33 kPa (FC) and -1500 kPa (PWP) on a pressure plate; oven-dried to determine water -&gt; weight basis assumed (printed '%'). FLAG: AGGREGATE-SCALE retention, not bulk-soil FC/PWP.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</si>
  <si>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5-8 mm aggregates in 5 x 2.5 cm cylinders, 2-3 wet-dry cycles</t>
  </si>
  <si>
    <t xml:space="preserve">DERIVED: AWC = FC - PWP. WATER-QUANTITY CHECK: water retained by 2-5 mm AGGREGATES packed in cylinders and equilibrated at -33 kPa (FC) and -1500 kPa (PWP) on a pressure plate; oven-dried to determine water -&gt; weight basis assumed (printed '%'). FLAG: AGGREGATE-SCALE retention, not bulk-soil FC/PWP.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</si>
  <si>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DERIVED: AWC = FC - PWP. WATER-QUANTITY CHECK: water retained by 5-8 mm AGGREGATES packed in cylinders and equilibrated at -33 kPa (FC) and -1500 kPa (PWP) on a pressure plate; oven-dried to determine water -&gt; weight basis assumed (printed '%'). FLAG: AGGREGATE-SCALE retention, not bulk-soil FC/PWP.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</si>
  <si>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</si>
  <si>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</si>
  <si>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</si>
  <si>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</si>
  <si>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</si>
  <si>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</si>
  <si>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</si>
  <si>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</si>
  <si>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</si>
  <si>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</si>
  <si>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</si>
  <si>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</si>
  <si>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</si>
  <si>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</si>
  <si>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v/v (AWCw x initial BD 1.55, 2-5 mm aggregates)</t>
  </si>
  <si>
    <t xml:space="preserve">DERIVED: AWCv = AWCw x 1.55 Mg/m3 (paper's initial BD; no treatment bulk density printed - aggregate densities in notes). WATER-QUANTITY CHECK: water retained by 2-5 mm AGGREGATES packed in cylinders and equilibrated at -33 kPa (FC) and -1500 kPa (PWP) on a pressure plate; oven-dried to determine water -&gt; weight basis assumed (printed '%'). FLAG: AGGREGATE-SCALE retention, not bulk-soil FC/PWP.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</si>
  <si>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v/v (AWCw x initial BD 1.55, 5-8 mm aggregates)</t>
  </si>
  <si>
    <t xml:space="preserve">DERIVED: AWCv = AWCw x 1.55 Mg/m3 (paper's initial BD; no treatment bulk density printed - aggregate densities in notes). WATER-QUANTITY CHECK: water retained by 5-8 mm AGGREGATES packed in cylinders and equilibrated at -33 kPa (FC) and -1500 kPa (PWP) on a pressure plate; oven-dried to determine water -&gt; weight basis assumed (printed '%'). FLAG: AGGREGATE-SCALE retention, not bulk-soil FC/PWP.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</si>
  <si>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DERIVED: AWCv = AWCw x 1.55 Mg/m3 (paper's initial BD; no treatment bulk density printed - aggregate densities in notes). WATER-QUANTITY CHECK: water retained by 2-5 mm AGGREGATES packed in cylinders and equilibrated at -33 kPa (FC) and -1500 kPa (PWP) on a pressure plate; oven-dried to determine water -&gt; weight basis assumed (printed '%'). FLAG: AGGREGATE-SCALE retention, not bulk-soil FC/PWP.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</si>
  <si>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DERIVED: AWCv = AWCw x 1.55 Mg/m3 (paper's initial BD; no treatment bulk density printed - aggregate densities in notes). WATER-QUANTITY CHECK: water retained by 5-8 mm AGGREGATES packed in cylinders and equilibrated at -33 kPa (FC) and -1500 kPa (PWP) on a pressure plate; oven-dried to determine water -&gt; weight basis assumed (printed '%'). FLAG: AGGREGATE-SCALE retention, not bulk-soil FC/PWP.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</si>
  <si>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</si>
  <si>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</si>
  <si>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</si>
  <si>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</si>
  <si>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</si>
  <si>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</si>
  <si>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</si>
  <si>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</si>
  <si>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</si>
  <si>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</si>
  <si>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</si>
  <si>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</si>
  <si>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</si>
  <si>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</si>
  <si>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</si>
  <si>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</si>
  <si>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</si>
  <si>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</si>
  <si>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</si>
  <si>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</si>
  <si>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</si>
  <si>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</si>
  <si>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</si>
  <si>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</si>
  <si>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</si>
  <si>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</si>
  <si>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</si>
  <si>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w/w (2-5 mm aggregates, -33 kPa)</t>
  </si>
  <si>
    <t xml:space="preserve">WATER-QUANTITY CHECK: water retained by 2-5 mm AGGREGATES packed in cylinders and equilibrated at -33 kPa (FC) and -1500 kPa (PWP) on a pressure plate; oven-dried to determine water -&gt; weight basis assumed (printed '%'). FLAG: AGGREGATE-SCALE retention, not bulk-soil FC/PWP.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</si>
  <si>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w/w (5-8 mm aggregates, -33 kPa)</t>
  </si>
  <si>
    <t xml:space="preserve">WATER-QUANTITY CHECK: water retained by 5-8 mm AGGREGATES packed in cylinders and equilibrated at -33 kPa (FC) and -1500 kPa (PWP) on a pressure plate; oven-dried to determine water -&gt; weight basis assumed (printed '%'). FLAG: AGGREGATE-SCALE retention, not bulk-soil FC/PWP.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</si>
  <si>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WATER-QUANTITY CHECK: water retained by 2-5 mm AGGREGATES packed in cylinders and equilibrated at -33 kPa (FC) and -1500 kPa (PWP) on a pressure plate; oven-dried to determine water -&gt; weight basis assumed (printed '%'). FLAG: AGGREGATE-SCALE retention, not bulk-soil FC/PWP.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</si>
  <si>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WATER-QUANTITY CHECK: water retained by 5-8 mm AGGREGATES packed in cylinders and equilibrated at -33 kPa (FC) and -1500 kPa (PWP) on a pressure plate; oven-dried to determine water -&gt; weight basis assumed (printed '%'). FLAG: AGGREGATE-SCALE retention, not bulk-soil FC/PWP.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</si>
  <si>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</si>
  <si>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</si>
  <si>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</si>
  <si>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</si>
  <si>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</si>
  <si>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</si>
  <si>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</si>
  <si>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</si>
  <si>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</si>
  <si>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</si>
  <si>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</si>
  <si>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</si>
  <si>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</si>
  <si>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-1500 kPa)</t>
  </si>
  <si>
    <t xml:space="preserve">% w/w (5-8 mm aggregates, -1500 kPa)</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</si>
  <si>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</si>
  <si>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</si>
  <si>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</si>
  <si>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</si>
  <si>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</si>
  <si>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</si>
  <si>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</si>
  <si>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</si>
  <si>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</si>
  <si>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</si>
  <si>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</si>
  <si>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</si>
  <si>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</si>
  <si>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</si>
  <si>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</si>
  <si>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</si>
  <si>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</si>
  <si>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</si>
  <si>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</si>
  <si>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</si>
  <si>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</si>
  <si>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</si>
  <si>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</si>
  <si>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</si>
  <si>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</si>
  <si>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</si>
  <si>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</si>
  <si>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</si>
  <si>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</si>
  <si>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</si>
  <si>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</si>
  <si>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</si>
  <si>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</si>
  <si>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</si>
  <si>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</si>
  <si>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</si>
  <si>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</si>
  <si>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</si>
  <si>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</si>
  <si>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</si>
  <si>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</si>
  <si>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</si>
  <si>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</si>
  <si>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</si>
  <si>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</si>
  <si>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</si>
  <si>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</si>
  <si>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</si>
  <si>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</si>
  <si>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</si>
  <si>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</si>
  <si>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Table 2</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</si>
  <si>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t>
  </si>
  <si>
    <t xml:space="preserve">Walkley &amp; Black (1934) wet oxidation</t>
  </si>
  <si>
    <t xml:space="preserve">2006-07</t>
  </si>
  <si>
    <t xml:space="preserve">0-20 cm</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</si>
  <si>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</si>
  <si>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</si>
  <si>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</si>
  <si>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</si>
  <si>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</si>
  <si>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</si>
  <si>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</si>
  <si>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</si>
  <si>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</si>
  <si>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</si>
  <si>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</si>
  <si>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</si>
  <si>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</si>
  <si>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</si>
  <si>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</si>
  <si>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</si>
  <si>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</si>
  <si>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</si>
  <si>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</si>
  <si>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</si>
  <si>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</si>
  <si>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</si>
  <si>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</si>
  <si>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</si>
  <si>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Sabour - PDCSR network long-term experiment</t>
  </si>
  <si>
    <t xml:space="preserve">CLAYEY</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</si>
  <si>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</si>
  <si>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</si>
  <si>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</si>
  <si>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</si>
  <si>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</si>
  <si>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</si>
  <si>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</si>
  <si>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</si>
  <si>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</si>
  <si>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</si>
  <si>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</si>
  <si>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</si>
  <si>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</si>
  <si>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</si>
  <si>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</si>
  <si>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</si>
  <si>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</si>
  <si>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</si>
  <si>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</si>
  <si>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</si>
  <si>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</si>
  <si>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</si>
  <si>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</si>
  <si>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</si>
  <si>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</si>
  <si>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</si>
  <si>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</si>
  <si>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</si>
  <si>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</si>
  <si>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</si>
  <si>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</si>
  <si>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</si>
  <si>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</si>
  <si>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</si>
  <si>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</si>
  <si>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</si>
  <si>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</si>
  <si>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</si>
  <si>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</si>
  <si>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</si>
  <si>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</si>
  <si>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</si>
  <si>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</si>
  <si>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</si>
  <si>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</si>
  <si>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</si>
  <si>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</si>
  <si>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</si>
  <si>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</si>
  <si>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</si>
  <si>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</si>
  <si>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</si>
  <si>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</si>
  <si>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</si>
  <si>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</si>
  <si>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</si>
  <si>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</si>
  <si>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</si>
  <si>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</si>
  <si>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</si>
  <si>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</si>
  <si>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</si>
  <si>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</si>
  <si>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</si>
  <si>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</si>
  <si>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</si>
  <si>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</si>
  <si>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</si>
  <si>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</si>
  <si>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</si>
  <si>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</si>
  <si>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</si>
  <si>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</si>
  <si>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</si>
  <si>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</si>
  <si>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</si>
  <si>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</si>
  <si>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</si>
  <si>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</si>
  <si>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</si>
  <si>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</si>
  <si>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</si>
  <si>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</si>
  <si>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</si>
  <si>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</si>
  <si>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</si>
  <si>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</si>
  <si>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</si>
  <si>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</si>
  <si>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</si>
  <si>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</si>
  <si>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</si>
  <si>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</si>
  <si>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</si>
  <si>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</si>
  <si>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</si>
  <si>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</si>
  <si>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</si>
  <si>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</si>
  <si>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</si>
  <si>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</si>
  <si>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</si>
  <si>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</si>
  <si>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</si>
  <si>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</si>
  <si>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</si>
  <si>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</si>
  <si>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</si>
  <si>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</si>
  <si>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</si>
  <si>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</si>
  <si>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</si>
  <si>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</si>
  <si>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</si>
  <si>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</si>
  <si>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</si>
  <si>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</si>
  <si>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</si>
  <si>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</si>
  <si>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</si>
  <si>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</si>
  <si>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</si>
  <si>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</si>
  <si>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</si>
  <si>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</si>
  <si>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</si>
  <si>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</si>
  <si>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</si>
  <si>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</si>
  <si>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</si>
  <si>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</si>
  <si>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</si>
  <si>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</si>
  <si>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</si>
  <si>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</si>
  <si>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</si>
  <si>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</si>
  <si>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</si>
  <si>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</si>
  <si>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</si>
  <si>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</si>
  <si>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</si>
  <si>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</si>
  <si>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</si>
  <si>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</si>
  <si>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</si>
  <si>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</si>
  <si>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</si>
  <si>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</si>
  <si>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</si>
  <si>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</si>
  <si>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</si>
  <si>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</si>
  <si>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</si>
  <si>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</si>
  <si>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</si>
  <si>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</si>
  <si>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</si>
  <si>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</si>
  <si>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</si>
  <si>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</si>
  <si>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</si>
  <si>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</si>
  <si>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</si>
  <si>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</si>
  <si>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</si>
  <si>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</si>
  <si>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</si>
  <si>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</si>
  <si>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</si>
  <si>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</si>
  <si>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</si>
  <si>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</si>
  <si>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</si>
  <si>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</si>
  <si>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</si>
  <si>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</si>
  <si>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</si>
  <si>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</si>
  <si>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</si>
  <si>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</si>
  <si>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</si>
  <si>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</si>
  <si>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</si>
  <si>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</si>
  <si>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</si>
  <si>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</si>
  <si>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</si>
  <si>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</si>
  <si>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</si>
  <si>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</si>
  <si>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</si>
  <si>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</si>
  <si>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</si>
  <si>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</si>
  <si>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</si>
  <si>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</si>
  <si>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</si>
  <si>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</si>
  <si>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</si>
  <si>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</si>
  <si>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</si>
  <si>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</si>
  <si>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</si>
  <si>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</si>
  <si>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</si>
  <si>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</si>
  <si>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</si>
  <si>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</si>
  <si>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</si>
  <si>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</si>
  <si>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</si>
  <si>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</si>
  <si>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</si>
  <si>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</si>
  <si>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</si>
  <si>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</si>
  <si>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</si>
  <si>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</si>
  <si>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</si>
  <si>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</si>
  <si>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</si>
  <si>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</si>
  <si>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</si>
  <si>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</si>
  <si>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</si>
  <si>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</si>
  <si>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</si>
  <si>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</si>
  <si>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</si>
  <si>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</si>
  <si>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</si>
  <si>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</si>
  <si>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</si>
  <si>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</si>
  <si>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</si>
  <si>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</si>
  <si>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</si>
  <si>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</si>
  <si>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</si>
  <si>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</si>
  <si>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</si>
  <si>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</si>
  <si>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</si>
  <si>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</si>
  <si>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</si>
  <si>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</si>
  <si>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</si>
  <si>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</si>
  <si>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</si>
  <si>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</si>
  <si>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</si>
  <si>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</si>
  <si>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</si>
  <si>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</si>
  <si>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</si>
  <si>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</si>
  <si>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</si>
  <si>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</si>
  <si>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</si>
  <si>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</si>
  <si>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</si>
  <si>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</si>
  <si>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</si>
  <si>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SOC stock on equivalent soil mass basis (Ellert &amp; Bettany 1995)</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</si>
  <si>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</si>
  <si>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</si>
  <si>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</si>
  <si>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</si>
  <si>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</si>
  <si>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</si>
  <si>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</si>
  <si>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</si>
  <si>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</si>
  <si>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</si>
  <si>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</si>
  <si>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</si>
  <si>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</si>
  <si>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</si>
  <si>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</si>
  <si>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</si>
  <si>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</si>
  <si>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</si>
  <si>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</si>
  <si>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</si>
  <si>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</si>
  <si>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</si>
  <si>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</si>
  <si>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</si>
  <si>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</si>
  <si>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</si>
  <si>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</si>
  <si>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</si>
  <si>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</si>
  <si>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</si>
  <si>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</si>
  <si>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</si>
  <si>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</si>
  <si>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</si>
  <si>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</si>
  <si>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</si>
  <si>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</si>
  <si>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</si>
  <si>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</si>
  <si>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</si>
  <si>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</si>
  <si>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</si>
  <si>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</si>
  <si>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</si>
  <si>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</si>
  <si>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</si>
  <si>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</si>
  <si>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</si>
  <si>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</si>
  <si>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</si>
  <si>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</si>
  <si>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</si>
  <si>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</si>
  <si>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</si>
  <si>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</si>
  <si>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</si>
  <si>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</si>
  <si>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</si>
  <si>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</si>
  <si>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</si>
  <si>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</si>
  <si>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</si>
  <si>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</si>
  <si>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</si>
  <si>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</si>
  <si>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</si>
  <si>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</si>
  <si>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</si>
  <si>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</si>
  <si>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</si>
  <si>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</si>
  <si>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</si>
  <si>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</si>
  <si>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</si>
  <si>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</si>
  <si>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</si>
  <si>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</si>
  <si>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</si>
  <si>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</si>
  <si>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</si>
  <si>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</si>
  <si>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</si>
  <si>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</si>
  <si>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</si>
  <si>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</si>
  <si>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</si>
  <si>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</si>
  <si>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</si>
  <si>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</si>
  <si>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</si>
  <si>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</si>
  <si>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</si>
  <si>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</si>
  <si>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</si>
  <si>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</si>
  <si>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</si>
  <si>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</si>
  <si>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</si>
  <si>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</si>
  <si>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</si>
  <si>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</si>
  <si>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</si>
  <si>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</si>
  <si>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</si>
  <si>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</si>
  <si>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</si>
  <si>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</si>
  <si>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</si>
  <si>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</si>
  <si>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</si>
  <si>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</si>
  <si>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</si>
  <si>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</si>
  <si>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</si>
  <si>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</si>
  <si>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</si>
  <si>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</si>
  <si>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</si>
  <si>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</si>
  <si>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</si>
  <si>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</si>
  <si>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</si>
  <si>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</si>
  <si>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</si>
  <si>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</si>
  <si>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</si>
  <si>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</si>
  <si>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</si>
  <si>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</si>
  <si>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</si>
  <si>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Fig. 5 (digitised) - converted</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</si>
  <si>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</si>
  <si>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</si>
  <si>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</si>
  <si>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</si>
  <si>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</si>
  <si>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</si>
  <si>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</si>
  <si>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</si>
  <si>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</si>
  <si>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</si>
  <si>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</si>
  <si>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</si>
  <si>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</si>
  <si>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</si>
  <si>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</si>
  <si>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</si>
  <si>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</si>
  <si>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</si>
  <si>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</si>
  <si>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</si>
  <si>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</si>
  <si>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</si>
  <si>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</si>
  <si>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</si>
  <si>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</si>
  <si>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</si>
  <si>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</si>
  <si>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</si>
  <si>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</si>
  <si>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</si>
  <si>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</si>
  <si>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</si>
  <si>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</si>
  <si>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</si>
  <si>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</si>
  <si>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</si>
  <si>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</si>
  <si>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</si>
  <si>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</si>
  <si>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</si>
  <si>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</si>
  <si>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</si>
  <si>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</si>
  <si>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</si>
  <si>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</si>
  <si>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</si>
  <si>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</si>
  <si>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</si>
  <si>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</si>
  <si>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</si>
  <si>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</si>
  <si>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</si>
  <si>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</si>
  <si>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</si>
  <si>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</si>
  <si>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</si>
  <si>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</si>
  <si>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</si>
  <si>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</si>
  <si>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</si>
  <si>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</si>
  <si>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</si>
  <si>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</si>
  <si>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</si>
  <si>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</si>
  <si>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</si>
  <si>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</si>
  <si>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</si>
  <si>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</si>
  <si>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</si>
  <si>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</si>
  <si>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</si>
  <si>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</si>
  <si>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</si>
  <si>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</si>
  <si>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</si>
  <si>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</si>
  <si>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</si>
  <si>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</si>
  <si>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</si>
  <si>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</si>
  <si>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</si>
  <si>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</si>
  <si>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</si>
  <si>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</si>
  <si>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</si>
  <si>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</si>
  <si>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</si>
  <si>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</si>
  <si>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</si>
  <si>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</si>
  <si>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</si>
  <si>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</si>
  <si>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</si>
  <si>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</si>
  <si>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</si>
  <si>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</si>
  <si>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</si>
  <si>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</si>
  <si>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</si>
  <si>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</si>
  <si>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</si>
  <si>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</si>
  <si>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</si>
  <si>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</si>
  <si>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</si>
  <si>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</si>
  <si>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</si>
  <si>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</si>
  <si>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</si>
  <si>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</si>
  <si>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</si>
  <si>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</si>
  <si>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</si>
  <si>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</si>
  <si>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</si>
  <si>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</si>
  <si>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</si>
  <si>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</si>
  <si>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</si>
  <si>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</si>
  <si>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</si>
  <si>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</si>
  <si>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</si>
  <si>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</si>
  <si>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</si>
  <si>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</si>
  <si>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</si>
  <si>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</si>
  <si>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</si>
  <si>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</si>
  <si>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</si>
  <si>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</si>
  <si>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</si>
  <si>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</si>
  <si>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</si>
  <si>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</si>
  <si>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</si>
  <si>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</si>
  <si>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</si>
  <si>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</si>
  <si>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</si>
  <si>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</si>
  <si>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</si>
  <si>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</si>
  <si>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</si>
  <si>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</si>
  <si>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</si>
  <si>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</si>
  <si>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</si>
  <si>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</si>
  <si>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</si>
  <si>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</si>
  <si>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</si>
  <si>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</si>
  <si>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</si>
  <si>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</si>
  <si>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</si>
  <si>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</si>
  <si>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</si>
  <si>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</si>
  <si>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</si>
  <si>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</si>
  <si>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</si>
  <si>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</si>
  <si>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</si>
  <si>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</si>
  <si>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</si>
  <si>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</si>
  <si>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</si>
  <si>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</si>
  <si>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</si>
  <si>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</si>
  <si>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</si>
  <si>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</si>
  <si>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</si>
  <si>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</si>
  <si>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</si>
  <si>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</si>
  <si>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</si>
  <si>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</si>
  <si>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</si>
  <si>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</si>
  <si>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</si>
  <si>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</si>
  <si>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</si>
  <si>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</si>
  <si>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</si>
  <si>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</si>
  <si>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</si>
  <si>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</si>
  <si>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</si>
  <si>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</si>
  <si>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</si>
  <si>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</si>
  <si>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</si>
  <si>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</si>
  <si>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</si>
  <si>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</si>
  <si>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</si>
  <si>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</si>
  <si>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</si>
  <si>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</si>
  <si>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</si>
  <si>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</si>
  <si>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</si>
  <si>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</si>
  <si>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</si>
  <si>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</si>
  <si>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</si>
  <si>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</si>
  <si>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</si>
  <si>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</si>
  <si>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</si>
  <si>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</si>
  <si>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</si>
  <si>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</si>
  <si>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</si>
  <si>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</si>
  <si>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</si>
  <si>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</si>
  <si>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</si>
  <si>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</si>
  <si>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</si>
  <si>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</si>
  <si>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</si>
  <si>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</si>
  <si>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</si>
  <si>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</si>
  <si>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</si>
  <si>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</si>
  <si>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</si>
  <si>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</si>
  <si>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</si>
  <si>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</si>
  <si>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</si>
  <si>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</si>
  <si>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</si>
  <si>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</si>
  <si>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</si>
  <si>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</si>
  <si>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</si>
  <si>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</si>
  <si>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</si>
  <si>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</si>
  <si>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</si>
  <si>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</si>
  <si>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</si>
  <si>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</si>
  <si>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</si>
  <si>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</si>
  <si>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</si>
  <si>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</si>
  <si>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</si>
  <si>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</si>
  <si>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</si>
  <si>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</si>
  <si>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</si>
  <si>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</si>
  <si>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</si>
  <si>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</si>
  <si>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</si>
  <si>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</si>
  <si>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</si>
  <si>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</si>
  <si>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</si>
  <si>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</si>
  <si>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</si>
  <si>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</si>
  <si>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</si>
  <si>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</si>
  <si>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</si>
  <si>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</si>
  <si>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</si>
  <si>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</si>
  <si>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</si>
  <si>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</si>
  <si>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</si>
  <si>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</si>
  <si>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</si>
  <si>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</si>
  <si>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</si>
  <si>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</si>
  <si>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</si>
  <si>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</si>
  <si>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</si>
  <si>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</si>
  <si>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</si>
  <si>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</si>
  <si>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</si>
  <si>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</si>
  <si>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</si>
  <si>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</si>
  <si>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</si>
  <si>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</si>
  <si>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</si>
  <si>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</si>
  <si>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</si>
  <si>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</si>
  <si>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</si>
  <si>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</si>
  <si>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</si>
  <si>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</si>
  <si>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</si>
  <si>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</si>
  <si>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</si>
  <si>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</si>
  <si>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</si>
  <si>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</si>
  <si>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</si>
  <si>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</si>
  <si>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</si>
  <si>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</si>
  <si>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</si>
  <si>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</si>
  <si>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</si>
  <si>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</si>
  <si>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</si>
  <si>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</si>
  <si>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</si>
  <si>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</si>
  <si>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</si>
  <si>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</si>
  <si>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</si>
  <si>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</si>
  <si>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</si>
  <si>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</si>
  <si>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</si>
  <si>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</si>
  <si>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</si>
  <si>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</si>
  <si>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</si>
  <si>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</si>
  <si>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</si>
  <si>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</si>
  <si>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</si>
  <si>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</si>
  <si>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</si>
  <si>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</si>
  <si>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</si>
  <si>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</si>
  <si>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</si>
  <si>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</si>
  <si>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</si>
  <si>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</si>
  <si>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</si>
  <si>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</si>
  <si>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</si>
  <si>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</si>
  <si>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</si>
  <si>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</si>
  <si>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</si>
  <si>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(1982): TTC + 1% glucose, 24 h at 30 C, TPF in methanol at 485 nm</t>
  </si>
  <si>
    <t xml:space="preserve">ug TPF/g soil/h (printed per 24 h / 24)</t>
  </si>
  <si>
    <t xml:space="preserve">Table 8 - converted</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</si>
  <si>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</si>
  <si>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</si>
  <si>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</si>
  <si>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</si>
  <si>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</si>
  <si>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</si>
  <si>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</si>
  <si>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</si>
  <si>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</si>
  <si>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</si>
  <si>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</si>
  <si>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</si>
  <si>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</si>
  <si>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</si>
  <si>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</si>
  <si>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</si>
  <si>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</si>
  <si>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</si>
  <si>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</si>
  <si>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</si>
  <si>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</si>
  <si>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</si>
  <si>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</si>
  <si>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</si>
  <si>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</si>
  <si>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</si>
  <si>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</si>
  <si>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</si>
  <si>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6.5, 1 h at 30 C, 420 nm</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</si>
  <si>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</si>
  <si>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</si>
  <si>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</si>
  <si>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</si>
  <si>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</si>
  <si>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</si>
  <si>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</si>
  <si>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</si>
  <si>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</si>
  <si>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</si>
  <si>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</si>
  <si>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</si>
  <si>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</si>
  <si>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11, 1 h at 30 C, 420 nm</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</si>
  <si>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</si>
  <si>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</si>
  <si>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</si>
  <si>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</si>
  <si>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</si>
  <si>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</si>
  <si>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</si>
  <si>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</si>
  <si>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</si>
  <si>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</si>
  <si>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</si>
  <si>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</si>
  <si>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</si>
  <si>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</si>
  <si>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</si>
  <si>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</si>
  <si>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</si>
  <si>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</si>
  <si>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</si>
  <si>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</si>
  <si>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</si>
  <si>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</si>
  <si>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</si>
  <si>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</si>
  <si>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</si>
  <si>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</si>
  <si>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</si>
  <si>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</si>
  <si>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</si>
  <si>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</si>
  <si>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</si>
  <si>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</si>
  <si>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</si>
  <si>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</si>
  <si>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</si>
  <si>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</si>
  <si>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</si>
  <si>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</si>
  <si>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</si>
  <si>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</si>
  <si>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</si>
  <si>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</si>
  <si>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</si>
  <si>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</si>
  <si>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</si>
  <si>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</si>
  <si>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</si>
  <si>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</si>
  <si>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</si>
  <si>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</si>
  <si>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</si>
  <si>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</si>
  <si>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</si>
  <si>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</si>
  <si>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</si>
  <si>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</si>
  <si>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</si>
  <si>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</si>
  <si>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</si>
  <si>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</si>
  <si>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</si>
  <si>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</si>
  <si>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</si>
  <si>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</si>
  <si>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</si>
  <si>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</si>
  <si>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</si>
  <si>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</si>
  <si>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</si>
  <si>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</si>
  <si>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</si>
  <si>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</si>
  <si>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</si>
  <si>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</si>
  <si>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</si>
  <si>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Douglas &amp; Bremner (1970): 2000 ppm urea, 5 h at 37 C, KCl-PMA extraction, colour at 527 nm</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</si>
  <si>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</si>
  <si>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</si>
  <si>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</si>
  <si>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</si>
  <si>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</si>
  <si>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</si>
  <si>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</si>
  <si>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</si>
  <si>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</si>
  <si>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</si>
  <si>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</si>
  <si>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</si>
  <si>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</si>
  <si>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</si>
  <si>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</si>
  <si>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</si>
  <si>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</si>
  <si>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</si>
  <si>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</si>
  <si>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</si>
  <si>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</si>
  <si>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</si>
  <si>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</si>
  <si>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</si>
  <si>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</si>
  <si>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</si>
  <si>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</si>
  <si>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</si>
  <si>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</si>
  <si>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</si>
  <si>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</si>
  <si>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</si>
  <si>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</si>
  <si>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</si>
  <si>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</si>
  <si>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</si>
  <si>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</si>
  <si>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</si>
  <si>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</si>
  <si>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</si>
  <si>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</si>
  <si>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</si>
  <si>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</si>
  <si>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</si>
  <si>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</si>
  <si>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</si>
  <si>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</si>
  <si>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</si>
  <si>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</si>
  <si>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</si>
  <si>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</si>
  <si>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</si>
  <si>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</si>
  <si>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</si>
  <si>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</si>
  <si>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</si>
  <si>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</si>
  <si>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</si>
  <si>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</si>
  <si>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</si>
  <si>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</si>
  <si>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</si>
  <si>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</si>
  <si>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</si>
  <si>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</si>
  <si>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</si>
  <si>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</si>
  <si>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</si>
  <si>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</si>
  <si>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</si>
  <si>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</si>
  <si>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</si>
  <si>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</si>
  <si>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</si>
  <si>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</si>
  <si>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</si>
  <si>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</si>
  <si>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</si>
  <si>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</si>
  <si>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</si>
  <si>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</si>
  <si>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</si>
  <si>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</si>
  <si>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</si>
  <si>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</si>
  <si>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</si>
  <si>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</si>
  <si>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</si>
  <si>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</si>
  <si>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</si>
  <si>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</si>
  <si>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</si>
  <si>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</si>
  <si>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</si>
  <si>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</si>
  <si>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</si>
  <si>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</si>
  <si>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</si>
  <si>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</si>
  <si>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</si>
  <si>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</si>
  <si>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</si>
  <si>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</si>
  <si>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</si>
  <si>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</si>
  <si>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</si>
  <si>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</si>
  <si>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</si>
  <si>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</si>
  <si>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</si>
  <si>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</si>
  <si>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</si>
  <si>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</si>
  <si>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</si>
  <si>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</si>
  <si>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</si>
  <si>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</si>
  <si>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</si>
  <si>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</si>
  <si>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</si>
  <si>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</si>
  <si>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</si>
  <si>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</si>
  <si>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</si>
  <si>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</si>
  <si>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</si>
  <si>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</si>
  <si>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</si>
  <si>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</si>
  <si>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</si>
  <si>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</si>
  <si>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</si>
  <si>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</si>
  <si>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</si>
  <si>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</si>
  <si>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</si>
  <si>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</si>
  <si>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</si>
  <si>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</si>
  <si>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</si>
  <si>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</si>
  <si>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</si>
  <si>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</si>
  <si>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</si>
  <si>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</si>
  <si>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</si>
  <si>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</si>
  <si>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</si>
  <si>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</si>
  <si>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</si>
  <si>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</si>
  <si>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</si>
  <si>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</si>
  <si>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</si>
  <si>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</si>
  <si>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</si>
  <si>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</si>
  <si>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</si>
  <si>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</si>
  <si>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</si>
  <si>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</si>
  <si>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</si>
  <si>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</si>
  <si>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</si>
  <si>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</si>
  <si>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</si>
  <si>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</si>
  <si>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</si>
  <si>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</si>
  <si>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</si>
  <si>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</si>
  <si>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</si>
  <si>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</si>
  <si>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</si>
  <si>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</si>
  <si>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</si>
  <si>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</si>
  <si>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</si>
  <si>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</si>
  <si>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</si>
  <si>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</si>
  <si>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</si>
  <si>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</si>
  <si>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</si>
  <si>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</si>
  <si>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</si>
  <si>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</si>
  <si>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</si>
  <si>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</si>
  <si>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</si>
  <si>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</si>
  <si>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</si>
  <si>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</si>
  <si>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</si>
  <si>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</si>
  <si>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</si>
  <si>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</si>
  <si>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</si>
  <si>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</si>
  <si>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</si>
  <si>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</si>
  <si>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</si>
  <si>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</si>
  <si>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</si>
  <si>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</si>
  <si>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</si>
  <si>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</si>
  <si>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</si>
  <si>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</si>
  <si>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</si>
  <si>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</si>
  <si>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</si>
  <si>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</si>
  <si>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</si>
  <si>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</si>
  <si>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</si>
  <si>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</si>
  <si>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</si>
  <si>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</si>
  <si>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</si>
  <si>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</si>
  <si>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</si>
  <si>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</si>
  <si>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</si>
  <si>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</si>
  <si>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</si>
  <si>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</si>
  <si>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</si>
  <si>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</si>
  <si>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</si>
  <si>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</si>
  <si>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</si>
  <si>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</si>
  <si>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</si>
  <si>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</si>
  <si>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</si>
  <si>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</si>
  <si>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</si>
  <si>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</si>
  <si>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</si>
  <si>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</si>
  <si>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</si>
  <si>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</si>
  <si>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</si>
  <si>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</si>
  <si>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</si>
  <si>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</si>
  <si>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</si>
  <si>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</si>
  <si>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</si>
  <si>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</si>
  <si>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</si>
  <si>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</si>
  <si>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</si>
  <si>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</si>
  <si>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</si>
  <si>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</si>
  <si>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</si>
  <si>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</si>
  <si>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</si>
  <si>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</si>
  <si>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</si>
  <si>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</si>
  <si>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</si>
  <si>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</si>
  <si>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</si>
  <si>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</si>
  <si>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</si>
  <si>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</si>
  <si>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</si>
  <si>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</si>
  <si>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</si>
  <si>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</si>
  <si>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</si>
  <si>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</si>
  <si>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</si>
  <si>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</si>
  <si>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</si>
  <si>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</si>
  <si>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</si>
  <si>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</si>
  <si>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</si>
  <si>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</si>
  <si>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</si>
  <si>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</si>
  <si>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</si>
  <si>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</si>
  <si>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</si>
  <si>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</si>
  <si>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</si>
  <si>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</si>
  <si>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</si>
  <si>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</si>
  <si>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</si>
  <si>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</si>
  <si>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</si>
  <si>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</si>
  <si>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</si>
  <si>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</si>
  <si>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</si>
  <si>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</si>
  <si>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</si>
  <si>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</si>
  <si>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</si>
  <si>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</si>
  <si>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</si>
  <si>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</si>
  <si>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</si>
  <si>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</si>
  <si>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</si>
  <si>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</si>
  <si>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</si>
  <si>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</si>
  <si>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</si>
  <si>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</si>
  <si>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</si>
  <si>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</si>
  <si>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</si>
  <si>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</si>
  <si>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</si>
  <si>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</si>
  <si>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</si>
  <si>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</si>
  <si>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</si>
  <si>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</si>
  <si>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</si>
  <si>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</si>
  <si>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</si>
  <si>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</si>
  <si>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</si>
  <si>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</si>
  <si>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</si>
  <si>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</si>
  <si>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</si>
  <si>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</si>
  <si>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</si>
  <si>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</si>
  <si>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</si>
  <si>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</si>
  <si>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</si>
  <si>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</si>
  <si>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</si>
  <si>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</si>
  <si>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</si>
  <si>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</si>
  <si>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</si>
  <si>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</si>
  <si>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</si>
  <si>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</si>
  <si>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</si>
  <si>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</si>
  <si>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</si>
  <si>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</si>
  <si>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</si>
  <si>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</si>
  <si>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</si>
  <si>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</si>
  <si>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</si>
  <si>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</si>
  <si>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</si>
  <si>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</si>
  <si>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</si>
  <si>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</si>
  <si>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</si>
  <si>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</si>
  <si>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</si>
  <si>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</si>
  <si>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</si>
  <si>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</si>
  <si>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</si>
  <si>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</si>
  <si>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</si>
  <si>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</si>
  <si>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</si>
  <si>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</si>
  <si>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</si>
  <si>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</si>
  <si>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</si>
  <si>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</si>
  <si>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</si>
  <si>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</si>
  <si>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</si>
  <si>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</si>
  <si>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</si>
  <si>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</si>
  <si>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</si>
  <si>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</si>
  <si>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</si>
  <si>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</si>
  <si>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</si>
  <si>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</si>
  <si>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</si>
  <si>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</si>
  <si>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</si>
  <si>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</si>
  <si>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</si>
  <si>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</si>
  <si>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</si>
  <si>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</si>
  <si>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</si>
  <si>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</si>
  <si>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</si>
  <si>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</si>
  <si>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</si>
  <si>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</si>
  <si>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</si>
  <si>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</si>
  <si>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</si>
  <si>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</si>
  <si>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</si>
  <si>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</si>
  <si>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</si>
  <si>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</si>
  <si>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</si>
  <si>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</si>
  <si>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</si>
  <si>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</si>
  <si>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</si>
  <si>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</si>
  <si>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</si>
  <si>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</si>
  <si>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</si>
  <si>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</si>
  <si>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</si>
  <si>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</si>
  <si>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</si>
  <si>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</si>
  <si>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</si>
  <si>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</si>
  <si>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</si>
  <si>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</si>
  <si>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</si>
  <si>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</si>
  <si>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</si>
  <si>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</si>
  <si>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</si>
  <si>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</si>
  <si>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</si>
  <si>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</si>
  <si>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</si>
  <si>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</si>
  <si>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</si>
  <si>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</si>
  <si>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</si>
  <si>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1996-97</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</si>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</sst>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2.xml.rels><?xml version="1.0" encoding="UTF-8"?>
<Relationships xmlns="http://schemas.openxmlformats.org/package/2006/relationships"><Relationship Id="rId1" Type="http://schemas.openxmlformats.org/officeDocument/2006/relationships/drawing" Target="../drawings/drawing16.xml"/>
</Relationships>
</file>

<file path=xl/worksheets/_rels/sheet23.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25.xml.rels><?xml version="1.0" encoding="UTF-8"?>
<Relationships xmlns="http://schemas.openxmlformats.org/package/2006/relationships"><Relationship Id="rId1" Type="http://schemas.openxmlformats.org/officeDocument/2006/relationships/drawing" Target="../drawings/drawing19.x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29.xml.rels><?xml version="1.0" encoding="UTF-8"?>
<Relationships xmlns="http://schemas.openxmlformats.org/package/2006/relationships"><Relationship Id="rId1" Type="http://schemas.openxmlformats.org/officeDocument/2006/relationships/drawing" Target="../drawings/drawing23.xml"/>
</Relationships>
</file>

<file path=xl/worksheets/_rels/sheet30.xml.rels><?xml version="1.0" encoding="UTF-8"?>
<Relationships xmlns="http://schemas.openxmlformats.org/package/2006/relationships"><Relationship Id="rId1" Type="http://schemas.openxmlformats.org/officeDocument/2006/relationships/drawing" Target="../drawings/drawing24.xml"/>
</Relationships>
</file>

<file path=xl/worksheets/_rels/sheet31.xml.rels><?xml version="1.0" encoding="UTF-8"?>
<Relationships xmlns="http://schemas.openxmlformats.org/package/2006/relationships"><Relationship Id="rId1" Type="http://schemas.openxmlformats.org/officeDocument/2006/relationships/drawing" Target="../drawings/drawing25.xml"/>
</Relationships>
</file>

<file path=xl/worksheets/_rels/sheet32.xml.rels><?xml version="1.0" encoding="UTF-8"?>
<Relationships xmlns="http://schemas.openxmlformats.org/package/2006/relationships"><Relationship Id="rId1" Type="http://schemas.openxmlformats.org/officeDocument/2006/relationships/drawing" Target="../drawings/drawing26.xml"/>
</Relationships>
</file>

<file path=xl/worksheets/_rels/sheet33.xml.rels><?xml version="1.0" encoding="UTF-8"?>
<Relationships xmlns="http://schemas.openxmlformats.org/package/2006/relationships"><Relationship Id="rId1" Type="http://schemas.openxmlformats.org/officeDocument/2006/relationships/drawing" Target="../drawings/drawing27.xml"/>
</Relationships>
</file>

<file path=xl/worksheets/_rels/sheet34.xml.rels><?xml version="1.0" encoding="UTF-8"?>
<Relationships xmlns="http://schemas.openxmlformats.org/package/2006/relationships"><Relationship Id="rId1" Type="http://schemas.openxmlformats.org/officeDocument/2006/relationships/drawing" Target="../drawings/drawing28.xml"/>
</Relationships>
</file>

<file path=xl/worksheets/_rels/sheet35.xml.rels><?xml version="1.0" encoding="UTF-8"?>
<Relationships xmlns="http://schemas.openxmlformats.org/package/2006/relationships"><Relationship Id="rId1" Type="http://schemas.openxmlformats.org/officeDocument/2006/relationships/drawing" Target="../drawings/drawing29.xml"/>
</Relationships>
</file>

<file path=xl/worksheets/_rels/sheet36.xml.rels><?xml version="1.0" encoding="UTF-8"?>
<Relationships xmlns="http://schemas.openxmlformats.org/package/2006/relationships"><Relationship Id="rId1" Type="http://schemas.openxmlformats.org/officeDocument/2006/relationships/drawing" Target="../drawings/drawing30.xml"/>
</Relationships>
</file>

<file path=xl/worksheets/_rels/sheet37.xml.rels><?xml version="1.0" encoding="UTF-8"?>
<Relationships xmlns="http://schemas.openxmlformats.org/package/2006/relationships"><Relationship Id="rId1" Type="http://schemas.openxmlformats.org/officeDocument/2006/relationships/drawing" Target="../drawings/drawing31.xml"/>
</Relationships>
</file>

<file path=xl/worksheets/_rels/sheet38.xml.rels><?xml version="1.0" encoding="UTF-8"?>
<Relationships xmlns="http://schemas.openxmlformats.org/package/2006/relationships"><Relationship Id="rId1" Type="http://schemas.openxmlformats.org/officeDocument/2006/relationships/drawing" Target="../drawings/drawing32.xml"/>
</Relationships>
</file>

<file path=xl/worksheets/_rels/sheet39.xml.rels><?xml version="1.0" encoding="UTF-8"?>
<Relationships xmlns="http://schemas.openxmlformats.org/package/2006/relationships"><Relationship Id="rId1" Type="http://schemas.openxmlformats.org/officeDocument/2006/relationships/drawing" Target="../drawings/drawing33.xml"/>
</Relationships>
</file>

<file path=xl/worksheets/_rels/sheet40.xml.rels><?xml version="1.0" encoding="UTF-8"?>
<Relationships xmlns="http://schemas.openxmlformats.org/package/2006/relationships"><Relationship Id="rId1" Type="http://schemas.openxmlformats.org/officeDocument/2006/relationships/drawing" Target="../drawings/drawing34.xml"/>
</Relationships>
</file>

<file path=xl/worksheets/_rels/sheet41.xml.rels><?xml version="1.0" encoding="UTF-8"?>
<Relationships xmlns="http://schemas.openxmlformats.org/package/2006/relationships"><Relationship Id="rId1" Type="http://schemas.openxmlformats.org/officeDocument/2006/relationships/drawing" Target="../drawings/drawing35.xml"/>
</Relationships>
</file>

<file path=xl/worksheets/_rels/sheet42.xml.rels><?xml version="1.0" encoding="UTF-8"?>
<Relationships xmlns="http://schemas.openxmlformats.org/package/2006/relationships"><Relationship Id="rId1" Type="http://schemas.openxmlformats.org/officeDocument/2006/relationships/drawing" Target="../drawings/drawing36.xml"/>
</Relationships>
</file>

<file path=xl/worksheets/_rels/sheet43.xml.rels><?xml version="1.0" encoding="UTF-8"?>
<Relationships xmlns="http://schemas.openxmlformats.org/package/2006/relationships"><Relationship Id="rId1" Type="http://schemas.openxmlformats.org/officeDocument/2006/relationships/drawing" Target="../drawings/drawing37.xml"/>
</Relationships>
</file>

<file path=xl/worksheets/_rels/sheet44.xml.rels><?xml version="1.0" encoding="UTF-8"?>
<Relationships xmlns="http://schemas.openxmlformats.org/package/2006/relationships"><Relationship Id="rId1" Type="http://schemas.openxmlformats.org/officeDocument/2006/relationships/drawing" Target="../drawings/drawing38.xml"/>
</Relationships>
</file>

<file path=xl/worksheets/_rels/sheet45.xml.rels><?xml version="1.0" encoding="UTF-8"?>
<Relationships xmlns="http://schemas.openxmlformats.org/package/2006/relationships"><Relationship Id="rId1" Type="http://schemas.openxmlformats.org/officeDocument/2006/relationships/drawing" Target="../drawings/drawing39.xml"/>
</Relationships>
</file>

<file path=xl/worksheets/_rels/sheet46.xml.rels><?xml version="1.0" encoding="UTF-8"?>
<Relationships xmlns="http://schemas.openxmlformats.org/package/2006/relationships"><Relationship Id="rId1" Type="http://schemas.openxmlformats.org/officeDocument/2006/relationships/drawing" Target="../drawings/drawing40.xml"/>
</Relationships>
</file>

<file path=xl/worksheets/_rels/sheet47.xml.rels><?xml version="1.0" encoding="UTF-8"?>
<Relationships xmlns="http://schemas.openxmlformats.org/package/2006/relationships"><Relationship Id="rId1" Type="http://schemas.openxmlformats.org/officeDocument/2006/relationships/drawing" Target="../drawings/drawing41.xml"/>
</Relationships>
</file>

<file path=xl/worksheets/_rels/sheet48.xml.rels><?xml version="1.0" encoding="UTF-8"?>
<Relationships xmlns="http://schemas.openxmlformats.org/package/2006/relationships"><Relationship Id="rId1" Type="http://schemas.openxmlformats.org/officeDocument/2006/relationships/drawing" Target="../drawings/drawing42.xml"/>
</Relationships>
</file>

<file path=xl/worksheets/_rels/sheet49.xml.rels><?xml version="1.0" encoding="UTF-8"?>
<Relationships xmlns="http://schemas.openxmlformats.org/package/2006/relationships"><Relationship Id="rId1" Type="http://schemas.openxmlformats.org/officeDocument/2006/relationships/drawing" Target="../drawings/drawing43.xml"/>
</Relationships>
</file>

<file path=xl/worksheets/_rels/sheet50.xml.rels><?xml version="1.0" encoding="UTF-8"?>
<Relationships xmlns="http://schemas.openxmlformats.org/package/2006/relationships"><Relationship Id="rId1" Type="http://schemas.openxmlformats.org/officeDocument/2006/relationships/drawing" Target="../drawings/drawing44.xml"/>
</Relationships>
</file>

<file path=xl/worksheets/_rels/sheet51.xml.rels><?xml version="1.0" encoding="UTF-8"?>
<Relationships xmlns="http://schemas.openxmlformats.org/package/2006/relationships"><Relationship Id="rId1" Type="http://schemas.openxmlformats.org/officeDocument/2006/relationships/drawing" Target="../drawings/drawing45.xml"/>
</Relationships>
</file>

<file path=xl/worksheets/_rels/sheet52.xml.rels><?xml version="1.0" encoding="UTF-8"?>
<Relationships xmlns="http://schemas.openxmlformats.org/package/2006/relationships"><Relationship Id="rId1" Type="http://schemas.openxmlformats.org/officeDocument/2006/relationships/drawing" Target="../drawings/drawing46.xml"/>
</Relationships>
</file>

<file path=xl/worksheets/_rels/sheet53.xml.rels><?xml version="1.0" encoding="UTF-8"?>
<Relationships xmlns="http://schemas.openxmlformats.org/package/2006/relationships"><Relationship Id="rId1" Type="http://schemas.openxmlformats.org/officeDocument/2006/relationships/drawing" Target="../drawings/drawing47.xml"/>
</Relationships>
</file>

<file path=xl/worksheets/_rels/sheet54.xml.rels><?xml version="1.0" encoding="UTF-8"?>
<Relationships xmlns="http://schemas.openxmlformats.org/package/2006/relationships"><Relationship Id="rId1" Type="http://schemas.openxmlformats.org/officeDocument/2006/relationships/drawing" Target="../drawings/drawing48.xml"/>
</Relationships>
</file>

<file path=xl/worksheets/_rels/sheet55.xml.rels><?xml version="1.0" encoding="UTF-8"?>
<Relationships xmlns="http://schemas.openxmlformats.org/package/2006/relationships"><Relationship Id="rId1" Type="http://schemas.openxmlformats.org/officeDocument/2006/relationships/drawing" Target="../drawings/drawing49.xml"/>
</Relationships>
</file>

<file path=xl/worksheets/_rels/sheet56.xml.rels><?xml version="1.0" encoding="UTF-8"?>
<Relationships xmlns="http://schemas.openxmlformats.org/package/2006/relationships"><Relationship Id="rId1" Type="http://schemas.openxmlformats.org/officeDocument/2006/relationships/drawing" Target="../drawings/drawing50.xml"/>
</Relationships>
</file>

<file path=xl/worksheets/_rels/sheet57.xml.rels><?xml version="1.0" encoding="UTF-8"?>
<Relationships xmlns="http://schemas.openxmlformats.org/package/2006/relationships"><Relationship Id="rId1" Type="http://schemas.openxmlformats.org/officeDocument/2006/relationships/drawing" Target="../drawings/drawing51.xml"/>
</Relationships>
</file>

<file path=xl/worksheets/_rels/sheet58.xml.rels><?xml version="1.0" encoding="UTF-8"?>
<Relationships xmlns="http://schemas.openxmlformats.org/package/2006/relationships"><Relationship Id="rId1" Type="http://schemas.openxmlformats.org/officeDocument/2006/relationships/drawing" Target="../drawings/drawing52.xml"/>
</Relationships>
</file>

<file path=xl/worksheets/_rels/sheet59.xml.rels><?xml version="1.0" encoding="UTF-8"?>
<Relationships xmlns="http://schemas.openxmlformats.org/package/2006/relationships"><Relationship Id="rId1" Type="http://schemas.openxmlformats.org/officeDocument/2006/relationships/drawing" Target="../drawings/drawing53.xml"/>
</Relationships>
</file>

<file path=xl/worksheets/_rels/sheet60.xml.rels><?xml version="1.0" encoding="UTF-8"?>
<Relationships xmlns="http://schemas.openxmlformats.org/package/2006/relationships"><Relationship Id="rId1" Type="http://schemas.openxmlformats.org/officeDocument/2006/relationships/drawing" Target="../drawings/drawing54.xml"/>
</Relationships>
</file>

<file path=xl/worksheets/_rels/sheet61.xml.rels><?xml version="1.0" encoding="UTF-8"?>
<Relationships xmlns="http://schemas.openxmlformats.org/package/2006/relationships"><Relationship Id="rId1" Type="http://schemas.openxmlformats.org/officeDocument/2006/relationships/drawing" Target="../drawings/drawing55.xml"/>
</Relationships>
</file>

<file path=xl/worksheets/_rels/sheet62.xml.rels><?xml version="1.0" encoding="UTF-8"?>
<Relationships xmlns="http://schemas.openxmlformats.org/package/2006/relationships"><Relationship Id="rId1" Type="http://schemas.openxmlformats.org/officeDocument/2006/relationships/drawing" Target="../drawings/drawing56.xml"/>
</Relationships>
</file>

<file path=xl/worksheets/_rels/sheet63.xml.rels><?xml version="1.0" encoding="UTF-8"?>
<Relationships xmlns="http://schemas.openxmlformats.org/package/2006/relationships"><Relationship Id="rId1" Type="http://schemas.openxmlformats.org/officeDocument/2006/relationships/drawing" Target="../drawings/drawing57.xml"/>
</Relationships>
</file>

<file path=xl/worksheets/_rels/sheet64.xml.rels><?xml version="1.0" encoding="UTF-8"?>
<Relationships xmlns="http://schemas.openxmlformats.org/package/2006/relationships"><Relationship Id="rId1" Type="http://schemas.openxmlformats.org/officeDocument/2006/relationships/drawing" Target="../drawings/drawing58.xml"/>
</Relationships>
</file>

<file path=xl/worksheets/_rels/sheet65.xml.rels><?xml version="1.0" encoding="UTF-8"?>
<Relationships xmlns="http://schemas.openxmlformats.org/package/2006/relationships"><Relationship Id="rId1" Type="http://schemas.openxmlformats.org/officeDocument/2006/relationships/drawing" Target="../drawings/drawing59.xml"/>
</Relationships>
</file>

<file path=xl/worksheets/_rels/sheet66.xml.rels><?xml version="1.0" encoding="UTF-8"?>
<Relationships xmlns="http://schemas.openxmlformats.org/package/2006/relationships"><Relationship Id="rId1" Type="http://schemas.openxmlformats.org/officeDocument/2006/relationships/drawing" Target="../drawings/drawing60.xml"/>
</Relationships>
</file>

<file path=xl/worksheets/_rels/sheet67.xml.rels><?xml version="1.0" encoding="UTF-8"?>
<Relationships xmlns="http://schemas.openxmlformats.org/package/2006/relationships"><Relationship Id="rId1" Type="http://schemas.openxmlformats.org/officeDocument/2006/relationships/drawing" Target="../drawings/drawing61.xml"/>
</Relationships>
</file>

<file path=xl/worksheets/_rels/sheet68.xml.rels><?xml version="1.0" encoding="UTF-8"?>
<Relationships xmlns="http://schemas.openxmlformats.org/package/2006/relationships"><Relationship Id="rId1" Type="http://schemas.openxmlformats.org/officeDocument/2006/relationships/drawing" Target="../drawings/drawing62.xml"/>
</Relationships>
</file>

<file path=xl/worksheets/_rels/sheet69.xml.rels><?xml version="1.0" encoding="UTF-8"?>
<Relationships xmlns="http://schemas.openxmlformats.org/package/2006/relationships"><Relationship Id="rId1" Type="http://schemas.openxmlformats.org/officeDocument/2006/relationships/drawing" Target="../drawings/drawing63.xml"/>
</Relationships>
</file>

<file path=xl/worksheets/_rels/sheet70.xml.rels><?xml version="1.0" encoding="UTF-8"?>
<Relationships xmlns="http://schemas.openxmlformats.org/package/2006/relationships"><Relationship Id="rId1" Type="http://schemas.openxmlformats.org/officeDocument/2006/relationships/drawing" Target="../drawings/drawing64.xml"/>
</Relationships>
</file>

<file path=xl/worksheets/_rels/sheet71.xml.rels><?xml version="1.0" encoding="UTF-8"?>
<Relationships xmlns="http://schemas.openxmlformats.org/package/2006/relationships"><Relationship Id="rId1" Type="http://schemas.openxmlformats.org/officeDocument/2006/relationships/drawing" Target="../drawings/drawing65.xml"/>
</Relationships>
</file>

<file path=xl/worksheets/_rels/sheet72.xml.rels><?xml version="1.0" encoding="UTF-8"?>
<Relationships xmlns="http://schemas.openxmlformats.org/package/2006/relationships"><Relationship Id="rId1" Type="http://schemas.openxmlformats.org/officeDocument/2006/relationships/drawing" Target="../drawings/drawing66.xml"/>
</Relationships>
</file>

<file path=xl/worksheets/_rels/sheet73.xml.rels><?xml version="1.0" encoding="UTF-8"?>
<Relationships xmlns="http://schemas.openxmlformats.org/package/2006/relationships"><Relationship Id="rId1" Type="http://schemas.openxmlformats.org/officeDocument/2006/relationships/drawing" Target="../drawings/drawing67.xml"/>
</Relationships>
</file>

<file path=xl/worksheets/_rels/sheet74.xml.rels><?xml version="1.0" encoding="UTF-8"?>
<Relationships xmlns="http://schemas.openxmlformats.org/package/2006/relationships"><Relationship Id="rId1" Type="http://schemas.openxmlformats.org/officeDocument/2006/relationships/drawing" Target="../drawings/drawing68.xml"/>
</Relationships>
</file>

<file path=xl/worksheets/_rels/sheet75.xml.rels><?xml version="1.0" encoding="UTF-8"?>
<Relationships xmlns="http://schemas.openxmlformats.org/package/2006/relationships"><Relationship Id="rId1" Type="http://schemas.openxmlformats.org/officeDocument/2006/relationships/drawing" Target="../drawings/drawing69.xml"/>
</Relationships>
</file>

<file path=xl/worksheets/_rels/sheet76.xml.rels><?xml version="1.0" encoding="UTF-8"?>
<Relationships xmlns="http://schemas.openxmlformats.org/package/2006/relationships"><Relationship Id="rId1" Type="http://schemas.openxmlformats.org/officeDocument/2006/relationships/drawing" Target="../drawings/drawing70.xml"/>
</Relationships>
</file>

<file path=xl/worksheets/_rels/sheet77.xml.rels><?xml version="1.0" encoding="UTF-8"?>
<Relationships xmlns="http://schemas.openxmlformats.org/package/2006/relationships"><Relationship Id="rId1" Type="http://schemas.openxmlformats.org/officeDocument/2006/relationships/drawing" Target="../drawings/drawing71.xml"/>
</Relationships>
</file>

<file path=xl/worksheets/_rels/sheet78.xml.rels><?xml version="1.0" encoding="UTF-8"?>
<Relationships xmlns="http://schemas.openxmlformats.org/package/2006/relationships"><Relationship Id="rId1" Type="http://schemas.openxmlformats.org/officeDocument/2006/relationships/drawing" Target="../drawings/drawing72.xml"/>
</Relationships>
</file>

<file path=xl/worksheets/_rels/sheet79.xml.rels><?xml version="1.0" encoding="UTF-8"?>
<Relationships xmlns="http://schemas.openxmlformats.org/package/2006/relationships"><Relationship Id="rId1" Type="http://schemas.openxmlformats.org/officeDocument/2006/relationships/drawing" Target="../drawings/drawing73.xml"/>
</Relationships>
</file>

<file path=xl/worksheets/_rels/sheet80.xml.rels><?xml version="1.0" encoding="UTF-8"?>
<Relationships xmlns="http://schemas.openxmlformats.org/package/2006/relationships"><Relationship Id="rId1" Type="http://schemas.openxmlformats.org/officeDocument/2006/relationships/drawing" Target="../drawings/drawing74.xml"/>
</Relationships>
</file>

<file path=xl/worksheets/_rels/sheet81.xml.rels><?xml version="1.0" encoding="UTF-8"?>
<Relationships xmlns="http://schemas.openxmlformats.org/package/2006/relationships"><Relationship Id="rId1" Type="http://schemas.openxmlformats.org/officeDocument/2006/relationships/drawing" Target="../drawings/drawing75.xml"/>
</Relationships>
</file>

<file path=xl/worksheets/_rels/sheet82.xml.rels><?xml version="1.0" encoding="UTF-8"?>
<Relationships xmlns="http://schemas.openxmlformats.org/package/2006/relationships"><Relationship Id="rId1" Type="http://schemas.openxmlformats.org/officeDocument/2006/relationships/drawing" Target="../drawings/drawing76.xml"/>
</Relationships>
</file>

<file path=xl/worksheets/_rels/sheet83.xml.rels><?xml version="1.0" encoding="UTF-8"?>
<Relationships xmlns="http://schemas.openxmlformats.org/package/2006/relationships"><Relationship Id="rId1" Type="http://schemas.openxmlformats.org/officeDocument/2006/relationships/drawing" Target="../drawings/drawing77.xml"/>
</Relationships>
</file>

<file path=xl/worksheets/_rels/sheet84.xml.rels><?xml version="1.0" encoding="UTF-8"?>
<Relationships xmlns="http://schemas.openxmlformats.org/package/2006/relationships"><Relationship Id="rId1" Type="http://schemas.openxmlformats.org/officeDocument/2006/relationships/drawing" Target="../drawings/drawing78.xml"/>
</Relationships>
</file>

<file path=xl/worksheets/_rels/sheet85.xml.rels><?xml version="1.0" encoding="UTF-8"?>
<Relationships xmlns="http://schemas.openxmlformats.org/package/2006/relationships"><Relationship Id="rId1" Type="http://schemas.openxmlformats.org/officeDocument/2006/relationships/drawing" Target="../drawings/drawing79.xml"/>
</Relationships>
</file>

<file path=xl/worksheets/_rels/sheet86.xml.rels><?xml version="1.0" encoding="UTF-8"?>
<Relationships xmlns="http://schemas.openxmlformats.org/package/2006/relationships"><Relationship Id="rId1" Type="http://schemas.openxmlformats.org/officeDocument/2006/relationships/drawing" Target="../drawings/drawing80.xml"/>
</Relationships>
</file>

<file path=xl/worksheets/_rels/sheet87.xml.rels><?xml version="1.0" encoding="UTF-8"?>
<Relationships xmlns="http://schemas.openxmlformats.org/package/2006/relationships"><Relationship Id="rId1" Type="http://schemas.openxmlformats.org/officeDocument/2006/relationships/drawing" Target="../drawings/drawing81.xml"/>
</Relationships>
</file>

<file path=xl/worksheets/_rels/sheet88.xml.rels><?xml version="1.0" encoding="UTF-8"?>
<Relationships xmlns="http://schemas.openxmlformats.org/package/2006/relationships"><Relationship Id="rId1" Type="http://schemas.openxmlformats.org/officeDocument/2006/relationships/drawing" Target="../drawings/drawing82.xml"/>
</Relationships>
</file>

<file path=xl/worksheets/_rels/sheet89.xml.rels><?xml version="1.0" encoding="UTF-8"?>
<Relationships xmlns="http://schemas.openxmlformats.org/package/2006/relationships"><Relationship Id="rId1" Type="http://schemas.openxmlformats.org/officeDocument/2006/relationships/drawing" Target="../drawings/drawing83.xml"/>
</Relationships>
</file>

<file path=xl/worksheets/_rels/sheet90.xml.rels><?xml version="1.0" encoding="UTF-8"?>
<Relationships xmlns="http://schemas.openxmlformats.org/package/2006/relationships"><Relationship Id="rId1" Type="http://schemas.openxmlformats.org/officeDocument/2006/relationships/drawing" Target="../drawings/drawing84.xml"/>
</Relationships>
</file>

<file path=xl/worksheets/_rels/sheet91.xml.rels><?xml version="1.0" encoding="UTF-8"?>
<Relationships xmlns="http://schemas.openxmlformats.org/package/2006/relationships"><Relationship Id="rId1" Type="http://schemas.openxmlformats.org/officeDocument/2006/relationships/drawing" Target="../drawings/drawing85.xml"/>
</Relationships>
</file>

<file path=xl/worksheets/_rels/sheet92.xml.rels><?xml version="1.0" encoding="UTF-8"?>
<Relationships xmlns="http://schemas.openxmlformats.org/package/2006/relationships"><Relationship Id="rId1" Type="http://schemas.openxmlformats.org/officeDocument/2006/relationships/drawing" Target="../drawings/drawing86.xml"/>
</Relationships>
</file>

<file path=xl/worksheets/_rels/sheet93.xml.rels><?xml version="1.0" encoding="UTF-8"?>
<Relationships xmlns="http://schemas.openxmlformats.org/package/2006/relationships"><Relationship Id="rId1" Type="http://schemas.openxmlformats.org/officeDocument/2006/relationships/drawing" Target="../drawings/drawing87.xml"/>
</Relationships>
</file>

<file path=xl/worksheets/_rels/sheet94.xml.rels><?xml version="1.0" encoding="UTF-8"?>
<Relationships xmlns="http://schemas.openxmlformats.org/package/2006/relationships"><Relationship Id="rId1" Type="http://schemas.openxmlformats.org/officeDocument/2006/relationships/drawing" Target="../drawings/drawing88.xml"/>
</Relationships>
</file>

<file path=xl/worksheets/_rels/sheet95.xml.rels><?xml version="1.0" encoding="UTF-8"?>
<Relationships xmlns="http://schemas.openxmlformats.org/package/2006/relationships"><Relationship Id="rId1" Type="http://schemas.openxmlformats.org/officeDocument/2006/relationships/drawing" Target="../drawings/drawing89.xml"/>
</Relationships>
</file>

<file path=xl/worksheets/_rels/sheet96.xml.rels><?xml version="1.0" encoding="UTF-8"?>
<Relationships xmlns="http://schemas.openxmlformats.org/package/2006/relationships"><Relationship Id="rId1" Type="http://schemas.openxmlformats.org/officeDocument/2006/relationships/drawing" Target="../drawings/drawing90.xml"/>
</Relationships>
</file>

<file path=xl/worksheets/_rels/sheet97.xml.rels><?xml version="1.0" encoding="UTF-8"?>
<Relationships xmlns="http://schemas.openxmlformats.org/package/2006/relationships"><Relationship Id="rId1" Type="http://schemas.openxmlformats.org/officeDocument/2006/relationships/drawing" Target="../drawings/drawing91.xml"/>
</Relationships>
</file>

<file path=xl/worksheets/_rels/sheet98.xml.rels><?xml version="1.0" encoding="UTF-8"?>
<Relationships xmlns="http://schemas.openxmlformats.org/package/2006/relationships"><Relationship Id="rId1" Type="http://schemas.openxmlformats.org/officeDocument/2006/relationships/drawing" Target="../drawings/drawing92.xml"/>
</Relationships>
</file>

<file path=xl/worksheets/_rels/sheet99.xml.rels><?xml version="1.0" encoding="UTF-8"?>
<Relationships xmlns="http://schemas.openxmlformats.org/package/2006/relationships"><Relationship Id="rId1" Type="http://schemas.openxmlformats.org/officeDocument/2006/relationships/drawing" Target="../drawings/drawing93.xml"/>
</Relationships>
</file>

<file path=xl/worksheets/_rels/sheet100.xml.rels><?xml version="1.0" encoding="UTF-8"?>
<Relationships xmlns="http://schemas.openxmlformats.org/package/2006/relationships"><Relationship Id="rId1" Type="http://schemas.openxmlformats.org/officeDocument/2006/relationships/drawing" Target="../drawings/drawing94.xml"/>
</Relationships>
</file>

<file path=xl/worksheets/_rels/sheet101.xml.rels><?xml version="1.0" encoding="UTF-8"?>
<Relationships xmlns="http://schemas.openxmlformats.org/package/2006/relationships"><Relationship Id="rId1" Type="http://schemas.openxmlformats.org/officeDocument/2006/relationships/drawing" Target="../drawings/drawing95.xml"/>
</Relationships>
</file>

<file path=xl/worksheets/_rels/sheet102.xml.rels><?xml version="1.0" encoding="UTF-8"?>
<Relationships xmlns="http://schemas.openxmlformats.org/package/2006/relationships"><Relationship Id="rId1" Type="http://schemas.openxmlformats.org/officeDocument/2006/relationships/drawing" Target="../drawings/drawing96.xml"/>
</Relationships>
</file>

<file path=xl/worksheets/_rels/sheet103.xml.rels><?xml version="1.0" encoding="UTF-8"?>
<Relationships xmlns="http://schemas.openxmlformats.org/package/2006/relationships"><Relationship Id="rId1" Type="http://schemas.openxmlformats.org/officeDocument/2006/relationships/drawing" Target="../drawings/drawing97.xml"/>
</Relationships>
</file>

<file path=xl/worksheets/_rels/sheet104.xml.rels><?xml version="1.0" encoding="UTF-8"?>
<Relationships xmlns="http://schemas.openxmlformats.org/package/2006/relationships"><Relationship Id="rId1" Type="http://schemas.openxmlformats.org/officeDocument/2006/relationships/drawing" Target="../drawings/drawing98.xml"/>
</Relationships>
</file>

<file path=xl/worksheets/_rels/sheet105.xml.rels><?xml version="1.0" encoding="UTF-8"?>
<Relationships xmlns="http://schemas.openxmlformats.org/package/2006/relationships"><Relationship Id="rId1" Type="http://schemas.openxmlformats.org/officeDocument/2006/relationships/drawing" Target="../drawings/drawing99.xml"/>
</Relationships>
</file>

<file path=xl/worksheets/_rels/sheet106.xml.rels><?xml version="1.0" encoding="UTF-8"?>
<Relationships xmlns="http://schemas.openxmlformats.org/package/2006/relationships"><Relationship Id="rId1" Type="http://schemas.openxmlformats.org/officeDocument/2006/relationships/drawing" Target="../drawings/drawing100.xml"/>
</Relationships>
</file>

<file path=xl/worksheets/_rels/sheet107.xml.rels><?xml version="1.0" encoding="UTF-8"?>
<Relationships xmlns="http://schemas.openxmlformats.org/package/2006/relationships"><Relationship Id="rId1" Type="http://schemas.openxmlformats.org/officeDocument/2006/relationships/drawing" Target="../drawings/drawing101.xml"/>
</Relationships>
</file>

<file path=xl/worksheets/_rels/sheet108.xml.rels><?xml version="1.0" encoding="UTF-8"?>
<Relationships xmlns="http://schemas.openxmlformats.org/package/2006/relationships"><Relationship Id="rId1" Type="http://schemas.openxmlformats.org/officeDocument/2006/relationships/drawing" Target="../drawings/drawing102.xml"/>
</Relationships>
</file>

<file path=xl/worksheets/_rels/sheet109.xml.rels><?xml version="1.0" encoding="UTF-8"?>
<Relationships xmlns="http://schemas.openxmlformats.org/package/2006/relationships"><Relationship Id="rId1" Type="http://schemas.openxmlformats.org/officeDocument/2006/relationships/drawing" Target="../drawings/drawing103.xml"/>
</Relationships>
</file>

<file path=xl/worksheets/_rels/sheet110.xml.rels><?xml version="1.0" encoding="UTF-8"?>
<Relationships xmlns="http://schemas.openxmlformats.org/package/2006/relationships"><Relationship Id="rId1" Type="http://schemas.openxmlformats.org/officeDocument/2006/relationships/drawing" Target="../drawings/drawing104.xml"/>
</Relationships>
</file>

<file path=xl/worksheets/_rels/sheet111.xml.rels><?xml version="1.0" encoding="UTF-8"?>
<Relationships xmlns="http://schemas.openxmlformats.org/package/2006/relationships"><Relationship Id="rId1" Type="http://schemas.openxmlformats.org/officeDocument/2006/relationships/drawing" Target="../drawings/drawing105.xml"/>
</Relationships>
</file>

<file path=xl/worksheets/_rels/sheet112.xml.rels><?xml version="1.0" encoding="UTF-8"?>
<Relationships xmlns="http://schemas.openxmlformats.org/package/2006/relationships"><Relationship Id="rId1" Type="http://schemas.openxmlformats.org/officeDocument/2006/relationships/drawing" Target="../drawings/drawing106.xml"/>
</Relationships>
</file>

<file path=xl/worksheets/_rels/sheet113.xml.rels><?xml version="1.0" encoding="UTF-8"?>
<Relationships xmlns="http://schemas.openxmlformats.org/package/2006/relationships"><Relationship Id="rId1" Type="http://schemas.openxmlformats.org/officeDocument/2006/relationships/drawing" Target="../drawings/drawing107.xml"/>
</Relationships>
</file>

<file path=xl/worksheets/_rels/sheet114.xml.rels><?xml version="1.0" encoding="UTF-8"?>
<Relationships xmlns="http://schemas.openxmlformats.org/package/2006/relationships"><Relationship Id="rId1" Type="http://schemas.openxmlformats.org/officeDocument/2006/relationships/drawing" Target="../drawings/drawing108.xml"/>
</Relationships>
</file>

<file path=xl/worksheets/_rels/sheet115.xml.rels><?xml version="1.0" encoding="UTF-8"?>
<Relationships xmlns="http://schemas.openxmlformats.org/package/2006/relationships"><Relationship Id="rId1" Type="http://schemas.openxmlformats.org/officeDocument/2006/relationships/drawing" Target="../drawings/drawing109.xml"/>
</Relationships>
</file>

<file path=xl/worksheets/_rels/sheet116.xml.rels><?xml version="1.0" encoding="UTF-8"?>
<Relationships xmlns="http://schemas.openxmlformats.org/package/2006/relationships"><Relationship Id="rId1" Type="http://schemas.openxmlformats.org/officeDocument/2006/relationships/drawing" Target="../drawings/drawing110.xml"/>
</Relationships>
</file>

<file path=xl/worksheets/_rels/sheet117.xml.rels><?xml version="1.0" encoding="UTF-8"?>
<Relationships xmlns="http://schemas.openxmlformats.org/package/2006/relationships"><Relationship Id="rId1" Type="http://schemas.openxmlformats.org/officeDocument/2006/relationships/drawing" Target="../drawings/drawing111.xml"/>
</Relationships>
</file>

<file path=xl/worksheets/_rels/sheet118.xml.rels><?xml version="1.0" encoding="UTF-8"?>
<Relationships xmlns="http://schemas.openxmlformats.org/package/2006/relationships"><Relationship Id="rId1" Type="http://schemas.openxmlformats.org/officeDocument/2006/relationships/drawing" Target="../drawings/drawing112.xml"/>
</Relationships>
</file>

<file path=xl/worksheets/_rels/sheet119.xml.rels><?xml version="1.0" encoding="UTF-8"?>
<Relationships xmlns="http://schemas.openxmlformats.org/package/2006/relationships"><Relationship Id="rId1" Type="http://schemas.openxmlformats.org/officeDocument/2006/relationships/drawing" Target="../drawings/drawing113.xml"/>
</Relationships>
</file>

<file path=xl/worksheets/_rels/sheet120.xml.rels><?xml version="1.0" encoding="UTF-8"?>
<Relationships xmlns="http://schemas.openxmlformats.org/package/2006/relationships"><Relationship Id="rId1" Type="http://schemas.openxmlformats.org/officeDocument/2006/relationships/drawing" Target="../drawings/drawing114.xml"/>
</Relationships>
</file>

<file path=xl/worksheets/_rels/sheet121.xml.rels><?xml version="1.0" encoding="UTF-8"?>
<Relationships xmlns="http://schemas.openxmlformats.org/package/2006/relationships"><Relationship Id="rId1" Type="http://schemas.openxmlformats.org/officeDocument/2006/relationships/drawing" Target="../drawings/drawing115.xml"/>
</Relationships>
</file>

<file path=xl/worksheets/_rels/sheet122.xml.rels><?xml version="1.0" encoding="UTF-8"?>
<Relationships xmlns="http://schemas.openxmlformats.org/package/2006/relationships"><Relationship Id="rId1" Type="http://schemas.openxmlformats.org/officeDocument/2006/relationships/drawing" Target="../drawings/drawing116.xml"/>
</Relationships>
</file>

<file path=xl/worksheets/_rels/sheet123.xml.rels><?xml version="1.0" encoding="UTF-8"?>
<Relationships xmlns="http://schemas.openxmlformats.org/package/2006/relationships"><Relationship Id="rId1" Type="http://schemas.openxmlformats.org/officeDocument/2006/relationships/drawing" Target="../drawings/drawing117.xml"/>
</Relationships>
</file>

<file path=xl/worksheets/_rels/sheet124.xml.rels><?xml version="1.0" encoding="UTF-8"?>
<Relationships xmlns="http://schemas.openxmlformats.org/package/2006/relationships"><Relationship Id="rId1" Type="http://schemas.openxmlformats.org/officeDocument/2006/relationships/drawing" Target="../drawings/drawing118.xml"/>
</Relationships>
</file>

<file path=xl/worksheets/_rels/sheet125.xml.rels><?xml version="1.0" encoding="UTF-8"?>
<Relationships xmlns="http://schemas.openxmlformats.org/package/2006/relationships"><Relationship Id="rId1" Type="http://schemas.openxmlformats.org/officeDocument/2006/relationships/drawing" Target="../drawings/drawing119.xml"/>
</Relationships>
</file>

<file path=xl/worksheets/_rels/sheet126.xml.rels><?xml version="1.0" encoding="UTF-8"?>
<Relationships xmlns="http://schemas.openxmlformats.org/package/2006/relationships"><Relationship Id="rId1" Type="http://schemas.openxmlformats.org/officeDocument/2006/relationships/drawing" Target="../drawings/drawing120.xml"/>
</Relationships>
</file>

<file path=xl/worksheets/_rels/sheet127.xml.rels><?xml version="1.0" encoding="UTF-8"?>
<Relationships xmlns="http://schemas.openxmlformats.org/package/2006/relationships"><Relationship Id="rId1" Type="http://schemas.openxmlformats.org/officeDocument/2006/relationships/drawing" Target="../drawings/drawing121.xml"/>
</Relationships>
</file>

<file path=xl/worksheets/_rels/sheet128.xml.rels><?xml version="1.0" encoding="UTF-8"?>
<Relationships xmlns="http://schemas.openxmlformats.org/package/2006/relationships"><Relationship Id="rId1" Type="http://schemas.openxmlformats.org/officeDocument/2006/relationships/drawing" Target="../drawings/drawing122.xml"/>
</Relationships>
</file>

<file path=xl/worksheets/_rels/sheet129.xml.rels><?xml version="1.0" encoding="UTF-8"?>
<Relationships xmlns="http://schemas.openxmlformats.org/package/2006/relationships"><Relationship Id="rId1" Type="http://schemas.openxmlformats.org/officeDocument/2006/relationships/drawing" Target="../drawings/drawing123.xml"/>
</Relationships>
</file>

<file path=xl/worksheets/_rels/sheet130.xml.rels><?xml version="1.0" encoding="UTF-8"?>
<Relationships xmlns="http://schemas.openxmlformats.org/package/2006/relationships"><Relationship Id="rId1" Type="http://schemas.openxmlformats.org/officeDocument/2006/relationships/drawing" Target="../drawings/drawing124.xml"/>
</Relationships>
</file>

<file path=xl/worksheets/_rels/sheet131.xml.rels><?xml version="1.0" encoding="UTF-8"?>
<Relationships xmlns="http://schemas.openxmlformats.org/package/2006/relationships"><Relationship Id="rId1" Type="http://schemas.openxmlformats.org/officeDocument/2006/relationships/drawing" Target="../drawings/drawing125.xml"/>
</Relationships>
</file>

<file path=xl/worksheets/_rels/sheet132.xml.rels><?xml version="1.0" encoding="UTF-8"?>
<Relationships xmlns="http://schemas.openxmlformats.org/package/2006/relationships"><Relationship Id="rId1" Type="http://schemas.openxmlformats.org/officeDocument/2006/relationships/drawing" Target="../drawings/drawing126.xml"/>
</Relationships>
</file>

<file path=xl/worksheets/_rels/sheet133.xml.rels><?xml version="1.0" encoding="UTF-8"?>
<Relationships xmlns="http://schemas.openxmlformats.org/package/2006/relationships"><Relationship Id="rId1" Type="http://schemas.openxmlformats.org/officeDocument/2006/relationships/drawing" Target="../drawings/drawing127.xml"/>
</Relationships>
</file>

<file path=xl/worksheets/_rels/sheet134.xml.rels><?xml version="1.0" encoding="UTF-8"?>
<Relationships xmlns="http://schemas.openxmlformats.org/package/2006/relationships"><Relationship Id="rId1" Type="http://schemas.openxmlformats.org/officeDocument/2006/relationships/drawing" Target="../drawings/drawing128.xml"/>
</Relationships>
</file>

<file path=xl/worksheets/_rels/sheet135.xml.rels><?xml version="1.0" encoding="UTF-8"?>
<Relationships xmlns="http://schemas.openxmlformats.org/package/2006/relationships"><Relationship Id="rId1" Type="http://schemas.openxmlformats.org/officeDocument/2006/relationships/drawing" Target="../drawings/drawing129.xml"/>
</Relationships>
</file>

<file path=xl/worksheets/_rels/sheet136.xml.rels><?xml version="1.0" encoding="UTF-8"?>
<Relationships xmlns="http://schemas.openxmlformats.org/package/2006/relationships"><Relationship Id="rId1" Type="http://schemas.openxmlformats.org/officeDocument/2006/relationships/drawing" Target="../drawings/drawing130.xml"/>
</Relationships>
</file>

<file path=xl/worksheets/_rels/sheet137.xml.rels><?xml version="1.0" encoding="UTF-8"?>
<Relationships xmlns="http://schemas.openxmlformats.org/package/2006/relationships"><Relationship Id="rId1" Type="http://schemas.openxmlformats.org/officeDocument/2006/relationships/drawing" Target="../drawings/drawing131.xml"/>
</Relationships>
</file>

<file path=xl/worksheets/_rels/sheet138.xml.rels><?xml version="1.0" encoding="UTF-8"?>
<Relationships xmlns="http://schemas.openxmlformats.org/package/2006/relationships"><Relationship Id="rId1" Type="http://schemas.openxmlformats.org/officeDocument/2006/relationships/drawing" Target="../drawings/drawing132.xml"/>
</Relationships>
</file>

<file path=xl/worksheets/_rels/sheet139.xml.rels><?xml version="1.0" encoding="UTF-8"?>
<Relationships xmlns="http://schemas.openxmlformats.org/package/2006/relationships"><Relationship Id="rId1" Type="http://schemas.openxmlformats.org/officeDocument/2006/relationships/drawing" Target="../drawings/drawing133.xml"/>
</Relationships>
</file>

<file path=xl/worksheets/_rels/sheet140.xml.rels><?xml version="1.0" encoding="UTF-8"?>
<Relationships xmlns="http://schemas.openxmlformats.org/package/2006/relationships"><Relationship Id="rId1" Type="http://schemas.openxmlformats.org/officeDocument/2006/relationships/drawing" Target="../drawings/drawing134.xml"/>
</Relationships>
</file>

<file path=xl/worksheets/_rels/sheet141.xml.rels><?xml version="1.0" encoding="UTF-8"?>
<Relationships xmlns="http://schemas.openxmlformats.org/package/2006/relationships"><Relationship Id="rId1" Type="http://schemas.openxmlformats.org/officeDocument/2006/relationships/drawing" Target="../drawings/drawing135.xml"/>
</Relationships>
</file>

<file path=xl/worksheets/_rels/sheet142.xml.rels><?xml version="1.0" encoding="UTF-8"?>
<Relationships xmlns="http://schemas.openxmlformats.org/package/2006/relationships"><Relationship Id="rId1" Type="http://schemas.openxmlformats.org/officeDocument/2006/relationships/drawing" Target="../drawings/drawing136.xml"/>
</Relationships>
</file>

<file path=xl/worksheets/_rels/sheet143.xml.rels><?xml version="1.0" encoding="UTF-8"?>
<Relationships xmlns="http://schemas.openxmlformats.org/package/2006/relationships"><Relationship Id="rId1" Type="http://schemas.openxmlformats.org/officeDocument/2006/relationships/drawing" Target="../drawings/drawing137.xml"/>
</Relationships>
</file>

<file path=xl/worksheets/_rels/sheet144.xml.rels><?xml version="1.0" encoding="UTF-8"?>
<Relationships xmlns="http://schemas.openxmlformats.org/package/2006/relationships"><Relationship Id="rId1" Type="http://schemas.openxmlformats.org/officeDocument/2006/relationships/drawing" Target="../drawings/drawing138.xml"/>
</Relationships>
</file>

<file path=xl/worksheets/_rels/sheet145.xml.rels><?xml version="1.0" encoding="UTF-8"?>
<Relationships xmlns="http://schemas.openxmlformats.org/package/2006/relationships"><Relationship Id="rId1" Type="http://schemas.openxmlformats.org/officeDocument/2006/relationships/drawing" Target="../drawings/drawing139.xml"/>
</Relationships>
</file>

<file path=xl/worksheets/_rels/sheet146.xml.rels><?xml version="1.0" encoding="UTF-8"?>
<Relationships xmlns="http://schemas.openxmlformats.org/package/2006/relationships"><Relationship Id="rId1" Type="http://schemas.openxmlformats.org/officeDocument/2006/relationships/drawing" Target="../drawings/drawing140.xml"/>
</Relationships>
</file>

<file path=xl/worksheets/_rels/sheet147.xml.rels><?xml version="1.0" encoding="UTF-8"?>
<Relationships xmlns="http://schemas.openxmlformats.org/package/2006/relationships"><Relationship Id="rId1" Type="http://schemas.openxmlformats.org/officeDocument/2006/relationships/drawing" Target="../drawings/drawing141.xml"/>
</Relationships>
</file>

<file path=xl/worksheets/_rels/sheet148.xml.rels><?xml version="1.0" encoding="UTF-8"?>
<Relationships xmlns="http://schemas.openxmlformats.org/package/2006/relationships"><Relationship Id="rId1" Type="http://schemas.openxmlformats.org/officeDocument/2006/relationships/drawing" Target="../drawings/drawing142.xml"/>
</Relationships>
</file>

<file path=xl/worksheets/_rels/sheet149.xml.rels><?xml version="1.0" encoding="UTF-8"?>
<Relationships xmlns="http://schemas.openxmlformats.org/package/2006/relationships"><Relationship Id="rId1" Type="http://schemas.openxmlformats.org/officeDocument/2006/relationships/drawing" Target="../drawings/drawing143.xml"/>
</Relationships>
</file>

<file path=xl/worksheets/_rels/sheet150.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128</v>
      </c>
    </row>
    <row r="3" customFormat="false" ht="15" hidden="false" customHeight="true" outlineLevel="0" collapsed="false">
      <c r="A3" s="8" t="s">
        <v>55</v>
      </c>
      <c r="B3" s="8" t="s">
        <v>129</v>
      </c>
      <c r="C3" s="8" t="s">
        <v>130</v>
      </c>
      <c r="D3" s="8" t="s">
        <v>131</v>
      </c>
      <c r="E3" s="8" t="s">
        <v>132</v>
      </c>
      <c r="F3" s="8" t="s">
        <v>133</v>
      </c>
    </row>
    <row r="4" customFormat="false" ht="15" hidden="false" customHeight="true" outlineLevel="0" collapsed="false">
      <c r="A4" s="9" t="s">
        <v>134</v>
      </c>
      <c r="B4" s="10"/>
      <c r="C4" s="10"/>
      <c r="D4" s="10"/>
      <c r="E4" s="10"/>
      <c r="F4" s="10"/>
    </row>
    <row r="5" customFormat="false" ht="23.25" hidden="false" customHeight="true" outlineLevel="0" collapsed="false">
      <c r="A5" s="11" t="n">
        <v>1</v>
      </c>
      <c r="B5" s="11" t="s">
        <v>135</v>
      </c>
      <c r="C5" s="11" t="s">
        <v>136</v>
      </c>
      <c r="D5" s="11" t="s">
        <v>137</v>
      </c>
      <c r="E5" s="11" t="s">
        <v>138</v>
      </c>
      <c r="F5" s="11" t="s">
        <v>139</v>
      </c>
    </row>
    <row r="6" customFormat="false" ht="23.25" hidden="false" customHeight="true" outlineLevel="0" collapsed="false">
      <c r="A6" s="11" t="n">
        <v>2</v>
      </c>
      <c r="B6" s="11" t="s">
        <v>135</v>
      </c>
      <c r="C6" s="11" t="s">
        <v>140</v>
      </c>
      <c r="D6" s="11" t="s">
        <v>141</v>
      </c>
      <c r="E6" s="11" t="s">
        <v>142</v>
      </c>
      <c r="F6" s="11" t="s">
        <v>139</v>
      </c>
    </row>
    <row r="7" customFormat="false" ht="15" hidden="false" customHeight="true" outlineLevel="0" collapsed="false">
      <c r="A7" s="11" t="n">
        <v>3</v>
      </c>
      <c r="B7" s="11" t="s">
        <v>135</v>
      </c>
      <c r="C7" s="11" t="s">
        <v>143</v>
      </c>
      <c r="D7" s="11" t="s">
        <v>144</v>
      </c>
      <c r="E7" s="11" t="s">
        <v>145</v>
      </c>
      <c r="F7" s="11" t="s">
        <v>139</v>
      </c>
    </row>
    <row r="8" customFormat="false" ht="23.25" hidden="false" customHeight="true" outlineLevel="0" collapsed="false">
      <c r="A8" s="11" t="n">
        <v>4</v>
      </c>
      <c r="B8" s="11" t="s">
        <v>135</v>
      </c>
      <c r="C8" s="11" t="s">
        <v>146</v>
      </c>
      <c r="D8" s="11" t="s">
        <v>147</v>
      </c>
      <c r="E8" s="11" t="s">
        <v>142</v>
      </c>
      <c r="F8" s="11" t="s">
        <v>139</v>
      </c>
    </row>
    <row r="9" customFormat="false" ht="23.25" hidden="false" customHeight="true" outlineLevel="0" collapsed="false">
      <c r="A9" s="11" t="n">
        <v>5</v>
      </c>
      <c r="B9" s="11" t="s">
        <v>135</v>
      </c>
      <c r="C9" s="11" t="s">
        <v>148</v>
      </c>
      <c r="D9" s="11" t="s">
        <v>149</v>
      </c>
      <c r="E9" s="11" t="s">
        <v>150</v>
      </c>
      <c r="F9" s="11" t="s">
        <v>139</v>
      </c>
    </row>
    <row r="10" customFormat="false" ht="23.25" hidden="false" customHeight="true" outlineLevel="0" collapsed="false">
      <c r="A10" s="11" t="n">
        <v>6</v>
      </c>
      <c r="B10" s="11" t="s">
        <v>135</v>
      </c>
      <c r="C10" s="11" t="s">
        <v>151</v>
      </c>
      <c r="D10" s="11" t="s">
        <v>152</v>
      </c>
      <c r="E10" s="11" t="s">
        <v>153</v>
      </c>
      <c r="F10" s="11" t="s">
        <v>139</v>
      </c>
    </row>
    <row r="11" customFormat="false" ht="23.25" hidden="false" customHeight="true" outlineLevel="0" collapsed="false">
      <c r="A11" s="11" t="n">
        <v>7</v>
      </c>
      <c r="B11" s="11" t="s">
        <v>135</v>
      </c>
      <c r="C11" s="11" t="s">
        <v>154</v>
      </c>
      <c r="D11" s="11" t="s">
        <v>155</v>
      </c>
      <c r="E11" s="11" t="s">
        <v>138</v>
      </c>
      <c r="F11" s="11" t="s">
        <v>139</v>
      </c>
    </row>
    <row r="12" customFormat="false" ht="23.25" hidden="false" customHeight="true" outlineLevel="0" collapsed="false">
      <c r="A12" s="11" t="n">
        <v>8</v>
      </c>
      <c r="B12" s="11" t="s">
        <v>135</v>
      </c>
      <c r="C12" s="11" t="s">
        <v>156</v>
      </c>
      <c r="D12" s="11" t="s">
        <v>157</v>
      </c>
      <c r="E12" s="11" t="s">
        <v>138</v>
      </c>
      <c r="F12" s="11" t="s">
        <v>139</v>
      </c>
    </row>
    <row r="13" customFormat="false" ht="23.25" hidden="false" customHeight="true" outlineLevel="0" collapsed="false">
      <c r="A13" s="11" t="n">
        <v>9</v>
      </c>
      <c r="B13" s="11" t="s">
        <v>135</v>
      </c>
      <c r="C13" s="11" t="s">
        <v>158</v>
      </c>
      <c r="D13" s="11" t="s">
        <v>159</v>
      </c>
      <c r="E13" s="11" t="s">
        <v>160</v>
      </c>
      <c r="F13" s="11" t="s">
        <v>139</v>
      </c>
    </row>
    <row r="14" customFormat="false" ht="34.5" hidden="false" customHeight="true" outlineLevel="0" collapsed="false">
      <c r="A14" s="11" t="n">
        <v>10</v>
      </c>
      <c r="B14" s="11" t="s">
        <v>135</v>
      </c>
      <c r="C14" s="11" t="s">
        <v>161</v>
      </c>
      <c r="D14" s="11" t="s">
        <v>162</v>
      </c>
      <c r="E14" s="11" t="s">
        <v>163</v>
      </c>
      <c r="F14" s="11" t="s">
        <v>139</v>
      </c>
    </row>
    <row r="15" customFormat="false" ht="23.25" hidden="false" customHeight="true" outlineLevel="0" collapsed="false">
      <c r="A15" s="11" t="n">
        <v>11</v>
      </c>
      <c r="B15" s="11" t="s">
        <v>135</v>
      </c>
      <c r="C15" s="11" t="s">
        <v>164</v>
      </c>
      <c r="D15" s="11"/>
      <c r="E15" s="11" t="s">
        <v>15</v>
      </c>
      <c r="F15" s="11" t="s">
        <v>139</v>
      </c>
    </row>
    <row r="16" customFormat="false" ht="15" hidden="false" customHeight="true" outlineLevel="0" collapsed="false">
      <c r="A16" s="9" t="s">
        <v>165</v>
      </c>
      <c r="B16" s="10"/>
      <c r="C16" s="10"/>
      <c r="D16" s="10"/>
      <c r="E16" s="10"/>
      <c r="F16" s="10"/>
    </row>
    <row r="17" customFormat="false" ht="34.5" hidden="false" customHeight="true" outlineLevel="0" collapsed="false">
      <c r="A17" s="11" t="n">
        <v>12</v>
      </c>
      <c r="B17" s="11" t="s">
        <v>166</v>
      </c>
      <c r="C17" s="11" t="s">
        <v>167</v>
      </c>
      <c r="D17" s="11" t="s">
        <v>168</v>
      </c>
      <c r="E17" s="11" t="s">
        <v>15</v>
      </c>
      <c r="F17" s="11" t="s">
        <v>139</v>
      </c>
    </row>
    <row r="18" customFormat="false" ht="45.75" hidden="false" customHeight="true" outlineLevel="0" collapsed="false">
      <c r="A18" s="11" t="n">
        <v>13</v>
      </c>
      <c r="B18" s="11" t="s">
        <v>166</v>
      </c>
      <c r="C18" s="11" t="s">
        <v>169</v>
      </c>
      <c r="D18" s="11" t="s">
        <v>170</v>
      </c>
      <c r="E18" s="11" t="s">
        <v>163</v>
      </c>
      <c r="F18" s="11" t="s">
        <v>139</v>
      </c>
    </row>
    <row r="19" customFormat="false" ht="23.25" hidden="false" customHeight="true" outlineLevel="0" collapsed="false">
      <c r="A19" s="11" t="n">
        <v>14</v>
      </c>
      <c r="B19" s="11" t="s">
        <v>166</v>
      </c>
      <c r="C19" s="11" t="s">
        <v>171</v>
      </c>
      <c r="D19" s="11" t="s">
        <v>172</v>
      </c>
      <c r="E19" s="11" t="s">
        <v>138</v>
      </c>
      <c r="F19" s="11" t="s">
        <v>139</v>
      </c>
    </row>
    <row r="20" customFormat="false" ht="34.5" hidden="false" customHeight="true" outlineLevel="0" collapsed="false">
      <c r="A20" s="11" t="n">
        <v>15</v>
      </c>
      <c r="B20" s="11" t="s">
        <v>166</v>
      </c>
      <c r="C20" s="11" t="s">
        <v>173</v>
      </c>
      <c r="D20" s="11"/>
      <c r="E20" s="11" t="s">
        <v>174</v>
      </c>
      <c r="F20" s="11" t="s">
        <v>139</v>
      </c>
    </row>
    <row r="21" customFormat="false" ht="15" hidden="false" customHeight="true" outlineLevel="0" collapsed="false">
      <c r="A21" s="11" t="n">
        <v>16</v>
      </c>
      <c r="B21" s="11" t="s">
        <v>166</v>
      </c>
      <c r="C21" s="11" t="s">
        <v>175</v>
      </c>
      <c r="D21" s="11" t="s">
        <v>176</v>
      </c>
      <c r="E21" s="11" t="s">
        <v>160</v>
      </c>
      <c r="F21" s="11" t="s">
        <v>139</v>
      </c>
    </row>
    <row r="22" customFormat="false" ht="23.25" hidden="false" customHeight="true" outlineLevel="0" collapsed="false">
      <c r="A22" s="11" t="n">
        <v>17</v>
      </c>
      <c r="B22" s="11" t="s">
        <v>166</v>
      </c>
      <c r="C22" s="11" t="s">
        <v>177</v>
      </c>
      <c r="D22" s="11" t="s">
        <v>178</v>
      </c>
      <c r="E22" s="11" t="s">
        <v>179</v>
      </c>
      <c r="F22" s="11" t="s">
        <v>139</v>
      </c>
    </row>
    <row r="23" customFormat="false" ht="15" hidden="false" customHeight="true" outlineLevel="0" collapsed="false">
      <c r="A23" s="11" t="n">
        <v>18</v>
      </c>
      <c r="B23" s="11" t="s">
        <v>166</v>
      </c>
      <c r="C23" s="11" t="s">
        <v>180</v>
      </c>
      <c r="D23" s="11" t="s">
        <v>181</v>
      </c>
      <c r="E23" s="11" t="s">
        <v>182</v>
      </c>
      <c r="F23" s="11" t="s">
        <v>139</v>
      </c>
    </row>
    <row r="24" customFormat="false" ht="23.25" hidden="false" customHeight="true" outlineLevel="0" collapsed="false">
      <c r="A24" s="11" t="n">
        <v>19</v>
      </c>
      <c r="B24" s="11" t="s">
        <v>166</v>
      </c>
      <c r="C24" s="11" t="s">
        <v>183</v>
      </c>
      <c r="D24" s="11"/>
      <c r="E24" s="11" t="s">
        <v>179</v>
      </c>
      <c r="F24" s="11" t="s">
        <v>139</v>
      </c>
    </row>
    <row r="25" customFormat="false" ht="23.25" hidden="false" customHeight="true" outlineLevel="0" collapsed="false">
      <c r="A25" s="11" t="n">
        <v>20</v>
      </c>
      <c r="B25" s="11" t="s">
        <v>166</v>
      </c>
      <c r="C25" s="11" t="s">
        <v>184</v>
      </c>
      <c r="D25" s="11" t="s">
        <v>185</v>
      </c>
      <c r="E25" s="11" t="s">
        <v>138</v>
      </c>
      <c r="F25" s="11" t="s">
        <v>139</v>
      </c>
    </row>
    <row r="26" customFormat="false" ht="23.25" hidden="false" customHeight="true" outlineLevel="0" collapsed="false">
      <c r="A26" s="11" t="n">
        <v>21</v>
      </c>
      <c r="B26" s="11" t="s">
        <v>166</v>
      </c>
      <c r="C26" s="11" t="s">
        <v>186</v>
      </c>
      <c r="D26" s="11" t="s">
        <v>187</v>
      </c>
      <c r="E26" s="11" t="s">
        <v>188</v>
      </c>
      <c r="F26" s="11" t="s">
        <v>139</v>
      </c>
    </row>
    <row r="27" customFormat="false" ht="15" hidden="false" customHeight="true" outlineLevel="0" collapsed="false">
      <c r="A27" s="9" t="s">
        <v>189</v>
      </c>
      <c r="B27" s="10"/>
      <c r="C27" s="10"/>
      <c r="D27" s="10"/>
      <c r="E27" s="10"/>
      <c r="F27" s="10"/>
    </row>
    <row r="28" customFormat="false" ht="23.25" hidden="false" customHeight="true" outlineLevel="0" collapsed="false">
      <c r="A28" s="11" t="n">
        <v>22</v>
      </c>
      <c r="B28" s="11" t="s">
        <v>190</v>
      </c>
      <c r="C28" s="11" t="s">
        <v>191</v>
      </c>
      <c r="D28" s="11" t="s">
        <v>192</v>
      </c>
      <c r="E28" s="11" t="s">
        <v>193</v>
      </c>
      <c r="F28" s="11" t="s">
        <v>139</v>
      </c>
    </row>
    <row r="29" customFormat="false" ht="23.25" hidden="false" customHeight="true" outlineLevel="0" collapsed="false">
      <c r="A29" s="11" t="n">
        <v>23</v>
      </c>
      <c r="B29" s="11" t="s">
        <v>190</v>
      </c>
      <c r="C29" s="11" t="s">
        <v>194</v>
      </c>
      <c r="D29" s="11" t="s">
        <v>195</v>
      </c>
      <c r="E29" s="11" t="s">
        <v>196</v>
      </c>
      <c r="F29" s="11" t="s">
        <v>139</v>
      </c>
    </row>
    <row r="30" customFormat="false" ht="23.25" hidden="false" customHeight="true" outlineLevel="0" collapsed="false">
      <c r="A30" s="11" t="n">
        <v>24</v>
      </c>
      <c r="B30" s="11" t="s">
        <v>190</v>
      </c>
      <c r="C30" s="11" t="s">
        <v>197</v>
      </c>
      <c r="D30" s="11" t="s">
        <v>198</v>
      </c>
      <c r="E30" s="11" t="s">
        <v>160</v>
      </c>
      <c r="F30" s="11" t="s">
        <v>139</v>
      </c>
    </row>
    <row r="31" customFormat="false" ht="23.25" hidden="false" customHeight="true" outlineLevel="0" collapsed="false">
      <c r="A31" s="11" t="n">
        <v>25</v>
      </c>
      <c r="B31" s="11" t="s">
        <v>190</v>
      </c>
      <c r="C31" s="11" t="s">
        <v>199</v>
      </c>
      <c r="D31" s="11" t="s">
        <v>200</v>
      </c>
      <c r="E31" s="11" t="s">
        <v>160</v>
      </c>
      <c r="F31" s="11" t="s">
        <v>139</v>
      </c>
    </row>
    <row r="32" customFormat="false" ht="23.25" hidden="false" customHeight="true" outlineLevel="0" collapsed="false">
      <c r="A32" s="11" t="n">
        <v>26</v>
      </c>
      <c r="B32" s="11" t="s">
        <v>190</v>
      </c>
      <c r="C32" s="11" t="s">
        <v>201</v>
      </c>
      <c r="D32" s="11" t="s">
        <v>202</v>
      </c>
      <c r="E32" s="11" t="s">
        <v>160</v>
      </c>
      <c r="F32" s="11" t="s">
        <v>139</v>
      </c>
    </row>
    <row r="33" customFormat="false" ht="23.25" hidden="false" customHeight="true" outlineLevel="0" collapsed="false">
      <c r="A33" s="12" t="n">
        <v>27</v>
      </c>
      <c r="B33" s="12" t="s">
        <v>190</v>
      </c>
      <c r="C33" s="12" t="s">
        <v>203</v>
      </c>
      <c r="D33" s="12" t="s">
        <v>204</v>
      </c>
      <c r="E33" s="12" t="s">
        <v>138</v>
      </c>
      <c r="F33" s="12" t="s">
        <v>205</v>
      </c>
    </row>
    <row r="34" customFormat="false" ht="34.5" hidden="false" customHeight="true" outlineLevel="0" collapsed="false">
      <c r="A34" s="11" t="n">
        <v>28</v>
      </c>
      <c r="B34" s="11" t="s">
        <v>190</v>
      </c>
      <c r="C34" s="11" t="s">
        <v>206</v>
      </c>
      <c r="D34" s="11"/>
      <c r="E34" s="11" t="s">
        <v>160</v>
      </c>
      <c r="F34" s="11" t="s">
        <v>139</v>
      </c>
    </row>
    <row r="35" customFormat="false" ht="23.25" hidden="false" customHeight="true" outlineLevel="0" collapsed="false">
      <c r="A35" s="11" t="n">
        <v>29</v>
      </c>
      <c r="B35" s="11" t="s">
        <v>190</v>
      </c>
      <c r="C35" s="11" t="s">
        <v>207</v>
      </c>
      <c r="D35" s="11" t="s">
        <v>208</v>
      </c>
      <c r="E35" s="11" t="s">
        <v>182</v>
      </c>
      <c r="F35" s="11" t="s">
        <v>139</v>
      </c>
    </row>
    <row r="36" customFormat="false" ht="15" hidden="false" customHeight="true" outlineLevel="0" collapsed="false">
      <c r="A36" s="9" t="s">
        <v>209</v>
      </c>
      <c r="B36" s="10"/>
      <c r="C36" s="10"/>
      <c r="D36" s="10"/>
      <c r="E36" s="10"/>
      <c r="F36" s="10"/>
    </row>
    <row r="37" customFormat="false" ht="23.25" hidden="false" customHeight="true" outlineLevel="0" collapsed="false">
      <c r="A37" s="11" t="n">
        <v>30</v>
      </c>
      <c r="B37" s="11" t="s">
        <v>210</v>
      </c>
      <c r="C37" s="11" t="s">
        <v>211</v>
      </c>
      <c r="D37" s="11" t="s">
        <v>212</v>
      </c>
      <c r="E37" s="11" t="s">
        <v>174</v>
      </c>
      <c r="F37" s="11" t="s">
        <v>139</v>
      </c>
    </row>
    <row r="38" customFormat="false" ht="23.25" hidden="false" customHeight="true" outlineLevel="0" collapsed="false">
      <c r="A38" s="11" t="n">
        <v>31</v>
      </c>
      <c r="B38" s="11" t="s">
        <v>210</v>
      </c>
      <c r="C38" s="11" t="s">
        <v>213</v>
      </c>
      <c r="D38" s="11" t="s">
        <v>214</v>
      </c>
      <c r="E38" s="11" t="s">
        <v>153</v>
      </c>
      <c r="F38" s="11" t="s">
        <v>139</v>
      </c>
    </row>
    <row r="39" customFormat="false" ht="23.25" hidden="false" customHeight="true" outlineLevel="0" collapsed="false">
      <c r="A39" s="11" t="n">
        <v>32</v>
      </c>
      <c r="B39" s="11" t="s">
        <v>210</v>
      </c>
      <c r="C39" s="11" t="s">
        <v>215</v>
      </c>
      <c r="D39" s="11" t="s">
        <v>216</v>
      </c>
      <c r="E39" s="11" t="s">
        <v>15</v>
      </c>
      <c r="F39" s="11" t="s">
        <v>139</v>
      </c>
    </row>
    <row r="40" customFormat="false" ht="34.5" hidden="false" customHeight="true" outlineLevel="0" collapsed="false">
      <c r="A40" s="11" t="n">
        <v>33</v>
      </c>
      <c r="B40" s="11" t="s">
        <v>210</v>
      </c>
      <c r="C40" s="11" t="s">
        <v>217</v>
      </c>
      <c r="D40" s="11" t="s">
        <v>218</v>
      </c>
      <c r="E40" s="11" t="s">
        <v>160</v>
      </c>
      <c r="F40" s="11" t="s">
        <v>139</v>
      </c>
    </row>
    <row r="41" customFormat="false" ht="34.5" hidden="false" customHeight="true" outlineLevel="0" collapsed="false">
      <c r="A41" s="11" t="n">
        <v>34</v>
      </c>
      <c r="B41" s="11" t="s">
        <v>210</v>
      </c>
      <c r="C41" s="11" t="s">
        <v>219</v>
      </c>
      <c r="D41" s="11" t="s">
        <v>220</v>
      </c>
      <c r="E41" s="11" t="s">
        <v>153</v>
      </c>
      <c r="F41" s="11" t="s">
        <v>139</v>
      </c>
    </row>
    <row r="42" customFormat="false" ht="15" hidden="false" customHeight="true" outlineLevel="0" collapsed="false">
      <c r="A42" s="9" t="s">
        <v>221</v>
      </c>
      <c r="B42" s="10"/>
      <c r="C42" s="10"/>
      <c r="D42" s="10"/>
      <c r="E42" s="10"/>
      <c r="F42" s="10"/>
    </row>
    <row r="43" customFormat="false" ht="15" hidden="false" customHeight="true" outlineLevel="0" collapsed="false">
      <c r="A43" s="11" t="n">
        <v>35</v>
      </c>
      <c r="B43" s="11" t="s">
        <v>222</v>
      </c>
      <c r="C43" s="11" t="s">
        <v>223</v>
      </c>
      <c r="D43" s="11" t="s">
        <v>224</v>
      </c>
      <c r="E43" s="11" t="s">
        <v>15</v>
      </c>
      <c r="F43" s="11" t="s">
        <v>139</v>
      </c>
    </row>
    <row r="44" customFormat="false" ht="23.25" hidden="false" customHeight="true" outlineLevel="0" collapsed="false">
      <c r="A44" s="11" t="n">
        <v>36</v>
      </c>
      <c r="B44" s="11" t="s">
        <v>222</v>
      </c>
      <c r="C44" s="11" t="s">
        <v>225</v>
      </c>
      <c r="D44" s="11" t="s">
        <v>226</v>
      </c>
      <c r="E44" s="11" t="s">
        <v>227</v>
      </c>
      <c r="F44" s="11" t="s">
        <v>139</v>
      </c>
    </row>
    <row r="45" customFormat="false" ht="23.25" hidden="false" customHeight="true" outlineLevel="0" collapsed="false">
      <c r="A45" s="11" t="n">
        <v>37</v>
      </c>
      <c r="B45" s="11" t="s">
        <v>222</v>
      </c>
      <c r="C45" s="11" t="s">
        <v>228</v>
      </c>
      <c r="D45" s="11" t="s">
        <v>229</v>
      </c>
      <c r="E45" s="11" t="s">
        <v>138</v>
      </c>
      <c r="F45" s="11" t="s">
        <v>139</v>
      </c>
    </row>
    <row r="46" customFormat="false" ht="23.25" hidden="false" customHeight="true" outlineLevel="0" collapsed="false">
      <c r="A46" s="11" t="n">
        <v>38</v>
      </c>
      <c r="B46" s="11" t="s">
        <v>222</v>
      </c>
      <c r="C46" s="11" t="s">
        <v>230</v>
      </c>
      <c r="D46" s="11"/>
      <c r="E46" s="11" t="s">
        <v>138</v>
      </c>
      <c r="F46" s="11" t="s">
        <v>139</v>
      </c>
    </row>
    <row r="47" customFormat="false" ht="23.25" hidden="false" customHeight="true" outlineLevel="0" collapsed="false">
      <c r="A47" s="11" t="n">
        <v>39</v>
      </c>
      <c r="B47" s="11" t="s">
        <v>222</v>
      </c>
      <c r="C47" s="11" t="s">
        <v>231</v>
      </c>
      <c r="D47" s="11" t="s">
        <v>232</v>
      </c>
      <c r="E47" s="11" t="s">
        <v>138</v>
      </c>
      <c r="F47" s="11" t="s">
        <v>139</v>
      </c>
    </row>
    <row r="48" customFormat="false" ht="15" hidden="false" customHeight="true" outlineLevel="0" collapsed="false">
      <c r="A48" s="9" t="s">
        <v>233</v>
      </c>
      <c r="B48" s="10"/>
      <c r="C48" s="10"/>
      <c r="D48" s="10"/>
      <c r="E48" s="10"/>
      <c r="F48" s="10"/>
    </row>
    <row r="49" customFormat="false" ht="15" hidden="false" customHeight="true" outlineLevel="0" collapsed="false">
      <c r="A49" s="11" t="n">
        <v>40</v>
      </c>
      <c r="B49" s="11" t="s">
        <v>234</v>
      </c>
      <c r="C49" s="11" t="s">
        <v>235</v>
      </c>
      <c r="D49" s="11" t="s">
        <v>236</v>
      </c>
      <c r="E49" s="11" t="s">
        <v>15</v>
      </c>
      <c r="F49" s="11" t="s">
        <v>139</v>
      </c>
    </row>
    <row r="50" customFormat="false" ht="23.25" hidden="false" customHeight="true" outlineLevel="0" collapsed="false">
      <c r="A50" s="11" t="n">
        <v>41</v>
      </c>
      <c r="B50" s="11" t="s">
        <v>234</v>
      </c>
      <c r="C50" s="11" t="s">
        <v>237</v>
      </c>
      <c r="D50" s="11" t="s">
        <v>238</v>
      </c>
      <c r="E50" s="11" t="s">
        <v>15</v>
      </c>
      <c r="F50" s="11" t="s">
        <v>139</v>
      </c>
    </row>
    <row r="51" customFormat="false" ht="15" hidden="false" customHeight="true" outlineLevel="0" collapsed="false">
      <c r="A51" s="11" t="n">
        <v>42</v>
      </c>
      <c r="B51" s="11" t="s">
        <v>234</v>
      </c>
      <c r="C51" s="11" t="s">
        <v>239</v>
      </c>
      <c r="D51" s="11"/>
      <c r="E51" s="11" t="s">
        <v>15</v>
      </c>
      <c r="F51" s="11" t="s">
        <v>139</v>
      </c>
    </row>
    <row r="52" customFormat="false" ht="34.5" hidden="false" customHeight="true" outlineLevel="0" collapsed="false">
      <c r="A52" s="11" t="n">
        <v>43</v>
      </c>
      <c r="B52" s="11" t="s">
        <v>234</v>
      </c>
      <c r="C52" s="11" t="s">
        <v>240</v>
      </c>
      <c r="D52" s="11" t="s">
        <v>241</v>
      </c>
      <c r="E52" s="11" t="s">
        <v>242</v>
      </c>
      <c r="F52" s="11" t="s">
        <v>139</v>
      </c>
    </row>
    <row r="53" customFormat="false" ht="15" hidden="false" customHeight="true" outlineLevel="0" collapsed="false">
      <c r="A53" s="9" t="s">
        <v>243</v>
      </c>
      <c r="B53" s="10"/>
      <c r="C53" s="10"/>
      <c r="D53" s="10"/>
      <c r="E53" s="10"/>
      <c r="F53" s="10"/>
    </row>
    <row r="54" customFormat="false" ht="15" hidden="false" customHeight="true" outlineLevel="0" collapsed="false">
      <c r="A54" s="11" t="n">
        <v>44</v>
      </c>
      <c r="B54" s="11" t="s">
        <v>244</v>
      </c>
      <c r="C54" s="11" t="s">
        <v>245</v>
      </c>
      <c r="D54" s="11"/>
      <c r="E54" s="11" t="s">
        <v>15</v>
      </c>
      <c r="F54" s="11" t="s">
        <v>139</v>
      </c>
    </row>
    <row r="55" customFormat="false" ht="34.5" hidden="false" customHeight="true" outlineLevel="0" collapsed="false">
      <c r="A55" s="11" t="n">
        <v>45</v>
      </c>
      <c r="B55" s="11" t="s">
        <v>244</v>
      </c>
      <c r="C55" s="11" t="s">
        <v>246</v>
      </c>
      <c r="D55" s="11" t="s">
        <v>247</v>
      </c>
      <c r="E55" s="11" t="s">
        <v>138</v>
      </c>
      <c r="F55" s="11" t="s">
        <v>139</v>
      </c>
    </row>
    <row r="56" customFormat="false" ht="23.25" hidden="false" customHeight="true" outlineLevel="0" collapsed="false">
      <c r="A56" s="11" t="n">
        <v>46</v>
      </c>
      <c r="B56" s="11" t="s">
        <v>244</v>
      </c>
      <c r="C56" s="11" t="s">
        <v>248</v>
      </c>
      <c r="D56" s="11" t="s">
        <v>249</v>
      </c>
      <c r="E56" s="11" t="s">
        <v>242</v>
      </c>
      <c r="F56" s="11" t="s">
        <v>139</v>
      </c>
    </row>
    <row r="57" customFormat="false" ht="15" hidden="false" customHeight="true" outlineLevel="0" collapsed="false">
      <c r="A57" s="9" t="s">
        <v>250</v>
      </c>
      <c r="B57" s="10"/>
      <c r="C57" s="10"/>
      <c r="D57" s="10"/>
      <c r="E57" s="10"/>
      <c r="F57" s="10"/>
    </row>
    <row r="58" customFormat="false" ht="23.25" hidden="false" customHeight="true" outlineLevel="0" collapsed="false">
      <c r="A58" s="11" t="n">
        <v>47</v>
      </c>
      <c r="B58" s="11" t="s">
        <v>251</v>
      </c>
      <c r="C58" s="11" t="s">
        <v>252</v>
      </c>
      <c r="D58" s="11" t="s">
        <v>253</v>
      </c>
      <c r="E58" s="11" t="s">
        <v>138</v>
      </c>
      <c r="F58" s="11" t="s">
        <v>139</v>
      </c>
    </row>
    <row r="59" customFormat="false" ht="34.5" hidden="false" customHeight="true" outlineLevel="0" collapsed="false">
      <c r="A59" s="11" t="n">
        <v>48</v>
      </c>
      <c r="B59" s="11" t="s">
        <v>251</v>
      </c>
      <c r="C59" s="11" t="s">
        <v>254</v>
      </c>
      <c r="D59" s="11" t="s">
        <v>255</v>
      </c>
      <c r="E59" s="11" t="s">
        <v>138</v>
      </c>
      <c r="F59" s="11" t="s">
        <v>139</v>
      </c>
    </row>
    <row r="60" customFormat="false" ht="45.75" hidden="false" customHeight="true" outlineLevel="0" collapsed="false">
      <c r="A60" s="11" t="n">
        <v>49</v>
      </c>
      <c r="B60" s="11" t="s">
        <v>251</v>
      </c>
      <c r="C60" s="11" t="s">
        <v>256</v>
      </c>
      <c r="D60" s="11" t="s">
        <v>257</v>
      </c>
      <c r="E60" s="11" t="s">
        <v>179</v>
      </c>
      <c r="F60" s="11" t="s">
        <v>139</v>
      </c>
    </row>
    <row r="61" customFormat="false" ht="23.25" hidden="false" customHeight="true" outlineLevel="0" collapsed="false">
      <c r="A61" s="11" t="n">
        <v>50</v>
      </c>
      <c r="B61" s="11" t="s">
        <v>251</v>
      </c>
      <c r="C61" s="11" t="s">
        <v>258</v>
      </c>
      <c r="D61" s="11"/>
      <c r="E61" s="11" t="s">
        <v>138</v>
      </c>
      <c r="F61" s="11" t="s">
        <v>139</v>
      </c>
    </row>
    <row r="62" customFormat="false" ht="34.5" hidden="false" customHeight="true" outlineLevel="0" collapsed="false">
      <c r="A62" s="11" t="n">
        <v>51</v>
      </c>
      <c r="B62" s="11" t="s">
        <v>251</v>
      </c>
      <c r="C62" s="11" t="s">
        <v>259</v>
      </c>
      <c r="D62" s="11"/>
      <c r="E62" s="11" t="s">
        <v>138</v>
      </c>
      <c r="F62" s="11" t="s">
        <v>139</v>
      </c>
    </row>
    <row r="63" customFormat="false" ht="34.5" hidden="false" customHeight="true" outlineLevel="0" collapsed="false">
      <c r="A63" s="11" t="n">
        <v>52</v>
      </c>
      <c r="B63" s="11" t="s">
        <v>251</v>
      </c>
      <c r="C63" s="11" t="s">
        <v>260</v>
      </c>
      <c r="D63" s="11" t="s">
        <v>261</v>
      </c>
      <c r="E63" s="11" t="s">
        <v>182</v>
      </c>
      <c r="F63" s="11" t="s">
        <v>139</v>
      </c>
    </row>
    <row r="64" customFormat="false" ht="23.25" hidden="false" customHeight="true" outlineLevel="0" collapsed="false">
      <c r="A64" s="11" t="n">
        <v>53</v>
      </c>
      <c r="B64" s="11" t="s">
        <v>251</v>
      </c>
      <c r="C64" s="11" t="s">
        <v>262</v>
      </c>
      <c r="D64" s="11" t="s">
        <v>263</v>
      </c>
      <c r="E64" s="11" t="s">
        <v>264</v>
      </c>
      <c r="F64" s="11" t="s">
        <v>139</v>
      </c>
    </row>
    <row r="65" customFormat="false" ht="23.25" hidden="false" customHeight="true" outlineLevel="0" collapsed="false">
      <c r="A65" s="11" t="n">
        <v>54</v>
      </c>
      <c r="B65" s="11" t="s">
        <v>251</v>
      </c>
      <c r="C65" s="11" t="s">
        <v>265</v>
      </c>
      <c r="D65" s="11" t="s">
        <v>266</v>
      </c>
      <c r="E65" s="11" t="s">
        <v>138</v>
      </c>
      <c r="F65" s="11" t="s">
        <v>139</v>
      </c>
    </row>
    <row r="66" customFormat="false" ht="23.25" hidden="false" customHeight="true" outlineLevel="0" collapsed="false">
      <c r="A66" s="11" t="n">
        <v>55</v>
      </c>
      <c r="B66" s="11" t="s">
        <v>251</v>
      </c>
      <c r="C66" s="11" t="s">
        <v>267</v>
      </c>
      <c r="D66" s="11" t="s">
        <v>268</v>
      </c>
      <c r="E66" s="11" t="s">
        <v>153</v>
      </c>
      <c r="F66" s="11" t="s">
        <v>139</v>
      </c>
    </row>
    <row r="67" customFormat="false" ht="23.25" hidden="false" customHeight="true" outlineLevel="0" collapsed="false">
      <c r="A67" s="12" t="n">
        <v>56</v>
      </c>
      <c r="B67" s="12" t="s">
        <v>251</v>
      </c>
      <c r="C67" s="12" t="s">
        <v>269</v>
      </c>
      <c r="D67" s="12" t="s">
        <v>270</v>
      </c>
      <c r="E67" s="12" t="s">
        <v>271</v>
      </c>
      <c r="F67" s="12" t="s">
        <v>272</v>
      </c>
    </row>
    <row r="68" customFormat="false" ht="23.25" hidden="false" customHeight="true" outlineLevel="0" collapsed="false">
      <c r="A68" s="11" t="n">
        <v>57</v>
      </c>
      <c r="B68" s="11" t="s">
        <v>251</v>
      </c>
      <c r="C68" s="11" t="s">
        <v>273</v>
      </c>
      <c r="D68" s="11"/>
      <c r="E68" s="11" t="s">
        <v>160</v>
      </c>
      <c r="F68" s="11" t="s">
        <v>139</v>
      </c>
    </row>
    <row r="69" customFormat="false" ht="34.5" hidden="false" customHeight="true" outlineLevel="0" collapsed="false">
      <c r="A69" s="11" t="n">
        <v>58</v>
      </c>
      <c r="B69" s="11" t="s">
        <v>251</v>
      </c>
      <c r="C69" s="11" t="s">
        <v>274</v>
      </c>
      <c r="D69" s="11" t="s">
        <v>275</v>
      </c>
      <c r="E69" s="11" t="s">
        <v>276</v>
      </c>
      <c r="F69" s="11" t="s">
        <v>139</v>
      </c>
    </row>
    <row r="70" customFormat="false" ht="23.25" hidden="false" customHeight="true" outlineLevel="0" collapsed="false">
      <c r="A70" s="11" t="n">
        <v>59</v>
      </c>
      <c r="B70" s="11" t="s">
        <v>251</v>
      </c>
      <c r="C70" s="11" t="s">
        <v>277</v>
      </c>
      <c r="D70" s="11"/>
      <c r="E70" s="11" t="s">
        <v>153</v>
      </c>
      <c r="F70" s="11" t="s">
        <v>139</v>
      </c>
    </row>
    <row r="71" customFormat="false" ht="15" hidden="false" customHeight="true" outlineLevel="0" collapsed="false">
      <c r="A71" s="9" t="s">
        <v>278</v>
      </c>
      <c r="B71" s="10"/>
      <c r="C71" s="10"/>
      <c r="D71" s="10"/>
      <c r="E71" s="10"/>
      <c r="F71" s="10"/>
    </row>
    <row r="72" customFormat="false" ht="34.5" hidden="false" customHeight="true" outlineLevel="0" collapsed="false">
      <c r="A72" s="11" t="n">
        <v>60</v>
      </c>
      <c r="B72" s="11" t="s">
        <v>279</v>
      </c>
      <c r="C72" s="11" t="s">
        <v>280</v>
      </c>
      <c r="D72" s="11" t="s">
        <v>281</v>
      </c>
      <c r="E72" s="11" t="s">
        <v>142</v>
      </c>
      <c r="F72" s="11" t="s">
        <v>139</v>
      </c>
    </row>
    <row r="73" customFormat="false" ht="34.5" hidden="false" customHeight="true" outlineLevel="0" collapsed="false">
      <c r="A73" s="11" t="n">
        <v>61</v>
      </c>
      <c r="B73" s="11" t="s">
        <v>279</v>
      </c>
      <c r="C73" s="11" t="s">
        <v>282</v>
      </c>
      <c r="D73" s="11" t="s">
        <v>283</v>
      </c>
      <c r="E73" s="11" t="s">
        <v>142</v>
      </c>
      <c r="F73" s="11" t="s">
        <v>139</v>
      </c>
    </row>
    <row r="74" customFormat="false" ht="23.25" hidden="false" customHeight="true" outlineLevel="0" collapsed="false">
      <c r="A74" s="11" t="n">
        <v>62</v>
      </c>
      <c r="B74" s="11" t="s">
        <v>210</v>
      </c>
      <c r="C74" s="11" t="s">
        <v>284</v>
      </c>
      <c r="D74" s="11" t="s">
        <v>285</v>
      </c>
      <c r="E74" s="11" t="s">
        <v>163</v>
      </c>
      <c r="F74" s="11" t="s">
        <v>139</v>
      </c>
    </row>
    <row r="75" customFormat="false" ht="34.5" hidden="false" customHeight="true" outlineLevel="0" collapsed="false">
      <c r="A75" s="11" t="n">
        <v>63</v>
      </c>
      <c r="B75" s="11" t="s">
        <v>251</v>
      </c>
      <c r="C75" s="11" t="s">
        <v>286</v>
      </c>
      <c r="D75" s="11" t="s">
        <v>287</v>
      </c>
      <c r="E75" s="11" t="s">
        <v>163</v>
      </c>
      <c r="F75" s="11" t="s">
        <v>139</v>
      </c>
    </row>
    <row r="76" customFormat="false" ht="23.25" hidden="false" customHeight="true" outlineLevel="0" collapsed="false">
      <c r="A76" s="11" t="n">
        <v>64</v>
      </c>
      <c r="B76" s="11" t="s">
        <v>288</v>
      </c>
      <c r="C76" s="11" t="s">
        <v>289</v>
      </c>
      <c r="D76" s="11" t="s">
        <v>290</v>
      </c>
      <c r="E76" s="11" t="s">
        <v>163</v>
      </c>
      <c r="F76" s="11" t="s">
        <v>139</v>
      </c>
    </row>
    <row r="77" customFormat="false" ht="23.25" hidden="false" customHeight="true" outlineLevel="0" collapsed="false">
      <c r="A77" s="11" t="n">
        <v>65</v>
      </c>
      <c r="B77" s="11" t="s">
        <v>291</v>
      </c>
      <c r="C77" s="11" t="s">
        <v>292</v>
      </c>
      <c r="D77" s="11" t="s">
        <v>293</v>
      </c>
      <c r="E77" s="11" t="s">
        <v>163</v>
      </c>
      <c r="F77" s="11" t="s">
        <v>139</v>
      </c>
    </row>
    <row r="78" customFormat="false" ht="23.25" hidden="false" customHeight="true" outlineLevel="0" collapsed="false">
      <c r="A78" s="11" t="n">
        <v>66</v>
      </c>
      <c r="B78" s="11" t="s">
        <v>251</v>
      </c>
      <c r="C78" s="11" t="s">
        <v>294</v>
      </c>
      <c r="D78" s="11" t="s">
        <v>295</v>
      </c>
      <c r="E78" s="11" t="s">
        <v>163</v>
      </c>
      <c r="F78" s="11" t="s">
        <v>139</v>
      </c>
    </row>
    <row r="79" customFormat="false" ht="15" hidden="false" customHeight="true" outlineLevel="0" collapsed="false">
      <c r="A79" s="9" t="s">
        <v>296</v>
      </c>
      <c r="B79" s="10"/>
      <c r="C79" s="10"/>
      <c r="D79" s="10"/>
      <c r="E79" s="10"/>
      <c r="F79" s="10"/>
    </row>
    <row r="80" customFormat="false" ht="45.75" hidden="false" customHeight="true" outlineLevel="0" collapsed="false">
      <c r="A80" s="11" t="n">
        <v>67</v>
      </c>
      <c r="B80" s="11" t="s">
        <v>135</v>
      </c>
      <c r="C80" s="11" t="s">
        <v>297</v>
      </c>
      <c r="D80" s="11" t="s">
        <v>298</v>
      </c>
      <c r="E80" s="11" t="s">
        <v>163</v>
      </c>
      <c r="F80" s="11" t="s">
        <v>139</v>
      </c>
    </row>
    <row r="81" customFormat="false" ht="45.75" hidden="false" customHeight="true" outlineLevel="0" collapsed="false">
      <c r="A81" s="11" t="n">
        <v>68</v>
      </c>
      <c r="B81" s="11" t="s">
        <v>166</v>
      </c>
      <c r="C81" s="11" t="s">
        <v>299</v>
      </c>
      <c r="D81" s="11" t="s">
        <v>300</v>
      </c>
      <c r="E81" s="11" t="s">
        <v>163</v>
      </c>
      <c r="F81" s="11" t="s">
        <v>139</v>
      </c>
    </row>
    <row r="82" customFormat="false" ht="34.5" hidden="false" customHeight="true" outlineLevel="0" collapsed="false">
      <c r="A82" s="11" t="n">
        <v>69</v>
      </c>
      <c r="B82" s="11" t="s">
        <v>166</v>
      </c>
      <c r="C82" s="11" t="s">
        <v>301</v>
      </c>
      <c r="D82" s="11" t="s">
        <v>302</v>
      </c>
      <c r="E82" s="11" t="s">
        <v>163</v>
      </c>
      <c r="F82" s="11" t="s">
        <v>139</v>
      </c>
    </row>
    <row r="83" customFormat="false" ht="23.25" hidden="false" customHeight="true" outlineLevel="0" collapsed="false">
      <c r="A83" s="11" t="n">
        <v>70</v>
      </c>
      <c r="B83" s="11" t="s">
        <v>166</v>
      </c>
      <c r="C83" s="11" t="s">
        <v>303</v>
      </c>
      <c r="D83" s="11" t="s">
        <v>304</v>
      </c>
      <c r="E83" s="11" t="s">
        <v>163</v>
      </c>
      <c r="F83" s="11" t="s">
        <v>139</v>
      </c>
    </row>
    <row r="84" customFormat="false" ht="34.5" hidden="false" customHeight="true" outlineLevel="0" collapsed="false">
      <c r="A84" s="11" t="n">
        <v>71</v>
      </c>
      <c r="B84" s="11" t="s">
        <v>210</v>
      </c>
      <c r="C84" s="11" t="s">
        <v>305</v>
      </c>
      <c r="D84" s="11" t="s">
        <v>306</v>
      </c>
      <c r="E84" s="11" t="s">
        <v>163</v>
      </c>
      <c r="F84" s="11" t="s">
        <v>139</v>
      </c>
    </row>
    <row r="85" customFormat="false" ht="23.25" hidden="false" customHeight="true" outlineLevel="0" collapsed="false">
      <c r="A85" s="11" t="n">
        <v>72</v>
      </c>
      <c r="B85" s="11" t="s">
        <v>210</v>
      </c>
      <c r="C85" s="11" t="s">
        <v>307</v>
      </c>
      <c r="D85" s="11" t="s">
        <v>308</v>
      </c>
      <c r="E85" s="11" t="s">
        <v>163</v>
      </c>
      <c r="F85" s="11" t="s">
        <v>139</v>
      </c>
    </row>
    <row r="86" customFormat="false" ht="23.25" hidden="false" customHeight="true" outlineLevel="0" collapsed="false">
      <c r="A86" s="11" t="n">
        <v>73</v>
      </c>
      <c r="B86" s="11" t="s">
        <v>251</v>
      </c>
      <c r="C86" s="11" t="s">
        <v>309</v>
      </c>
      <c r="D86" s="11" t="s">
        <v>310</v>
      </c>
      <c r="E86" s="11" t="s">
        <v>163</v>
      </c>
      <c r="F86" s="11" t="s">
        <v>139</v>
      </c>
    </row>
    <row r="87" customFormat="false" ht="34.5" hidden="false" customHeight="true" outlineLevel="0" collapsed="false">
      <c r="A87" s="11" t="n">
        <v>74</v>
      </c>
      <c r="B87" s="11" t="s">
        <v>251</v>
      </c>
      <c r="C87" s="11" t="s">
        <v>311</v>
      </c>
      <c r="D87" s="11" t="s">
        <v>312</v>
      </c>
      <c r="E87" s="11" t="s">
        <v>163</v>
      </c>
      <c r="F87" s="11" t="s">
        <v>139</v>
      </c>
    </row>
    <row r="88" customFormat="false" ht="23.25" hidden="false" customHeight="true" outlineLevel="0" collapsed="false">
      <c r="A88" s="11" t="n">
        <v>75</v>
      </c>
      <c r="B88" s="11" t="s">
        <v>251</v>
      </c>
      <c r="C88" s="11" t="s">
        <v>313</v>
      </c>
      <c r="D88" s="11" t="s">
        <v>314</v>
      </c>
      <c r="E88" s="11" t="s">
        <v>163</v>
      </c>
      <c r="F88" s="11" t="s">
        <v>139</v>
      </c>
    </row>
    <row r="89" customFormat="false" ht="34.5" hidden="false" customHeight="true" outlineLevel="0" collapsed="false">
      <c r="A89" s="11" t="n">
        <v>76</v>
      </c>
      <c r="B89" s="11" t="s">
        <v>251</v>
      </c>
      <c r="C89" s="11" t="s">
        <v>315</v>
      </c>
      <c r="D89" s="11" t="s">
        <v>316</v>
      </c>
      <c r="E89" s="11" t="s">
        <v>163</v>
      </c>
      <c r="F89" s="11" t="s">
        <v>139</v>
      </c>
    </row>
    <row r="90" customFormat="false" ht="34.5" hidden="false" customHeight="true" outlineLevel="0" collapsed="false">
      <c r="A90" s="11" t="n">
        <v>77</v>
      </c>
      <c r="B90" s="11" t="s">
        <v>251</v>
      </c>
      <c r="C90" s="11" t="s">
        <v>317</v>
      </c>
      <c r="D90" s="11" t="s">
        <v>318</v>
      </c>
      <c r="E90" s="11" t="s">
        <v>163</v>
      </c>
      <c r="F90" s="11" t="s">
        <v>139</v>
      </c>
    </row>
    <row r="91" customFormat="false" ht="23.85" hidden="false" customHeight="false" outlineLevel="0" collapsed="false">
      <c r="A91" s="11" t="n">
        <v>78</v>
      </c>
      <c r="B91" s="11" t="s">
        <v>166</v>
      </c>
      <c r="C91" s="11" t="s">
        <v>319</v>
      </c>
      <c r="D91" s="11" t="s">
        <v>320</v>
      </c>
      <c r="E91" s="11" t="s">
        <v>321</v>
      </c>
      <c r="F91" s="11" t="s">
        <v>322</v>
      </c>
    </row>
    <row r="92" customFormat="false" ht="15" hidden="false" customHeight="false" outlineLevel="0" collapsed="false">
      <c r="A92" s="11" t="n">
        <v>79</v>
      </c>
      <c r="B92" s="11" t="s">
        <v>222</v>
      </c>
      <c r="C92" s="11" t="s">
        <v>323</v>
      </c>
      <c r="D92" s="11" t="s">
        <v>324</v>
      </c>
      <c r="E92" s="11" t="s">
        <v>321</v>
      </c>
      <c r="F92" s="11" t="s">
        <v>325</v>
      </c>
    </row>
    <row r="93" customFormat="false" ht="35.05" hidden="false" customHeight="false" outlineLevel="0" collapsed="false">
      <c r="A93" s="11" t="n">
        <v>80</v>
      </c>
      <c r="B93" s="11" t="s">
        <v>251</v>
      </c>
      <c r="C93" s="11" t="s">
        <v>326</v>
      </c>
      <c r="D93" s="11" t="s">
        <v>327</v>
      </c>
      <c r="E93" s="11" t="s">
        <v>328</v>
      </c>
      <c r="F93" s="11" t="s">
        <v>322</v>
      </c>
    </row>
    <row r="94" customFormat="false" ht="23.85" hidden="false" customHeight="false" outlineLevel="0" collapsed="false">
      <c r="A94" s="11" t="n">
        <v>81</v>
      </c>
      <c r="B94" s="11" t="s">
        <v>251</v>
      </c>
      <c r="C94" s="11" t="s">
        <v>329</v>
      </c>
      <c r="D94" s="11" t="s">
        <v>330</v>
      </c>
      <c r="E94" s="11" t="s">
        <v>331</v>
      </c>
      <c r="F94" s="11" t="s">
        <v>322</v>
      </c>
    </row>
    <row r="95" customFormat="false" ht="23.85" hidden="false" customHeight="false" outlineLevel="0" collapsed="false">
      <c r="A95" s="11" t="n">
        <v>82</v>
      </c>
      <c r="B95" s="11" t="s">
        <v>251</v>
      </c>
      <c r="C95" s="11" t="s">
        <v>332</v>
      </c>
      <c r="D95" s="11" t="s">
        <v>333</v>
      </c>
      <c r="E95" s="11" t="s">
        <v>321</v>
      </c>
      <c r="F95" s="11" t="s">
        <v>322</v>
      </c>
    </row>
    <row r="96" customFormat="false" ht="35.05" hidden="false" customHeight="false" outlineLevel="0" collapsed="false">
      <c r="A96" s="11" t="n">
        <v>83</v>
      </c>
      <c r="B96" s="11" t="s">
        <v>222</v>
      </c>
      <c r="C96" s="11" t="s">
        <v>334</v>
      </c>
      <c r="D96" s="11" t="s">
        <v>335</v>
      </c>
      <c r="E96" s="11" t="s">
        <v>336</v>
      </c>
      <c r="F96" s="11"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3" t="s">
        <v>165</v>
      </c>
      <c r="B1" s="13"/>
      <c r="C1" s="13"/>
    </row>
    <row r="2" customFormat="false" ht="15" hidden="false" customHeight="true" outlineLevel="0" collapsed="false">
      <c r="A2" s="13" t="s">
        <v>337</v>
      </c>
      <c r="B2" s="13" t="s">
        <v>338</v>
      </c>
      <c r="C2" s="13" t="s">
        <v>339</v>
      </c>
    </row>
    <row r="3" customFormat="false" ht="15" hidden="false" customHeight="true" outlineLevel="0" collapsed="false">
      <c r="A3" s="3" t="s">
        <v>340</v>
      </c>
      <c r="B3" s="3" t="s">
        <v>341</v>
      </c>
      <c r="C3" s="3" t="s">
        <v>342</v>
      </c>
    </row>
    <row r="4" customFormat="false" ht="23.25" hidden="false" customHeight="true" outlineLevel="0" collapsed="false">
      <c r="A4" s="3" t="s">
        <v>343</v>
      </c>
      <c r="B4" s="3" t="s">
        <v>344</v>
      </c>
      <c r="C4" s="3" t="s">
        <v>345</v>
      </c>
    </row>
    <row r="5" customFormat="false" ht="15" hidden="false" customHeight="true" outlineLevel="0" collapsed="false">
      <c r="A5" s="3" t="s">
        <v>346</v>
      </c>
      <c r="B5" s="3" t="s">
        <v>347</v>
      </c>
      <c r="C5" s="3" t="s">
        <v>348</v>
      </c>
    </row>
    <row r="6" customFormat="false" ht="15" hidden="false" customHeight="true" outlineLevel="0" collapsed="false">
      <c r="A6" s="3" t="s">
        <v>349</v>
      </c>
      <c r="B6" s="3" t="s">
        <v>350</v>
      </c>
      <c r="C6" s="3" t="s">
        <v>351</v>
      </c>
    </row>
    <row r="7" customFormat="false" ht="23.25" hidden="false" customHeight="true" outlineLevel="0" collapsed="false">
      <c r="A7" s="3" t="s">
        <v>352</v>
      </c>
      <c r="B7" s="3" t="s">
        <v>353</v>
      </c>
      <c r="C7" s="3" t="s">
        <v>354</v>
      </c>
    </row>
    <row r="8" customFormat="false" ht="23.25" hidden="false" customHeight="true" outlineLevel="0" collapsed="false">
      <c r="A8" s="3" t="s">
        <v>355</v>
      </c>
      <c r="B8" s="3" t="s">
        <v>356</v>
      </c>
      <c r="C8" s="3" t="s">
        <v>357</v>
      </c>
    </row>
    <row r="9" customFormat="false" ht="15" hidden="false" customHeight="true" outlineLevel="0" collapsed="false">
      <c r="A9" s="3" t="s">
        <v>358</v>
      </c>
      <c r="B9" s="3" t="s">
        <v>359</v>
      </c>
      <c r="C9" s="3" t="s">
        <v>360</v>
      </c>
    </row>
    <row r="10" customFormat="false" ht="15" hidden="false" customHeight="true" outlineLevel="0" collapsed="false">
      <c r="A10" s="3" t="s">
        <v>361</v>
      </c>
      <c r="B10" s="3" t="s">
        <v>362</v>
      </c>
      <c r="C10" s="3" t="s">
        <v>363</v>
      </c>
    </row>
    <row r="11" customFormat="false" ht="15" hidden="false" customHeight="true" outlineLevel="0" collapsed="false">
      <c r="A11" s="13" t="s">
        <v>364</v>
      </c>
      <c r="B11" s="3" t="s">
        <v>365</v>
      </c>
      <c r="C11" s="3" t="s">
        <v>366</v>
      </c>
    </row>
    <row r="12" customFormat="false" ht="34.5" hidden="false" customHeight="true" outlineLevel="0" collapsed="false">
      <c r="A12" s="13" t="s">
        <v>367</v>
      </c>
      <c r="B12" s="3" t="s">
        <v>368</v>
      </c>
      <c r="C12" s="3" t="s">
        <v>369</v>
      </c>
    </row>
    <row r="13" customFormat="false" ht="23.25" hidden="false" customHeight="true" outlineLevel="0" collapsed="false">
      <c r="A13" s="13" t="s">
        <v>370</v>
      </c>
      <c r="B13" s="3" t="s">
        <v>371</v>
      </c>
      <c r="C13" s="3" t="s">
        <v>372</v>
      </c>
    </row>
    <row r="14" customFormat="false" ht="15" hidden="false" customHeight="true" outlineLevel="0" collapsed="false">
      <c r="A14" s="13" t="s">
        <v>373</v>
      </c>
      <c r="B14" s="3" t="s">
        <v>374</v>
      </c>
      <c r="C14" s="3" t="s">
        <v>375</v>
      </c>
    </row>
    <row r="15" customFormat="false" ht="15" hidden="false" customHeight="true" outlineLevel="0" collapsed="false">
      <c r="A15" s="3"/>
      <c r="B15" s="3"/>
      <c r="C15" s="3"/>
    </row>
    <row r="16" customFormat="false" ht="23.25" hidden="false" customHeight="true" outlineLevel="0" collapsed="false">
      <c r="A16" s="3" t="s">
        <v>376</v>
      </c>
      <c r="B16" s="3" t="s">
        <v>377</v>
      </c>
      <c r="C16" s="3" t="s">
        <v>378</v>
      </c>
    </row>
    <row r="17" customFormat="false" ht="15" hidden="false" customHeight="true" outlineLevel="0" collapsed="false">
      <c r="A17" s="3" t="s">
        <v>376</v>
      </c>
      <c r="B17" s="3" t="s">
        <v>379</v>
      </c>
      <c r="C17" s="3" t="s">
        <v>380</v>
      </c>
    </row>
    <row r="18" customFormat="false" ht="15" hidden="false" customHeight="true" outlineLevel="0" collapsed="false">
      <c r="A18" s="3" t="s">
        <v>376</v>
      </c>
      <c r="B18" s="3" t="s">
        <v>381</v>
      </c>
      <c r="C18" s="3" t="s">
        <v>382</v>
      </c>
    </row>
    <row r="19" customFormat="false" ht="23.25" hidden="false" customHeight="true" outlineLevel="0" collapsed="false">
      <c r="A19" s="3"/>
      <c r="B19" s="3"/>
      <c r="C19" s="3"/>
    </row>
    <row r="20" customFormat="false" ht="15" hidden="false" customHeight="true" outlineLevel="0" collapsed="false">
      <c r="A20" s="13" t="s">
        <v>383</v>
      </c>
      <c r="B20" s="13"/>
      <c r="C20" s="13"/>
    </row>
    <row r="21" customFormat="false" ht="15" hidden="false" customHeight="true" outlineLevel="0" collapsed="false">
      <c r="A21" s="3" t="s">
        <v>384</v>
      </c>
      <c r="B21" s="3" t="s">
        <v>385</v>
      </c>
      <c r="C21" s="3" t="s">
        <v>386</v>
      </c>
    </row>
    <row r="22" customFormat="false" ht="23.25" hidden="false" customHeight="true" outlineLevel="0" collapsed="false">
      <c r="A22" s="3" t="s">
        <v>384</v>
      </c>
      <c r="B22" s="3" t="s">
        <v>387</v>
      </c>
      <c r="C22" s="3"/>
    </row>
    <row r="23" customFormat="false" ht="15" hidden="false" customHeight="true" outlineLevel="0" collapsed="false">
      <c r="A23" s="3" t="s">
        <v>388</v>
      </c>
      <c r="B23" s="3" t="s">
        <v>389</v>
      </c>
      <c r="C23" s="3" t="s">
        <v>390</v>
      </c>
    </row>
    <row r="24" customFormat="false" ht="45.75" hidden="false" customHeight="true" outlineLevel="0" collapsed="false">
      <c r="A24" s="3" t="s">
        <v>388</v>
      </c>
      <c r="B24" s="3" t="s">
        <v>391</v>
      </c>
      <c r="C24" s="3"/>
    </row>
    <row r="25" customFormat="false" ht="15" hidden="false" customHeight="true" outlineLevel="0" collapsed="false">
      <c r="A25" s="3" t="s">
        <v>388</v>
      </c>
      <c r="B25" s="3" t="s">
        <v>392</v>
      </c>
      <c r="C25" s="3"/>
    </row>
    <row r="26" customFormat="false" ht="23.25" hidden="false" customHeight="true" outlineLevel="0" collapsed="false">
      <c r="A26" s="3" t="s">
        <v>388</v>
      </c>
      <c r="B26" s="3" t="s">
        <v>393</v>
      </c>
      <c r="C26" s="3"/>
    </row>
    <row r="27" customFormat="false" ht="15" hidden="false" customHeight="true" outlineLevel="0" collapsed="false">
      <c r="A27" s="3" t="s">
        <v>394</v>
      </c>
      <c r="B27" s="3" t="s">
        <v>395</v>
      </c>
      <c r="C27" s="3" t="s">
        <v>396</v>
      </c>
    </row>
    <row r="28" customFormat="false" ht="23.25" hidden="false" customHeight="true" outlineLevel="0" collapsed="false">
      <c r="A28" s="3" t="s">
        <v>397</v>
      </c>
      <c r="B28" s="3" t="s">
        <v>398</v>
      </c>
      <c r="C28" s="3" t="s">
        <v>399</v>
      </c>
    </row>
    <row r="29" customFormat="false" ht="14.25" hidden="false" customHeight="true" outlineLevel="0" collapsed="false">
      <c r="A29" s="3" t="s">
        <v>400</v>
      </c>
      <c r="B29" s="3" t="s">
        <v>401</v>
      </c>
      <c r="C29" s="3" t="s">
        <v>402</v>
      </c>
    </row>
    <row r="30" customFormat="false" ht="34.5" hidden="false" customHeight="true" outlineLevel="0" collapsed="false">
      <c r="A30" s="3" t="s">
        <v>403</v>
      </c>
      <c r="B30" s="3" t="s">
        <v>404</v>
      </c>
      <c r="C30" s="3" t="s">
        <v>405</v>
      </c>
    </row>
    <row r="31" customFormat="false" ht="23.25" hidden="false" customHeight="true" outlineLevel="0" collapsed="false">
      <c r="A31" s="3"/>
      <c r="B31" s="3"/>
      <c r="C31" s="3"/>
    </row>
    <row r="32" customFormat="false" ht="23.25" hidden="false" customHeight="true" outlineLevel="0" collapsed="false">
      <c r="A32" s="13" t="s">
        <v>406</v>
      </c>
      <c r="B32" s="13" t="s">
        <v>407</v>
      </c>
      <c r="C32" s="13"/>
    </row>
    <row r="33" customFormat="false" ht="15" hidden="false" customHeight="true" outlineLevel="0" collapsed="false"/>
    <row r="34" customFormat="false" ht="15" hidden="false" customHeight="true" outlineLevel="0" collapsed="false">
      <c r="A34" s="13" t="s">
        <v>408</v>
      </c>
      <c r="B34" s="13"/>
      <c r="C34" s="13"/>
    </row>
    <row r="35" customFormat="false" ht="23.25" hidden="false" customHeight="true" outlineLevel="0" collapsed="false">
      <c r="A35" s="3" t="s">
        <v>409</v>
      </c>
      <c r="B35" s="3" t="s">
        <v>410</v>
      </c>
      <c r="C35" s="3" t="s">
        <v>411</v>
      </c>
    </row>
    <row r="36" customFormat="false" ht="34.5" hidden="false" customHeight="true" outlineLevel="0" collapsed="false">
      <c r="A36" s="3" t="s">
        <v>37</v>
      </c>
      <c r="B36" s="3" t="s">
        <v>412</v>
      </c>
      <c r="C36" s="3" t="s">
        <v>413</v>
      </c>
    </row>
    <row r="37" customFormat="false" ht="34.5" hidden="false" customHeight="true" outlineLevel="0" collapsed="false">
      <c r="A37" s="3" t="s">
        <v>33</v>
      </c>
      <c r="B37" s="3" t="s">
        <v>414</v>
      </c>
      <c r="C37" s="3" t="s">
        <v>415</v>
      </c>
    </row>
    <row r="38" customFormat="false" ht="15" hidden="false" customHeight="true" outlineLevel="0" collapsed="false">
      <c r="A38" s="3" t="s">
        <v>39</v>
      </c>
      <c r="B38" s="3" t="s">
        <v>416</v>
      </c>
      <c r="C38" s="3" t="s">
        <v>417</v>
      </c>
    </row>
    <row r="39" customFormat="false" ht="34.5" hidden="false" customHeight="true" outlineLevel="0" collapsed="false"/>
    <row r="40" customFormat="false" ht="23.25" hidden="false" customHeight="true" outlineLevel="0" collapsed="false">
      <c r="A40" s="13" t="s">
        <v>418</v>
      </c>
      <c r="B40" s="13"/>
      <c r="C40" s="13"/>
    </row>
    <row r="41" customFormat="false" ht="45.75" hidden="false" customHeight="true" outlineLevel="0" collapsed="false">
      <c r="A41" s="3" t="s">
        <v>130</v>
      </c>
      <c r="B41" s="3" t="s">
        <v>419</v>
      </c>
      <c r="C41" s="3" t="s">
        <v>420</v>
      </c>
    </row>
    <row r="42" customFormat="false" ht="34.5" hidden="false" customHeight="true" outlineLevel="0" collapsed="false">
      <c r="A42" s="3" t="s">
        <v>421</v>
      </c>
      <c r="B42" s="3" t="s">
        <v>422</v>
      </c>
      <c r="C42" s="3" t="s">
        <v>423</v>
      </c>
    </row>
    <row r="43" customFormat="false" ht="34.5" hidden="false" customHeight="true" outlineLevel="0" collapsed="false">
      <c r="A43" s="3" t="s">
        <v>424</v>
      </c>
      <c r="B43" s="3" t="s">
        <v>425</v>
      </c>
      <c r="C43" s="3" t="s">
        <v>426</v>
      </c>
    </row>
    <row r="44" customFormat="false" ht="34.5" hidden="false" customHeight="true" outlineLevel="0" collapsed="false"/>
    <row r="45" customFormat="false" ht="34.5" hidden="false" customHeight="true" outlineLevel="0" collapsed="false">
      <c r="A45" s="14" t="s">
        <v>427</v>
      </c>
      <c r="B45" s="13"/>
      <c r="C45" s="13"/>
    </row>
    <row r="46" customFormat="false" ht="45.75" hidden="false" customHeight="true" outlineLevel="0" collapsed="false">
      <c r="A46" s="3" t="s">
        <v>428</v>
      </c>
      <c r="B46" s="3" t="s">
        <v>429</v>
      </c>
      <c r="C46" s="3" t="s">
        <v>430</v>
      </c>
    </row>
    <row r="47" customFormat="false" ht="34.5" hidden="false" customHeight="true" outlineLevel="0" collapsed="false">
      <c r="A47" s="3" t="s">
        <v>139</v>
      </c>
      <c r="B47" s="3" t="s">
        <v>431</v>
      </c>
      <c r="C47" s="3" t="s">
        <v>432</v>
      </c>
    </row>
    <row r="48" customFormat="false" ht="23.25" hidden="false" customHeight="true" outlineLevel="0" collapsed="false">
      <c r="A48" s="3" t="s">
        <v>433</v>
      </c>
      <c r="B48" s="3" t="s">
        <v>434</v>
      </c>
      <c r="C48" s="3" t="s">
        <v>435</v>
      </c>
    </row>
    <row r="49" customFormat="false" ht="34.5" hidden="false" customHeight="true" outlineLevel="0" collapsed="false"/>
    <row r="50" customFormat="false" ht="34.5" hidden="false" customHeight="true" outlineLevel="0" collapsed="false">
      <c r="A50" s="13" t="s">
        <v>436</v>
      </c>
      <c r="B50" s="13"/>
      <c r="C50" s="13"/>
    </row>
    <row r="51" customFormat="false" ht="23.25" hidden="false" customHeight="true" outlineLevel="0" collapsed="false">
      <c r="A51" s="3" t="s">
        <v>437</v>
      </c>
      <c r="B51" s="3" t="s">
        <v>438</v>
      </c>
      <c r="C51" s="3" t="s">
        <v>439</v>
      </c>
    </row>
    <row r="52" customFormat="false" ht="23.25" hidden="false" customHeight="true" outlineLevel="0" collapsed="false">
      <c r="A52" s="3" t="s">
        <v>440</v>
      </c>
      <c r="B52" s="3" t="s">
        <v>441</v>
      </c>
      <c r="C52" s="3" t="s">
        <v>442</v>
      </c>
    </row>
    <row r="53" customFormat="false" ht="23.25" hidden="false" customHeight="true" outlineLevel="0" collapsed="false">
      <c r="A53" s="3" t="s">
        <v>443</v>
      </c>
      <c r="B53" s="3" t="s">
        <v>444</v>
      </c>
      <c r="C53" s="3" t="s">
        <v>445</v>
      </c>
    </row>
    <row r="54" customFormat="false" ht="34.5" hidden="false" customHeight="true" outlineLevel="0" collapsed="false"/>
    <row r="55" customFormat="false" ht="23.25" hidden="false" customHeight="true" outlineLevel="0" collapsed="false">
      <c r="A55" s="13" t="s">
        <v>446</v>
      </c>
      <c r="B55" s="13"/>
      <c r="C55" s="13"/>
    </row>
    <row r="56" customFormat="false" ht="45.75" hidden="false" customHeight="true" outlineLevel="0" collapsed="false">
      <c r="A56" s="3" t="s">
        <v>447</v>
      </c>
      <c r="B56" s="3" t="s">
        <v>448</v>
      </c>
      <c r="C56" s="3" t="s">
        <v>449</v>
      </c>
    </row>
    <row r="57" customFormat="false" ht="34.5" hidden="false" customHeight="true" outlineLevel="0" collapsed="false">
      <c r="A57" s="3" t="s">
        <v>450</v>
      </c>
      <c r="B57" s="3" t="s">
        <v>451</v>
      </c>
      <c r="C57" s="3" t="s">
        <v>452</v>
      </c>
    </row>
    <row r="58" customFormat="false" ht="23.25" hidden="false" customHeight="true" outlineLevel="0" collapsed="false">
      <c r="A58" s="3" t="s">
        <v>453</v>
      </c>
      <c r="B58" s="3" t="s">
        <v>454</v>
      </c>
      <c r="C58" s="3" t="s">
        <v>455</v>
      </c>
    </row>
    <row r="59" customFormat="false" ht="45.75" hidden="false" customHeight="true" outlineLevel="0" collapsed="false"/>
    <row r="60" customFormat="false" ht="34.5" hidden="false" customHeight="true" outlineLevel="0" collapsed="false">
      <c r="A60" s="13" t="s">
        <v>456</v>
      </c>
      <c r="B60" s="13"/>
      <c r="C60" s="13"/>
    </row>
    <row r="61" customFormat="false" ht="34.5" hidden="false" customHeight="true" outlineLevel="0" collapsed="false">
      <c r="A61" s="3" t="s">
        <v>457</v>
      </c>
      <c r="B61" s="3" t="s">
        <v>458</v>
      </c>
      <c r="C61" s="3" t="s">
        <v>459</v>
      </c>
    </row>
    <row r="62" customFormat="false" ht="45.75" hidden="false" customHeight="true" outlineLevel="0" collapsed="false">
      <c r="A62" s="3" t="s">
        <v>460</v>
      </c>
      <c r="B62" s="3" t="s">
        <v>461</v>
      </c>
      <c r="C62" s="3" t="s">
        <v>462</v>
      </c>
    </row>
    <row r="63" customFormat="false" ht="57" hidden="false" customHeight="true" outlineLevel="0" collapsed="false">
      <c r="A63" s="3" t="s">
        <v>463</v>
      </c>
      <c r="B63" s="3" t="s">
        <v>464</v>
      </c>
      <c r="C63" s="3" t="s">
        <v>465</v>
      </c>
    </row>
    <row r="65" customFormat="false" ht="15" hidden="false" customHeight="true" outlineLevel="0" collapsed="false">
      <c r="A65" s="13" t="s">
        <v>466</v>
      </c>
      <c r="B65" s="13"/>
      <c r="C65" s="13"/>
    </row>
    <row r="66" customFormat="false" ht="15" hidden="false" customHeight="true" outlineLevel="0" collapsed="false">
      <c r="A66" s="3" t="s">
        <v>467</v>
      </c>
      <c r="B66" s="3" t="s">
        <v>468</v>
      </c>
      <c r="C66" s="3" t="s">
        <v>469</v>
      </c>
    </row>
    <row r="67" customFormat="false" ht="15" hidden="false" customHeight="true" outlineLevel="0" collapsed="false">
      <c r="A67" s="3" t="s">
        <v>470</v>
      </c>
      <c r="B67" s="3" t="s">
        <v>471</v>
      </c>
      <c r="C67" s="3" t="s">
        <v>472</v>
      </c>
    </row>
    <row r="69" customFormat="false" ht="15" hidden="false" customHeight="true" outlineLevel="0" collapsed="false">
      <c r="A69" s="15" t="s">
        <v>473</v>
      </c>
    </row>
    <row r="70" customFormat="false" ht="15" hidden="false" customHeight="true" outlineLevel="0" collapsed="false">
      <c r="A70" s="4" t="s">
        <v>474</v>
      </c>
      <c r="B70" s="5" t="s">
        <v>475</v>
      </c>
      <c r="C70" s="5" t="s">
        <v>476</v>
      </c>
    </row>
    <row r="71" customFormat="false" ht="15" hidden="false" customHeight="true" outlineLevel="0" collapsed="false">
      <c r="A71" s="4" t="s">
        <v>477</v>
      </c>
      <c r="B71" s="5" t="s">
        <v>478</v>
      </c>
      <c r="C71" s="5" t="s">
        <v>479</v>
      </c>
    </row>
    <row r="73" customFormat="false" ht="15" hidden="false" customHeight="true" outlineLevel="0" collapsed="false">
      <c r="A73" s="15" t="s">
        <v>480</v>
      </c>
    </row>
    <row r="74" customFormat="false" ht="15" hidden="false" customHeight="true" outlineLevel="0" collapsed="false">
      <c r="A74" s="4" t="s">
        <v>481</v>
      </c>
      <c r="B74" s="5" t="s">
        <v>482</v>
      </c>
      <c r="C74" s="5" t="s">
        <v>483</v>
      </c>
    </row>
    <row r="75" customFormat="false" ht="15" hidden="false" customHeight="true" outlineLevel="0" collapsed="false">
      <c r="A75" s="4" t="s">
        <v>484</v>
      </c>
      <c r="B75" s="5" t="s">
        <v>485</v>
      </c>
      <c r="C75" s="5" t="s">
        <v>486</v>
      </c>
    </row>
    <row r="76" customFormat="false" ht="15" hidden="false" customHeight="true" outlineLevel="0" collapsed="false"/>
    <row r="77" customFormat="false" ht="14.25" hidden="false" customHeight="true" outlineLevel="0" collapsed="false">
      <c r="A77" s="16" t="s">
        <v>487</v>
      </c>
      <c r="B77" s="16"/>
      <c r="C77" s="16"/>
    </row>
    <row r="78" customFormat="false" ht="14.25" hidden="false" customHeight="true" outlineLevel="0" collapsed="false">
      <c r="A78" s="17" t="s">
        <v>130</v>
      </c>
      <c r="B78" s="5" t="s">
        <v>488</v>
      </c>
      <c r="C78" s="5" t="s">
        <v>489</v>
      </c>
    </row>
    <row r="79" customFormat="false" ht="14.25" hidden="false" customHeight="true" outlineLevel="0" collapsed="false">
      <c r="A79" s="17" t="s">
        <v>490</v>
      </c>
      <c r="B79" s="5" t="s">
        <v>491</v>
      </c>
      <c r="C79" s="5" t="s">
        <v>492</v>
      </c>
    </row>
    <row r="80" customFormat="false" ht="14.25" hidden="false" customHeight="true" outlineLevel="0" collapsed="false">
      <c r="A80" s="17" t="s">
        <v>493</v>
      </c>
      <c r="B80" s="5" t="s">
        <v>494</v>
      </c>
      <c r="C80" s="5" t="s">
        <v>495</v>
      </c>
    </row>
    <row r="82" customFormat="false" ht="14.25" hidden="false" customHeight="true" outlineLevel="0" collapsed="false">
      <c r="A82" s="16" t="s">
        <v>496</v>
      </c>
      <c r="B82" s="16"/>
      <c r="C82" s="16"/>
    </row>
    <row r="83" customFormat="false" ht="14.25" hidden="false" customHeight="true" outlineLevel="0" collapsed="false">
      <c r="A83" s="17" t="s">
        <v>497</v>
      </c>
      <c r="B83" s="5" t="s">
        <v>498</v>
      </c>
      <c r="C83" s="5" t="s">
        <v>499</v>
      </c>
    </row>
    <row r="84" customFormat="false" ht="14.25" hidden="false" customHeight="true" outlineLevel="0" collapsed="false">
      <c r="A84" s="17" t="s">
        <v>500</v>
      </c>
      <c r="B84" s="5" t="s">
        <v>501</v>
      </c>
      <c r="C84" s="5" t="s">
        <v>502</v>
      </c>
    </row>
    <row r="85" customFormat="false" ht="14.25" hidden="false" customHeight="true" outlineLevel="0" collapsed="false">
      <c r="A85" s="17" t="s">
        <v>503</v>
      </c>
      <c r="B85" s="5" t="s">
        <v>504</v>
      </c>
      <c r="C85" s="5" t="s">
        <v>505</v>
      </c>
    </row>
    <row r="86" customFormat="false" ht="14.25" hidden="false" customHeight="true" outlineLevel="0" collapsed="false">
      <c r="A86" s="17" t="s">
        <v>506</v>
      </c>
      <c r="B86" s="5" t="s">
        <v>507</v>
      </c>
      <c r="C86" s="5" t="s">
        <v>508</v>
      </c>
    </row>
    <row r="87" customFormat="false" ht="14.25" hidden="false" customHeight="true" outlineLevel="0" collapsed="false">
      <c r="A87" s="17" t="s">
        <v>509</v>
      </c>
      <c r="B87" s="5" t="s">
        <v>510</v>
      </c>
      <c r="C87" s="5" t="s">
        <v>511</v>
      </c>
    </row>
    <row r="88" customFormat="false" ht="14.25" hidden="false" customHeight="true" outlineLevel="0" collapsed="false">
      <c r="A88" s="17" t="s">
        <v>512</v>
      </c>
      <c r="B88" s="5" t="s">
        <v>513</v>
      </c>
      <c r="C88" s="5" t="s">
        <v>514</v>
      </c>
    </row>
    <row r="89" customFormat="false" ht="14.25" hidden="false" customHeight="true" outlineLevel="0" collapsed="false">
      <c r="A89" s="17" t="s">
        <v>515</v>
      </c>
      <c r="B89" s="5" t="s">
        <v>516</v>
      </c>
      <c r="C89" s="5"/>
    </row>
    <row r="90" customFormat="false" ht="14.25" hidden="false" customHeight="true" outlineLevel="0" collapsed="false">
      <c r="A90" s="17" t="s">
        <v>517</v>
      </c>
      <c r="B90" s="5" t="s">
        <v>518</v>
      </c>
      <c r="C90" s="5" t="s">
        <v>519</v>
      </c>
    </row>
    <row r="91" customFormat="false" ht="14.25" hidden="false" customHeight="true" outlineLevel="0" collapsed="false">
      <c r="A91" s="17" t="s">
        <v>520</v>
      </c>
      <c r="B91" s="5" t="s">
        <v>521</v>
      </c>
      <c r="C91" s="5" t="s">
        <v>522</v>
      </c>
    </row>
    <row r="92" customFormat="false" ht="14.25" hidden="false" customHeight="true" outlineLevel="0" collapsed="false">
      <c r="A92" s="17" t="s">
        <v>523</v>
      </c>
      <c r="B92" s="5" t="s">
        <v>524</v>
      </c>
      <c r="C92" s="5" t="s">
        <v>525</v>
      </c>
    </row>
    <row r="93" customFormat="false" ht="14.25" hidden="false" customHeight="true" outlineLevel="0" collapsed="false">
      <c r="A93" s="17" t="s">
        <v>526</v>
      </c>
      <c r="B93" s="5" t="s">
        <v>527</v>
      </c>
      <c r="C93" s="5" t="s">
        <v>528</v>
      </c>
    </row>
    <row r="94" customFormat="false" ht="14.25" hidden="false" customHeight="true" outlineLevel="0" collapsed="false">
      <c r="A94" s="17" t="s">
        <v>529</v>
      </c>
      <c r="B94" s="5" t="s">
        <v>530</v>
      </c>
      <c r="C94" s="5" t="s">
        <v>531</v>
      </c>
    </row>
    <row r="95" customFormat="false" ht="14.25" hidden="false" customHeight="true" outlineLevel="0" collapsed="false">
      <c r="A95" s="17" t="s">
        <v>532</v>
      </c>
      <c r="B95" s="5" t="s">
        <v>533</v>
      </c>
      <c r="C95" s="5"/>
    </row>
    <row r="96" customFormat="false" ht="14.25" hidden="false" customHeight="true" outlineLevel="0" collapsed="false">
      <c r="A96" s="17" t="s">
        <v>534</v>
      </c>
      <c r="B96" s="5" t="s">
        <v>535</v>
      </c>
      <c r="C96" s="5" t="s">
        <v>536</v>
      </c>
    </row>
    <row r="97" customFormat="false" ht="14.25" hidden="false" customHeight="true" outlineLevel="0" collapsed="false">
      <c r="A97" s="17" t="s">
        <v>537</v>
      </c>
      <c r="B97" s="5" t="s">
        <v>538</v>
      </c>
      <c r="C97" s="5" t="s">
        <v>539</v>
      </c>
    </row>
    <row r="98" customFormat="false" ht="14.25" hidden="false" customHeight="true" outlineLevel="0" collapsed="false">
      <c r="A98" s="17" t="s">
        <v>540</v>
      </c>
      <c r="B98" s="5" t="s">
        <v>541</v>
      </c>
      <c r="C98" s="5"/>
    </row>
    <row r="99" customFormat="false" ht="14.25" hidden="false" customHeight="true" outlineLevel="0" collapsed="false">
      <c r="A99" s="17" t="s">
        <v>542</v>
      </c>
      <c r="B99" s="5" t="s">
        <v>543</v>
      </c>
      <c r="C99" s="5" t="s">
        <v>544</v>
      </c>
    </row>
    <row r="100" customFormat="false" ht="14.25" hidden="false" customHeight="true" outlineLevel="0" collapsed="false">
      <c r="A100" s="17" t="s">
        <v>545</v>
      </c>
      <c r="B100" s="5" t="s">
        <v>546</v>
      </c>
      <c r="C100" s="5"/>
    </row>
    <row r="101" customFormat="false" ht="14.25" hidden="false" customHeight="true" outlineLevel="0" collapsed="false">
      <c r="A101" s="17" t="s">
        <v>547</v>
      </c>
      <c r="B101" s="5" t="s">
        <v>548</v>
      </c>
      <c r="C101" s="5" t="s">
        <v>549</v>
      </c>
    </row>
    <row r="102" customFormat="false" ht="14.25" hidden="false" customHeight="true" outlineLevel="0" collapsed="false">
      <c r="A102" s="17" t="s">
        <v>550</v>
      </c>
      <c r="B102" s="5" t="s">
        <v>551</v>
      </c>
      <c r="C102" s="5"/>
    </row>
    <row r="103" customFormat="false" ht="14.25" hidden="false" customHeight="true" outlineLevel="0" collapsed="false">
      <c r="A103" s="17" t="s">
        <v>552</v>
      </c>
      <c r="B103" s="5" t="s">
        <v>553</v>
      </c>
      <c r="C103" s="5" t="s">
        <v>554</v>
      </c>
    </row>
    <row r="104" customFormat="false" ht="14.25" hidden="false" customHeight="true" outlineLevel="0" collapsed="false">
      <c r="A104" s="17" t="s">
        <v>555</v>
      </c>
      <c r="B104" s="5" t="s">
        <v>556</v>
      </c>
      <c r="C104" s="5" t="s">
        <v>557</v>
      </c>
    </row>
    <row r="105" customFormat="false" ht="14.25" hidden="false" customHeight="true" outlineLevel="0" collapsed="false">
      <c r="A105" s="17" t="s">
        <v>558</v>
      </c>
      <c r="B105" s="5" t="s">
        <v>559</v>
      </c>
      <c r="C105" s="5" t="s">
        <v>560</v>
      </c>
    </row>
    <row r="106" customFormat="false" ht="14.25" hidden="false" customHeight="true" outlineLevel="0" collapsed="false">
      <c r="A106" s="17" t="s">
        <v>561</v>
      </c>
      <c r="B106" s="5" t="s">
        <v>562</v>
      </c>
      <c r="C106" s="5" t="s">
        <v>563</v>
      </c>
    </row>
    <row r="107" customFormat="false" ht="14.25" hidden="false" customHeight="true" outlineLevel="0" collapsed="false">
      <c r="A107" s="17" t="s">
        <v>564</v>
      </c>
      <c r="B107" s="5" t="s">
        <v>565</v>
      </c>
      <c r="C107" s="5" t="s">
        <v>566</v>
      </c>
    </row>
    <row r="108" customFormat="false" ht="14.25" hidden="false" customHeight="true" outlineLevel="0" collapsed="false">
      <c r="A108" s="17" t="s">
        <v>567</v>
      </c>
      <c r="B108" s="5" t="s">
        <v>568</v>
      </c>
      <c r="C108" s="5" t="s">
        <v>569</v>
      </c>
    </row>
    <row r="109" customFormat="false" ht="14.25" hidden="false" customHeight="true" outlineLevel="0" collapsed="false">
      <c r="A109" s="17" t="s">
        <v>570</v>
      </c>
      <c r="B109" s="5" t="s">
        <v>571</v>
      </c>
      <c r="C109" s="5" t="s">
        <v>572</v>
      </c>
    </row>
    <row r="110" customFormat="false" ht="14.25" hidden="false" customHeight="true" outlineLevel="0" collapsed="false">
      <c r="A110" s="17" t="s">
        <v>573</v>
      </c>
      <c r="B110" s="5" t="s">
        <v>574</v>
      </c>
      <c r="C110" s="5" t="s">
        <v>575</v>
      </c>
    </row>
    <row r="111" customFormat="false" ht="14.25" hidden="false" customHeight="true" outlineLevel="0" collapsed="false">
      <c r="A111" s="17" t="s">
        <v>576</v>
      </c>
      <c r="B111" s="5" t="s">
        <v>577</v>
      </c>
      <c r="C111" s="5" t="s">
        <v>578</v>
      </c>
    </row>
    <row r="112" customFormat="false" ht="14.25" hidden="false" customHeight="true" outlineLevel="0" collapsed="false">
      <c r="A112" s="17" t="s">
        <v>579</v>
      </c>
      <c r="B112" s="5" t="s">
        <v>580</v>
      </c>
      <c r="C112" s="5" t="s">
        <v>581</v>
      </c>
    </row>
    <row r="113" customFormat="false" ht="14.25" hidden="false" customHeight="true" outlineLevel="0" collapsed="false">
      <c r="A113" s="17" t="s">
        <v>582</v>
      </c>
      <c r="B113" s="5" t="s">
        <v>583</v>
      </c>
      <c r="C113" s="5" t="s">
        <v>584</v>
      </c>
    </row>
    <row r="114" customFormat="false" ht="14.25" hidden="false" customHeight="true" outlineLevel="0" collapsed="false">
      <c r="A114" s="17" t="s">
        <v>585</v>
      </c>
      <c r="B114" s="5" t="s">
        <v>586</v>
      </c>
      <c r="C114" s="5" t="s">
        <v>587</v>
      </c>
    </row>
    <row r="115" customFormat="false" ht="14.25" hidden="false" customHeight="true" outlineLevel="0" collapsed="false">
      <c r="A115" s="17" t="s">
        <v>122</v>
      </c>
      <c r="B115" s="5" t="s">
        <v>588</v>
      </c>
      <c r="C115" s="5" t="s">
        <v>589</v>
      </c>
    </row>
    <row r="116" customFormat="false" ht="14.25" hidden="false" customHeight="true" outlineLevel="0" collapsed="false">
      <c r="A116" s="17" t="s">
        <v>590</v>
      </c>
      <c r="B116" s="5" t="s">
        <v>591</v>
      </c>
      <c r="C116" s="5" t="s">
        <v>592</v>
      </c>
    </row>
    <row r="117" customFormat="false" ht="14.25" hidden="false" customHeight="true" outlineLevel="0" collapsed="false">
      <c r="A117" s="17" t="s">
        <v>593</v>
      </c>
      <c r="B117" s="5" t="s">
        <v>594</v>
      </c>
      <c r="C117" s="5" t="s">
        <v>595</v>
      </c>
    </row>
    <row r="118" customFormat="false" ht="14.25" hidden="false" customHeight="true" outlineLevel="0" collapsed="false">
      <c r="A118" s="17" t="s">
        <v>596</v>
      </c>
      <c r="B118" s="5" t="s">
        <v>597</v>
      </c>
      <c r="C118" s="5" t="s">
        <v>598</v>
      </c>
    </row>
    <row r="119" customFormat="false" ht="14.25" hidden="false" customHeight="true" outlineLevel="0" collapsed="false">
      <c r="A119" s="17" t="s">
        <v>599</v>
      </c>
      <c r="B119" s="5" t="s">
        <v>600</v>
      </c>
      <c r="C119" s="5" t="s">
        <v>601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8" t="s">
        <v>602</v>
      </c>
      <c r="B1" s="18" t="s">
        <v>603</v>
      </c>
      <c r="C1" s="18" t="s">
        <v>604</v>
      </c>
      <c r="D1" s="18" t="s">
        <v>605</v>
      </c>
      <c r="E1" s="18" t="s">
        <v>606</v>
      </c>
      <c r="F1" s="18" t="s">
        <v>607</v>
      </c>
    </row>
    <row r="2" customFormat="false" ht="23.25" hidden="false" customHeight="true" outlineLevel="0" collapsed="false">
      <c r="A2" s="3" t="s">
        <v>37</v>
      </c>
      <c r="B2" s="3" t="s">
        <v>608</v>
      </c>
      <c r="C2" s="3" t="s">
        <v>609</v>
      </c>
      <c r="D2" s="3" t="s">
        <v>610</v>
      </c>
      <c r="E2" s="3" t="s">
        <v>611</v>
      </c>
      <c r="F2" s="3" t="s">
        <v>612</v>
      </c>
    </row>
    <row r="3" customFormat="false" ht="23.25" hidden="false" customHeight="true" outlineLevel="0" collapsed="false">
      <c r="A3" s="3" t="s">
        <v>35</v>
      </c>
      <c r="B3" s="3" t="s">
        <v>613</v>
      </c>
      <c r="C3" s="3" t="s">
        <v>614</v>
      </c>
      <c r="D3" s="3" t="s">
        <v>615</v>
      </c>
      <c r="E3" s="3" t="s">
        <v>616</v>
      </c>
      <c r="F3" s="3" t="s">
        <v>617</v>
      </c>
    </row>
    <row r="4" customFormat="false" ht="23.25" hidden="false" customHeight="true" outlineLevel="0" collapsed="false">
      <c r="A4" s="3" t="s">
        <v>618</v>
      </c>
      <c r="B4" s="3" t="s">
        <v>619</v>
      </c>
      <c r="C4" s="3" t="s">
        <v>620</v>
      </c>
      <c r="D4" s="3" t="s">
        <v>621</v>
      </c>
      <c r="E4" s="3" t="s">
        <v>622</v>
      </c>
      <c r="F4" s="3" t="s">
        <v>623</v>
      </c>
    </row>
    <row r="5" customFormat="false" ht="23.25" hidden="false" customHeight="true" outlineLevel="0" collapsed="false">
      <c r="A5" s="3" t="s">
        <v>624</v>
      </c>
      <c r="B5" s="3" t="s">
        <v>625</v>
      </c>
      <c r="C5" s="3" t="s">
        <v>626</v>
      </c>
      <c r="D5" s="3" t="s">
        <v>627</v>
      </c>
      <c r="E5" s="3" t="s">
        <v>628</v>
      </c>
      <c r="F5" s="3" t="s">
        <v>629</v>
      </c>
    </row>
    <row r="6" customFormat="false" ht="15" hidden="false" customHeight="true" outlineLevel="0" collapsed="false">
      <c r="A6" s="3" t="s">
        <v>630</v>
      </c>
      <c r="B6" s="3" t="s">
        <v>631</v>
      </c>
      <c r="C6" s="3" t="s">
        <v>632</v>
      </c>
      <c r="D6" s="3" t="s">
        <v>621</v>
      </c>
      <c r="E6" s="3" t="s">
        <v>633</v>
      </c>
      <c r="F6" s="3"/>
    </row>
    <row r="7" customFormat="false" ht="23.25" hidden="false" customHeight="true" outlineLevel="0" collapsed="false">
      <c r="A7" s="3" t="s">
        <v>634</v>
      </c>
      <c r="B7" s="3" t="s">
        <v>635</v>
      </c>
      <c r="C7" s="3" t="s">
        <v>636</v>
      </c>
      <c r="D7" s="3" t="s">
        <v>610</v>
      </c>
      <c r="E7" s="3" t="s">
        <v>637</v>
      </c>
      <c r="F7" s="3"/>
    </row>
    <row r="8" customFormat="false" ht="23.25" hidden="false" customHeight="true" outlineLevel="0" collapsed="false">
      <c r="A8" s="3" t="s">
        <v>638</v>
      </c>
      <c r="B8" s="3" t="s">
        <v>639</v>
      </c>
      <c r="C8" s="3" t="s">
        <v>640</v>
      </c>
      <c r="D8" s="3" t="s">
        <v>641</v>
      </c>
      <c r="E8" s="3" t="s">
        <v>642</v>
      </c>
      <c r="F8" s="3" t="s">
        <v>643</v>
      </c>
    </row>
    <row r="9" customFormat="false" ht="15" hidden="false" customHeight="true" outlineLevel="0" collapsed="false">
      <c r="A9" s="3" t="s">
        <v>644</v>
      </c>
      <c r="B9" s="3" t="s">
        <v>645</v>
      </c>
      <c r="C9" s="3" t="s">
        <v>646</v>
      </c>
      <c r="D9" s="3" t="s">
        <v>647</v>
      </c>
      <c r="E9" s="3" t="s">
        <v>648</v>
      </c>
      <c r="F9" s="3" t="s">
        <v>649</v>
      </c>
    </row>
    <row r="10" customFormat="false" ht="15" hidden="false" customHeight="true" outlineLevel="0" collapsed="false">
      <c r="A10" s="3" t="s">
        <v>650</v>
      </c>
      <c r="B10" s="3" t="s">
        <v>651</v>
      </c>
      <c r="C10" s="3" t="s">
        <v>652</v>
      </c>
      <c r="D10" s="3" t="s">
        <v>653</v>
      </c>
      <c r="E10" s="3" t="s">
        <v>654</v>
      </c>
      <c r="F10" s="3"/>
    </row>
    <row r="11" customFormat="false" ht="15" hidden="false" customHeight="true" outlineLevel="0" collapsed="false">
      <c r="A11" s="3" t="s">
        <v>655</v>
      </c>
      <c r="B11" s="3" t="s">
        <v>656</v>
      </c>
      <c r="C11" s="3" t="s">
        <v>657</v>
      </c>
      <c r="D11" s="3" t="s">
        <v>658</v>
      </c>
      <c r="E11" s="3" t="s">
        <v>659</v>
      </c>
      <c r="F11" s="3" t="s">
        <v>660</v>
      </c>
    </row>
    <row r="12" customFormat="false" ht="15" hidden="false" customHeight="true" outlineLevel="0" collapsed="false">
      <c r="A12" s="3" t="s">
        <v>661</v>
      </c>
      <c r="B12" s="3" t="s">
        <v>662</v>
      </c>
      <c r="C12" s="3" t="s">
        <v>663</v>
      </c>
      <c r="D12" s="3" t="s">
        <v>610</v>
      </c>
      <c r="E12" s="3" t="s">
        <v>664</v>
      </c>
      <c r="F12" s="3" t="s">
        <v>660</v>
      </c>
    </row>
    <row r="13" customFormat="false" ht="15" hidden="false" customHeight="true" outlineLevel="0" collapsed="false">
      <c r="A13" s="3" t="s">
        <v>665</v>
      </c>
      <c r="B13" s="3" t="s">
        <v>666</v>
      </c>
      <c r="C13" s="3" t="s">
        <v>667</v>
      </c>
      <c r="D13" s="3" t="s">
        <v>610</v>
      </c>
      <c r="E13" s="3" t="s">
        <v>668</v>
      </c>
      <c r="F13" s="3" t="s">
        <v>660</v>
      </c>
    </row>
    <row r="14" customFormat="false" ht="15" hidden="false" customHeight="true" outlineLevel="0" collapsed="false">
      <c r="A14" s="3" t="s">
        <v>669</v>
      </c>
      <c r="B14" s="3" t="s">
        <v>670</v>
      </c>
      <c r="C14" s="3" t="s">
        <v>671</v>
      </c>
      <c r="D14" s="3" t="s">
        <v>610</v>
      </c>
      <c r="E14" s="3" t="s">
        <v>672</v>
      </c>
      <c r="F14" s="3" t="s">
        <v>660</v>
      </c>
    </row>
    <row r="15" customFormat="false" ht="15" hidden="false" customHeight="true" outlineLevel="0" collapsed="false">
      <c r="A15" s="3" t="s">
        <v>673</v>
      </c>
      <c r="B15" s="3" t="s">
        <v>674</v>
      </c>
      <c r="C15" s="3" t="s">
        <v>675</v>
      </c>
      <c r="D15" s="3" t="s">
        <v>676</v>
      </c>
      <c r="E15" s="3" t="s">
        <v>677</v>
      </c>
      <c r="F15" s="3" t="s">
        <v>678</v>
      </c>
    </row>
    <row r="16" customFormat="false" ht="23.25" hidden="false" customHeight="true" outlineLevel="0" collapsed="false">
      <c r="A16" s="3" t="s">
        <v>679</v>
      </c>
      <c r="B16" s="3" t="s">
        <v>680</v>
      </c>
      <c r="C16" s="3" t="s">
        <v>681</v>
      </c>
      <c r="D16" s="3" t="s">
        <v>682</v>
      </c>
      <c r="E16" s="3" t="s">
        <v>683</v>
      </c>
      <c r="F16" s="3" t="s">
        <v>629</v>
      </c>
    </row>
    <row r="17" customFormat="false" ht="15" hidden="false" customHeight="true" outlineLevel="0" collapsed="false">
      <c r="A17" s="3" t="s">
        <v>684</v>
      </c>
      <c r="B17" s="3" t="s">
        <v>685</v>
      </c>
      <c r="C17" s="3" t="s">
        <v>686</v>
      </c>
      <c r="D17" s="3" t="s">
        <v>687</v>
      </c>
      <c r="E17" s="3" t="s">
        <v>688</v>
      </c>
      <c r="F17" s="3" t="s">
        <v>689</v>
      </c>
    </row>
    <row r="18" customFormat="false" ht="15" hidden="false" customHeight="true" outlineLevel="0" collapsed="false">
      <c r="A18" s="3" t="s">
        <v>690</v>
      </c>
      <c r="B18" s="3" t="s">
        <v>691</v>
      </c>
      <c r="C18" s="3" t="s">
        <v>692</v>
      </c>
      <c r="D18" s="3" t="s">
        <v>658</v>
      </c>
      <c r="E18" s="3" t="s">
        <v>693</v>
      </c>
      <c r="F18" s="3" t="s">
        <v>694</v>
      </c>
    </row>
    <row r="19" customFormat="false" ht="15" hidden="false" customHeight="true" outlineLevel="0" collapsed="false">
      <c r="A19" s="3" t="s">
        <v>695</v>
      </c>
      <c r="B19" s="3" t="s">
        <v>696</v>
      </c>
      <c r="C19" s="3" t="s">
        <v>697</v>
      </c>
      <c r="D19" s="3" t="s">
        <v>621</v>
      </c>
      <c r="E19" s="3" t="s">
        <v>698</v>
      </c>
      <c r="F19" s="3"/>
    </row>
    <row r="20" customFormat="false" ht="23.25" hidden="false" customHeight="true" outlineLevel="0" collapsed="false">
      <c r="A20" s="3" t="s">
        <v>699</v>
      </c>
      <c r="B20" s="3" t="s">
        <v>700</v>
      </c>
      <c r="C20" s="3" t="s">
        <v>701</v>
      </c>
      <c r="D20" s="3" t="s">
        <v>702</v>
      </c>
      <c r="E20" s="3" t="s">
        <v>703</v>
      </c>
      <c r="F20" s="3"/>
    </row>
    <row r="21" customFormat="false" ht="15" hidden="false" customHeight="true" outlineLevel="0" collapsed="false">
      <c r="A21" s="3" t="s">
        <v>704</v>
      </c>
      <c r="B21" s="3" t="s">
        <v>705</v>
      </c>
      <c r="C21" s="3" t="s">
        <v>706</v>
      </c>
      <c r="D21" s="3" t="s">
        <v>707</v>
      </c>
      <c r="E21" s="3" t="s">
        <v>708</v>
      </c>
      <c r="F21" s="3" t="s">
        <v>709</v>
      </c>
    </row>
    <row r="22" customFormat="false" ht="15" hidden="false" customHeight="true" outlineLevel="0" collapsed="false">
      <c r="A22" s="3" t="s">
        <v>710</v>
      </c>
      <c r="B22" s="3" t="s">
        <v>711</v>
      </c>
      <c r="C22" s="3" t="s">
        <v>712</v>
      </c>
      <c r="D22" s="3" t="s">
        <v>641</v>
      </c>
      <c r="E22" s="3" t="s">
        <v>713</v>
      </c>
      <c r="F22" s="3"/>
    </row>
    <row r="23" customFormat="false" ht="15" hidden="false" customHeight="true" outlineLevel="0" collapsed="false">
      <c r="A23" s="3" t="s">
        <v>714</v>
      </c>
      <c r="B23" s="3" t="s">
        <v>715</v>
      </c>
      <c r="C23" s="3" t="s">
        <v>716</v>
      </c>
      <c r="D23" s="3" t="s">
        <v>717</v>
      </c>
      <c r="E23" s="3" t="s">
        <v>718</v>
      </c>
      <c r="F23" s="3"/>
    </row>
    <row r="24" customFormat="false" ht="23.25" hidden="false" customHeight="true" outlineLevel="0" collapsed="false">
      <c r="A24" s="3" t="s">
        <v>719</v>
      </c>
      <c r="B24" s="3" t="s">
        <v>720</v>
      </c>
      <c r="C24" s="3" t="s">
        <v>721</v>
      </c>
      <c r="D24" s="3" t="s">
        <v>707</v>
      </c>
      <c r="E24" s="3" t="s">
        <v>722</v>
      </c>
      <c r="F24" s="3" t="s">
        <v>723</v>
      </c>
    </row>
    <row r="25" customFormat="false" ht="23.25" hidden="false" customHeight="true" outlineLevel="0" collapsed="false">
      <c r="A25" s="3" t="s">
        <v>724</v>
      </c>
      <c r="B25" s="3" t="s">
        <v>725</v>
      </c>
      <c r="C25" s="3" t="s">
        <v>726</v>
      </c>
      <c r="D25" s="3" t="s">
        <v>727</v>
      </c>
      <c r="E25" s="3" t="s">
        <v>728</v>
      </c>
      <c r="F25" s="3" t="s">
        <v>723</v>
      </c>
    </row>
    <row r="26" customFormat="false" ht="23.25" hidden="false" customHeight="true" outlineLevel="0" collapsed="false">
      <c r="A26" s="3" t="s">
        <v>729</v>
      </c>
      <c r="B26" s="3" t="s">
        <v>730</v>
      </c>
      <c r="C26" s="3" t="s">
        <v>731</v>
      </c>
      <c r="D26" s="3" t="s">
        <v>702</v>
      </c>
      <c r="E26" s="3" t="s">
        <v>732</v>
      </c>
      <c r="F26" s="3" t="s">
        <v>723</v>
      </c>
    </row>
    <row r="27" customFormat="false" ht="15" hidden="false" customHeight="true" outlineLevel="0" collapsed="false">
      <c r="A27" s="3" t="s">
        <v>733</v>
      </c>
      <c r="B27" s="3" t="s">
        <v>734</v>
      </c>
      <c r="C27" s="3" t="s">
        <v>735</v>
      </c>
      <c r="D27" s="3" t="s">
        <v>736</v>
      </c>
      <c r="E27" s="3" t="s">
        <v>737</v>
      </c>
      <c r="F27" s="3" t="s">
        <v>723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19" t="s">
        <v>55</v>
      </c>
      <c r="B1" s="19" t="s">
        <v>56</v>
      </c>
      <c r="C1" s="19" t="s">
        <v>57</v>
      </c>
      <c r="D1" s="19" t="s">
        <v>58</v>
      </c>
      <c r="E1" s="19" t="s">
        <v>59</v>
      </c>
      <c r="F1" s="19" t="s">
        <v>738</v>
      </c>
      <c r="G1" s="19" t="s">
        <v>739</v>
      </c>
      <c r="H1" s="19" t="s">
        <v>60</v>
      </c>
      <c r="I1" s="19" t="s">
        <v>61</v>
      </c>
      <c r="J1" s="19" t="s">
        <v>62</v>
      </c>
      <c r="K1" s="19" t="s">
        <v>63</v>
      </c>
      <c r="L1" s="19" t="s">
        <v>740</v>
      </c>
      <c r="M1" s="19" t="s">
        <v>741</v>
      </c>
      <c r="N1" s="19" t="s">
        <v>742</v>
      </c>
      <c r="O1" s="19" t="s">
        <v>64</v>
      </c>
      <c r="P1" s="19" t="s">
        <v>743</v>
      </c>
      <c r="Q1" s="19" t="s">
        <v>65</v>
      </c>
      <c r="R1" s="19" t="s">
        <v>744</v>
      </c>
      <c r="S1" s="19" t="s">
        <v>66</v>
      </c>
      <c r="T1" s="19" t="s">
        <v>67</v>
      </c>
      <c r="U1" s="19" t="s">
        <v>745</v>
      </c>
      <c r="V1" s="20" t="s">
        <v>746</v>
      </c>
      <c r="W1" s="20" t="s">
        <v>747</v>
      </c>
      <c r="X1" s="20" t="s">
        <v>73</v>
      </c>
      <c r="Y1" s="20" t="s">
        <v>75</v>
      </c>
      <c r="Z1" s="20" t="s">
        <v>748</v>
      </c>
      <c r="AA1" s="20" t="s">
        <v>749</v>
      </c>
      <c r="AB1" s="20" t="s">
        <v>750</v>
      </c>
      <c r="AC1" s="20" t="s">
        <v>751</v>
      </c>
      <c r="AD1" s="20" t="s">
        <v>752</v>
      </c>
      <c r="AE1" s="20" t="s">
        <v>753</v>
      </c>
      <c r="AF1" s="20" t="s">
        <v>74</v>
      </c>
      <c r="AG1" s="21" t="s">
        <v>754</v>
      </c>
      <c r="AH1" s="21" t="s">
        <v>755</v>
      </c>
      <c r="AI1" s="21" t="s">
        <v>756</v>
      </c>
      <c r="AJ1" s="21" t="s">
        <v>757</v>
      </c>
      <c r="AK1" s="21" t="s">
        <v>758</v>
      </c>
      <c r="AL1" s="21" t="s">
        <v>759</v>
      </c>
      <c r="AM1" s="21" t="s">
        <v>760</v>
      </c>
      <c r="AN1" s="21" t="s">
        <v>761</v>
      </c>
      <c r="AO1" s="21" t="s">
        <v>762</v>
      </c>
      <c r="AP1" s="21" t="s">
        <v>763</v>
      </c>
      <c r="AQ1" s="21" t="s">
        <v>764</v>
      </c>
      <c r="AR1" s="21" t="s">
        <v>765</v>
      </c>
    </row>
    <row r="2" customFormat="false" ht="15" hidden="false" customHeight="true" outlineLevel="0" collapsed="false">
      <c r="A2" s="5" t="n">
        <v>164</v>
      </c>
      <c r="B2" s="5" t="n">
        <v>164</v>
      </c>
      <c r="C2" s="5" t="s">
        <v>766</v>
      </c>
      <c r="D2" s="5" t="n">
        <v>2000</v>
      </c>
      <c r="E2" s="5" t="s">
        <v>767</v>
      </c>
      <c r="F2" s="5" t="s">
        <v>768</v>
      </c>
      <c r="G2" s="5" t="s">
        <v>769</v>
      </c>
      <c r="H2" s="5" t="s">
        <v>770</v>
      </c>
      <c r="I2" s="5" t="s">
        <v>771</v>
      </c>
      <c r="J2" s="5"/>
      <c r="K2" s="5"/>
      <c r="L2" s="5"/>
      <c r="M2" s="5"/>
      <c r="N2" s="5" t="s">
        <v>772</v>
      </c>
      <c r="O2" s="5" t="s">
        <v>773</v>
      </c>
      <c r="P2" s="5" t="s">
        <v>774</v>
      </c>
      <c r="Q2" s="5" t="s">
        <v>775</v>
      </c>
      <c r="R2" s="5" t="s">
        <v>776</v>
      </c>
      <c r="S2" s="5" t="s">
        <v>777</v>
      </c>
      <c r="T2" s="5"/>
      <c r="U2" s="5"/>
      <c r="V2" s="5"/>
      <c r="W2" s="5"/>
      <c r="X2" s="5"/>
      <c r="Y2" s="5"/>
      <c r="Z2" s="5"/>
      <c r="AA2" s="5"/>
      <c r="AB2" s="5"/>
      <c r="AC2" s="5"/>
      <c r="AD2" s="5"/>
      <c r="AE2" s="5"/>
      <c r="AF2" s="5"/>
      <c r="AG2" s="5" t="s">
        <v>778</v>
      </c>
      <c r="AH2" s="5"/>
      <c r="AI2" s="5"/>
      <c r="AJ2" s="5" t="s">
        <v>779</v>
      </c>
      <c r="AK2" s="5" t="n">
        <v>26</v>
      </c>
      <c r="AL2" s="5" t="n">
        <v>33</v>
      </c>
      <c r="AM2" s="5" t="s">
        <v>780</v>
      </c>
      <c r="AN2" s="5" t="s">
        <v>781</v>
      </c>
      <c r="AO2" s="5" t="s">
        <v>782</v>
      </c>
      <c r="AP2" s="5" t="s">
        <v>783</v>
      </c>
      <c r="AQ2" s="5" t="s">
        <v>784</v>
      </c>
      <c r="AR2" s="22" t="s">
        <v>785</v>
      </c>
    </row>
    <row r="3" customFormat="false" ht="15" hidden="false" customHeight="true" outlineLevel="0" collapsed="false">
      <c r="A3" s="5" t="n">
        <v>165</v>
      </c>
      <c r="B3" s="5" t="n">
        <v>165</v>
      </c>
      <c r="C3" s="5" t="s">
        <v>786</v>
      </c>
      <c r="D3" s="5" t="n">
        <v>2012</v>
      </c>
      <c r="E3" s="5" t="s">
        <v>787</v>
      </c>
      <c r="F3" s="5" t="s">
        <v>788</v>
      </c>
      <c r="G3" s="5" t="s">
        <v>789</v>
      </c>
      <c r="H3" s="5" t="s">
        <v>790</v>
      </c>
      <c r="I3" s="5" t="s">
        <v>791</v>
      </c>
      <c r="J3" s="5" t="n">
        <v>28.633</v>
      </c>
      <c r="K3" s="5" t="n">
        <v>77.183</v>
      </c>
      <c r="L3" s="5" t="s">
        <v>792</v>
      </c>
      <c r="M3" s="5" t="s">
        <v>793</v>
      </c>
      <c r="N3" s="5" t="s">
        <v>794</v>
      </c>
      <c r="O3" s="5" t="s">
        <v>83</v>
      </c>
      <c r="P3" s="5" t="n">
        <v>2006</v>
      </c>
      <c r="Q3" s="5" t="s">
        <v>795</v>
      </c>
      <c r="R3" s="5" t="n">
        <v>2</v>
      </c>
      <c r="S3" s="5" t="s">
        <v>796</v>
      </c>
      <c r="T3" s="5" t="s">
        <v>85</v>
      </c>
      <c r="U3" s="5" t="s">
        <v>797</v>
      </c>
      <c r="V3" s="5" t="n">
        <v>52.06</v>
      </c>
      <c r="W3" s="5" t="n">
        <v>22.54</v>
      </c>
      <c r="X3" s="5" t="n">
        <v>25.4</v>
      </c>
      <c r="Y3" s="5" t="n">
        <v>8.16</v>
      </c>
      <c r="Z3" s="5" t="n">
        <v>5.2</v>
      </c>
      <c r="AA3" s="5" t="n">
        <v>1.5</v>
      </c>
      <c r="AB3" s="5"/>
      <c r="AC3" s="5"/>
      <c r="AD3" s="5"/>
      <c r="AE3" s="5"/>
      <c r="AF3" s="5"/>
      <c r="AG3" s="5" t="s">
        <v>798</v>
      </c>
      <c r="AH3" s="5" t="s">
        <v>799</v>
      </c>
      <c r="AI3" s="5" t="s">
        <v>800</v>
      </c>
      <c r="AJ3" s="5" t="s">
        <v>801</v>
      </c>
      <c r="AK3" s="5"/>
      <c r="AL3" s="5"/>
      <c r="AM3" s="5" t="s">
        <v>802</v>
      </c>
      <c r="AN3" s="5" t="s">
        <v>803</v>
      </c>
      <c r="AO3" s="5" t="s">
        <v>804</v>
      </c>
      <c r="AP3" s="5" t="s">
        <v>805</v>
      </c>
      <c r="AQ3" s="5" t="s">
        <v>784</v>
      </c>
      <c r="AR3" s="22" t="s">
        <v>806</v>
      </c>
    </row>
    <row r="4" customFormat="false" ht="15" hidden="false" customHeight="true" outlineLevel="0" collapsed="false">
      <c r="A4" s="5" t="n">
        <v>166</v>
      </c>
      <c r="B4" s="5" t="n">
        <v>166</v>
      </c>
      <c r="C4" s="5" t="s">
        <v>807</v>
      </c>
      <c r="D4" s="5" t="n">
        <v>2014</v>
      </c>
      <c r="E4" s="5" t="s">
        <v>808</v>
      </c>
      <c r="F4" s="5" t="s">
        <v>809</v>
      </c>
      <c r="G4" s="5" t="s">
        <v>810</v>
      </c>
      <c r="H4" s="5" t="s">
        <v>811</v>
      </c>
      <c r="I4" s="5" t="s">
        <v>812</v>
      </c>
      <c r="J4" s="5" t="n">
        <v>29.067</v>
      </c>
      <c r="K4" s="5" t="n">
        <v>77.767</v>
      </c>
      <c r="L4" s="5" t="s">
        <v>813</v>
      </c>
      <c r="M4" s="5" t="s">
        <v>814</v>
      </c>
      <c r="N4" s="5" t="s">
        <v>794</v>
      </c>
      <c r="O4" s="5" t="s">
        <v>83</v>
      </c>
      <c r="P4" s="5" t="n">
        <v>1993</v>
      </c>
      <c r="Q4" s="5" t="n">
        <v>2011</v>
      </c>
      <c r="R4" s="5" t="s">
        <v>815</v>
      </c>
      <c r="S4" s="5" t="s">
        <v>777</v>
      </c>
      <c r="T4" s="5" t="s">
        <v>85</v>
      </c>
      <c r="U4" s="5" t="s">
        <v>816</v>
      </c>
      <c r="V4" s="5" t="n">
        <v>55</v>
      </c>
      <c r="W4" s="5" t="n">
        <v>18</v>
      </c>
      <c r="X4" s="5" t="n">
        <v>27</v>
      </c>
      <c r="Y4" s="5" t="n">
        <v>7.98</v>
      </c>
      <c r="Z4" s="5" t="n">
        <v>4.1</v>
      </c>
      <c r="AA4" s="5" t="n">
        <v>1.55</v>
      </c>
      <c r="AB4" s="5" t="n">
        <v>5</v>
      </c>
      <c r="AC4" s="5" t="n">
        <v>45.5</v>
      </c>
      <c r="AD4" s="5"/>
      <c r="AE4" s="5"/>
      <c r="AF4" s="5" t="n">
        <v>863</v>
      </c>
      <c r="AG4" s="5" t="s">
        <v>817</v>
      </c>
      <c r="AH4" s="5" t="s">
        <v>818</v>
      </c>
      <c r="AI4" s="5" t="s">
        <v>819</v>
      </c>
      <c r="AJ4" s="5" t="s">
        <v>820</v>
      </c>
      <c r="AK4" s="5" t="n">
        <v>26</v>
      </c>
      <c r="AL4" s="5" t="n">
        <v>33</v>
      </c>
      <c r="AM4" s="5" t="s">
        <v>821</v>
      </c>
      <c r="AN4" s="5" t="s">
        <v>822</v>
      </c>
      <c r="AO4" s="5" t="s">
        <v>823</v>
      </c>
      <c r="AP4" s="5" t="s">
        <v>824</v>
      </c>
      <c r="AQ4" s="5" t="s">
        <v>784</v>
      </c>
      <c r="AR4" s="22" t="s">
        <v>825</v>
      </c>
    </row>
    <row r="5" customFormat="false" ht="15" hidden="false" customHeight="true" outlineLevel="0" collapsed="false">
      <c r="A5" s="5" t="n">
        <v>167</v>
      </c>
      <c r="B5" s="5" t="n">
        <v>167</v>
      </c>
      <c r="C5" s="5" t="s">
        <v>826</v>
      </c>
      <c r="D5" s="5" t="n">
        <v>2023</v>
      </c>
      <c r="E5" s="5" t="s">
        <v>827</v>
      </c>
      <c r="F5" s="5" t="s">
        <v>828</v>
      </c>
      <c r="G5" s="5" t="s">
        <v>829</v>
      </c>
      <c r="H5" s="5" t="s">
        <v>830</v>
      </c>
      <c r="I5" s="5" t="s">
        <v>831</v>
      </c>
      <c r="J5" s="5"/>
      <c r="K5" s="5"/>
      <c r="L5" s="5"/>
      <c r="M5" s="5"/>
      <c r="N5" s="5"/>
      <c r="O5" s="5"/>
      <c r="P5" s="5" t="n">
        <v>2015</v>
      </c>
      <c r="Q5" s="5" t="s">
        <v>832</v>
      </c>
      <c r="R5" s="5"/>
      <c r="S5" s="5"/>
      <c r="T5" s="5"/>
      <c r="U5" s="5"/>
      <c r="V5" s="5"/>
      <c r="W5" s="5"/>
      <c r="X5" s="5"/>
      <c r="Y5" s="5"/>
      <c r="Z5" s="5"/>
      <c r="AA5" s="5"/>
      <c r="AB5" s="5"/>
      <c r="AC5" s="5"/>
      <c r="AD5" s="5"/>
      <c r="AE5" s="5"/>
      <c r="AF5" s="5"/>
      <c r="AG5" s="5" t="s">
        <v>833</v>
      </c>
      <c r="AH5" s="5"/>
      <c r="AI5" s="5"/>
      <c r="AJ5" s="5"/>
      <c r="AK5" s="5"/>
      <c r="AL5" s="5"/>
      <c r="AM5" s="5"/>
      <c r="AN5" s="5"/>
      <c r="AO5" s="5" t="s">
        <v>834</v>
      </c>
      <c r="AP5" s="5" t="s">
        <v>835</v>
      </c>
      <c r="AQ5" s="5" t="s">
        <v>784</v>
      </c>
      <c r="AR5" s="22" t="s">
        <v>836</v>
      </c>
    </row>
    <row r="6" customFormat="false" ht="15" hidden="false" customHeight="true" outlineLevel="0" collapsed="false">
      <c r="A6" s="5" t="n">
        <v>168</v>
      </c>
      <c r="B6" s="5" t="n">
        <v>168</v>
      </c>
      <c r="C6" s="5" t="s">
        <v>837</v>
      </c>
      <c r="D6" s="5" t="n">
        <v>2020</v>
      </c>
      <c r="E6" s="5" t="s">
        <v>838</v>
      </c>
      <c r="F6" s="5" t="s">
        <v>839</v>
      </c>
      <c r="G6" s="5" t="s">
        <v>840</v>
      </c>
      <c r="H6" s="5" t="s">
        <v>841</v>
      </c>
      <c r="I6" s="5" t="s">
        <v>842</v>
      </c>
      <c r="J6" s="5" t="n">
        <v>30.933</v>
      </c>
      <c r="K6" s="5" t="n">
        <v>75.867</v>
      </c>
      <c r="L6" s="5" t="s">
        <v>843</v>
      </c>
      <c r="M6" s="5" t="s">
        <v>844</v>
      </c>
      <c r="N6" s="5" t="s">
        <v>794</v>
      </c>
      <c r="O6" s="5" t="s">
        <v>845</v>
      </c>
      <c r="P6" s="5" t="n">
        <v>2011</v>
      </c>
      <c r="Q6" s="5" t="n">
        <v>2016</v>
      </c>
      <c r="R6" s="5" t="n">
        <v>1</v>
      </c>
      <c r="S6" s="5" t="s">
        <v>84</v>
      </c>
      <c r="T6" s="5" t="s">
        <v>85</v>
      </c>
      <c r="U6" s="5" t="s">
        <v>846</v>
      </c>
      <c r="V6" s="5"/>
      <c r="W6" s="5"/>
      <c r="X6" s="5"/>
      <c r="Y6" s="5" t="n">
        <v>7.4</v>
      </c>
      <c r="Z6" s="5"/>
      <c r="AA6" s="5"/>
      <c r="AB6" s="5"/>
      <c r="AC6" s="5"/>
      <c r="AD6" s="5"/>
      <c r="AE6" s="5"/>
      <c r="AF6" s="5" t="n">
        <v>734</v>
      </c>
      <c r="AG6" s="5" t="s">
        <v>847</v>
      </c>
      <c r="AH6" s="5" t="s">
        <v>848</v>
      </c>
      <c r="AI6" s="5" t="s">
        <v>849</v>
      </c>
      <c r="AJ6" s="5"/>
      <c r="AK6" s="5"/>
      <c r="AL6" s="5"/>
      <c r="AM6" s="5" t="s">
        <v>850</v>
      </c>
      <c r="AN6" s="5" t="s">
        <v>851</v>
      </c>
      <c r="AO6" s="5" t="s">
        <v>852</v>
      </c>
      <c r="AP6" s="5" t="s">
        <v>853</v>
      </c>
      <c r="AQ6" s="5" t="s">
        <v>784</v>
      </c>
      <c r="AR6" s="22" t="s">
        <v>854</v>
      </c>
    </row>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855</v>
      </c>
    </row>
    <row r="3" customFormat="false" ht="34.5" hidden="false" customHeight="true" outlineLevel="0" collapsed="false">
      <c r="A3" s="8" t="s">
        <v>55</v>
      </c>
      <c r="B3" s="8" t="s">
        <v>856</v>
      </c>
      <c r="C3" s="8" t="s">
        <v>57</v>
      </c>
      <c r="D3" s="8" t="s">
        <v>58</v>
      </c>
      <c r="E3" s="8" t="s">
        <v>59</v>
      </c>
      <c r="F3" s="8" t="s">
        <v>133</v>
      </c>
      <c r="G3" s="8" t="s">
        <v>857</v>
      </c>
      <c r="H3" s="8" t="s">
        <v>858</v>
      </c>
      <c r="I3" s="8" t="s">
        <v>859</v>
      </c>
      <c r="J3" s="8" t="s">
        <v>860</v>
      </c>
    </row>
    <row r="4" customFormat="false" ht="15" hidden="false" customHeight="true" outlineLevel="0" collapsed="false">
      <c r="A4" s="5" t="n">
        <v>1</v>
      </c>
      <c r="B4" s="5" t="n">
        <v>164</v>
      </c>
      <c r="C4" s="5" t="s">
        <v>766</v>
      </c>
      <c r="D4" s="5" t="n">
        <v>2000</v>
      </c>
      <c r="E4" s="5" t="s">
        <v>767</v>
      </c>
      <c r="F4" s="5" t="s">
        <v>861</v>
      </c>
      <c r="G4" s="5" t="n">
        <v>120</v>
      </c>
      <c r="H4" s="5" t="n">
        <v>5</v>
      </c>
      <c r="I4" s="5" t="s">
        <v>862</v>
      </c>
      <c r="J4" s="5" t="s">
        <v>783</v>
      </c>
    </row>
    <row r="5" customFormat="false" ht="15" hidden="false" customHeight="true" outlineLevel="0" collapsed="false">
      <c r="A5" s="5" t="n">
        <v>2</v>
      </c>
      <c r="B5" s="5" t="n">
        <v>165</v>
      </c>
      <c r="C5" s="5" t="s">
        <v>786</v>
      </c>
      <c r="D5" s="5" t="n">
        <v>2012</v>
      </c>
      <c r="E5" s="5" t="s">
        <v>787</v>
      </c>
      <c r="F5" s="5" t="s">
        <v>861</v>
      </c>
      <c r="G5" s="5" t="n">
        <v>38</v>
      </c>
      <c r="H5" s="5" t="n">
        <v>14</v>
      </c>
      <c r="I5" s="5" t="s">
        <v>863</v>
      </c>
      <c r="J5" s="5" t="s">
        <v>805</v>
      </c>
    </row>
    <row r="6" customFormat="false" ht="15" hidden="false" customHeight="true" outlineLevel="0" collapsed="false">
      <c r="A6" s="5" t="n">
        <v>3</v>
      </c>
      <c r="B6" s="5" t="n">
        <v>166</v>
      </c>
      <c r="C6" s="5" t="s">
        <v>807</v>
      </c>
      <c r="D6" s="5" t="n">
        <v>2014</v>
      </c>
      <c r="E6" s="5" t="s">
        <v>808</v>
      </c>
      <c r="F6" s="5" t="s">
        <v>861</v>
      </c>
      <c r="G6" s="5" t="n">
        <v>53</v>
      </c>
      <c r="H6" s="5" t="n">
        <v>13</v>
      </c>
      <c r="I6" s="5" t="s">
        <v>864</v>
      </c>
      <c r="J6" s="5" t="s">
        <v>824</v>
      </c>
    </row>
    <row r="7" customFormat="false" ht="15" hidden="false" customHeight="true" outlineLevel="0" collapsed="false">
      <c r="A7" s="5" t="n">
        <v>4</v>
      </c>
      <c r="B7" s="5" t="n">
        <v>167</v>
      </c>
      <c r="C7" s="5" t="s">
        <v>826</v>
      </c>
      <c r="D7" s="5" t="n">
        <v>2023</v>
      </c>
      <c r="E7" s="5" t="s">
        <v>827</v>
      </c>
      <c r="F7" s="5" t="s">
        <v>409</v>
      </c>
      <c r="G7" s="5" t="n">
        <v>0</v>
      </c>
      <c r="H7" s="5" t="n">
        <v>0</v>
      </c>
      <c r="I7" s="5" t="s">
        <v>610</v>
      </c>
      <c r="J7" s="5" t="s">
        <v>835</v>
      </c>
    </row>
    <row r="8" customFormat="false" ht="15" hidden="false" customHeight="true" outlineLevel="0" collapsed="false">
      <c r="A8" s="5" t="n">
        <v>5</v>
      </c>
      <c r="B8" s="5" t="n">
        <v>168</v>
      </c>
      <c r="C8" s="5" t="s">
        <v>837</v>
      </c>
      <c r="D8" s="5" t="n">
        <v>2020</v>
      </c>
      <c r="E8" s="5" t="s">
        <v>838</v>
      </c>
      <c r="F8" s="5" t="s">
        <v>861</v>
      </c>
      <c r="G8" s="5" t="n">
        <v>27</v>
      </c>
      <c r="H8" s="5" t="n">
        <v>19</v>
      </c>
      <c r="I8" s="5" t="s">
        <v>865</v>
      </c>
      <c r="J8" s="5" t="s">
        <v>853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866</v>
      </c>
    </row>
    <row r="3" customFormat="false" ht="23.25" hidden="false" customHeight="true" outlineLevel="0" collapsed="false">
      <c r="A3" s="8" t="s">
        <v>55</v>
      </c>
      <c r="B3" s="8" t="s">
        <v>867</v>
      </c>
      <c r="C3" s="8" t="s">
        <v>605</v>
      </c>
      <c r="D3" s="8" t="s">
        <v>857</v>
      </c>
      <c r="E3" s="8" t="s">
        <v>868</v>
      </c>
      <c r="F3" s="8" t="s">
        <v>869</v>
      </c>
    </row>
    <row r="4" customFormat="false" ht="15" hidden="false" customHeight="true" outlineLevel="0" collapsed="false">
      <c r="A4" s="23" t="n">
        <v>1</v>
      </c>
      <c r="B4" s="23" t="s">
        <v>870</v>
      </c>
      <c r="C4" s="23" t="s">
        <v>89</v>
      </c>
      <c r="D4" s="23" t="n">
        <v>4</v>
      </c>
      <c r="E4" s="23" t="n">
        <v>2</v>
      </c>
      <c r="F4" s="11" t="s">
        <v>871</v>
      </c>
    </row>
    <row r="5" customFormat="false" ht="15" hidden="false" customHeight="true" outlineLevel="0" collapsed="false">
      <c r="A5" s="23" t="n">
        <v>2</v>
      </c>
      <c r="B5" s="23" t="s">
        <v>872</v>
      </c>
      <c r="C5" s="23" t="s">
        <v>89</v>
      </c>
      <c r="D5" s="23" t="n">
        <v>0</v>
      </c>
      <c r="E5" s="23" t="n">
        <v>0</v>
      </c>
      <c r="F5" s="11" t="s">
        <v>873</v>
      </c>
    </row>
    <row r="6" customFormat="false" ht="15" hidden="false" customHeight="true" outlineLevel="0" collapsed="false">
      <c r="A6" s="23" t="n">
        <v>3</v>
      </c>
      <c r="B6" s="23" t="s">
        <v>874</v>
      </c>
      <c r="C6" s="23" t="s">
        <v>717</v>
      </c>
      <c r="D6" s="23" t="n">
        <v>4</v>
      </c>
      <c r="E6" s="23" t="n">
        <v>2</v>
      </c>
      <c r="F6" s="11" t="s">
        <v>871</v>
      </c>
    </row>
    <row r="7" customFormat="false" ht="15" hidden="false" customHeight="true" outlineLevel="0" collapsed="false">
      <c r="A7" s="23" t="n">
        <v>4</v>
      </c>
      <c r="B7" s="23" t="s">
        <v>875</v>
      </c>
      <c r="C7" s="23" t="s">
        <v>717</v>
      </c>
      <c r="D7" s="23" t="n">
        <v>0</v>
      </c>
      <c r="E7" s="23" t="n">
        <v>0</v>
      </c>
      <c r="F7" s="11" t="s">
        <v>873</v>
      </c>
    </row>
    <row r="8" customFormat="false" ht="15" hidden="false" customHeight="true" outlineLevel="0" collapsed="false">
      <c r="A8" s="23" t="n">
        <v>5</v>
      </c>
      <c r="B8" s="23" t="s">
        <v>876</v>
      </c>
      <c r="C8" s="23" t="s">
        <v>717</v>
      </c>
      <c r="D8" s="23" t="n">
        <v>0</v>
      </c>
      <c r="E8" s="23" t="n">
        <v>0</v>
      </c>
      <c r="F8" s="11" t="s">
        <v>873</v>
      </c>
    </row>
    <row r="9" customFormat="false" ht="15" hidden="false" customHeight="true" outlineLevel="0" collapsed="false">
      <c r="A9" s="23" t="n">
        <v>6</v>
      </c>
      <c r="B9" s="23" t="s">
        <v>877</v>
      </c>
      <c r="C9" s="23" t="s">
        <v>717</v>
      </c>
      <c r="D9" s="23" t="n">
        <v>0</v>
      </c>
      <c r="E9" s="23" t="n">
        <v>0</v>
      </c>
      <c r="F9" s="11" t="s">
        <v>873</v>
      </c>
    </row>
    <row r="10" customFormat="false" ht="15" hidden="false" customHeight="true" outlineLevel="0" collapsed="false">
      <c r="A10" s="23" t="n">
        <v>7</v>
      </c>
      <c r="B10" s="23" t="s">
        <v>878</v>
      </c>
      <c r="C10" s="23" t="s">
        <v>879</v>
      </c>
      <c r="D10" s="23" t="n">
        <v>8</v>
      </c>
      <c r="E10" s="23" t="n">
        <v>2</v>
      </c>
      <c r="F10" s="11" t="s">
        <v>880</v>
      </c>
    </row>
    <row r="11" customFormat="false" ht="15" hidden="false" customHeight="true" outlineLevel="0" collapsed="false">
      <c r="A11" s="23" t="n">
        <v>8</v>
      </c>
      <c r="B11" s="23" t="s">
        <v>881</v>
      </c>
      <c r="C11" s="23" t="s">
        <v>882</v>
      </c>
      <c r="D11" s="23" t="n">
        <v>0</v>
      </c>
      <c r="E11" s="23" t="n">
        <v>0</v>
      </c>
      <c r="F11" s="11" t="s">
        <v>873</v>
      </c>
    </row>
    <row r="12" customFormat="false" ht="15" hidden="false" customHeight="true" outlineLevel="0" collapsed="false">
      <c r="A12" s="23" t="n">
        <v>9</v>
      </c>
      <c r="B12" s="23" t="s">
        <v>883</v>
      </c>
      <c r="C12" s="23" t="s">
        <v>884</v>
      </c>
      <c r="D12" s="23" t="n">
        <v>0</v>
      </c>
      <c r="E12" s="23" t="n">
        <v>0</v>
      </c>
      <c r="F12" s="11" t="s">
        <v>873</v>
      </c>
    </row>
    <row r="13" customFormat="false" ht="15" hidden="false" customHeight="true" outlineLevel="0" collapsed="false">
      <c r="A13" s="23" t="n">
        <v>10</v>
      </c>
      <c r="B13" s="23" t="s">
        <v>885</v>
      </c>
      <c r="C13" s="23" t="s">
        <v>886</v>
      </c>
      <c r="D13" s="23" t="n">
        <v>5</v>
      </c>
      <c r="E13" s="23" t="n">
        <v>2</v>
      </c>
      <c r="F13" s="11" t="s">
        <v>887</v>
      </c>
    </row>
    <row r="14" customFormat="false" ht="15" hidden="false" customHeight="true" outlineLevel="0" collapsed="false">
      <c r="A14" s="23" t="n">
        <v>11</v>
      </c>
      <c r="B14" s="23" t="s">
        <v>888</v>
      </c>
      <c r="C14" s="23" t="s">
        <v>889</v>
      </c>
      <c r="D14" s="23" t="n">
        <v>5</v>
      </c>
      <c r="E14" s="23" t="n">
        <v>2</v>
      </c>
      <c r="F14" s="11" t="s">
        <v>887</v>
      </c>
    </row>
    <row r="15" customFormat="false" ht="15" hidden="false" customHeight="true" outlineLevel="0" collapsed="false">
      <c r="A15" s="23" t="n">
        <v>12</v>
      </c>
      <c r="B15" s="23" t="s">
        <v>890</v>
      </c>
      <c r="C15" s="23" t="s">
        <v>891</v>
      </c>
      <c r="D15" s="23" t="n">
        <v>5</v>
      </c>
      <c r="E15" s="23" t="n">
        <v>2</v>
      </c>
      <c r="F15" s="11" t="s">
        <v>887</v>
      </c>
    </row>
    <row r="16" customFormat="false" ht="15" hidden="false" customHeight="true" outlineLevel="0" collapsed="false">
      <c r="A16" s="23" t="n">
        <v>13</v>
      </c>
      <c r="B16" s="23" t="s">
        <v>892</v>
      </c>
      <c r="C16" s="23" t="s">
        <v>893</v>
      </c>
      <c r="D16" s="23" t="n">
        <v>3</v>
      </c>
      <c r="E16" s="23" t="n">
        <v>1</v>
      </c>
      <c r="F16" s="11" t="s">
        <v>894</v>
      </c>
    </row>
    <row r="17" customFormat="false" ht="15" hidden="false" customHeight="true" outlineLevel="0" collapsed="false">
      <c r="A17" s="23" t="n">
        <v>14</v>
      </c>
      <c r="B17" s="23" t="s">
        <v>895</v>
      </c>
      <c r="C17" s="23" t="s">
        <v>896</v>
      </c>
      <c r="D17" s="23" t="n">
        <v>3</v>
      </c>
      <c r="E17" s="23" t="n">
        <v>1</v>
      </c>
      <c r="F17" s="11" t="s">
        <v>894</v>
      </c>
    </row>
    <row r="18" customFormat="false" ht="15" hidden="false" customHeight="true" outlineLevel="0" collapsed="false">
      <c r="A18" s="23" t="n">
        <v>15</v>
      </c>
      <c r="B18" s="23" t="s">
        <v>897</v>
      </c>
      <c r="C18" s="23" t="s">
        <v>898</v>
      </c>
      <c r="D18" s="23" t="n">
        <v>0</v>
      </c>
      <c r="E18" s="23" t="n">
        <v>0</v>
      </c>
      <c r="F18" s="11" t="s">
        <v>873</v>
      </c>
    </row>
    <row r="19" customFormat="false" ht="15" hidden="false" customHeight="true" outlineLevel="0" collapsed="false">
      <c r="A19" s="23" t="n">
        <v>16</v>
      </c>
      <c r="B19" s="23" t="s">
        <v>899</v>
      </c>
      <c r="C19" s="23" t="s">
        <v>900</v>
      </c>
      <c r="D19" s="23" t="n">
        <v>2</v>
      </c>
      <c r="E19" s="23" t="n">
        <v>1</v>
      </c>
      <c r="F19" s="11" t="s">
        <v>901</v>
      </c>
    </row>
    <row r="20" customFormat="false" ht="15" hidden="false" customHeight="true" outlineLevel="0" collapsed="false">
      <c r="A20" s="23" t="n">
        <v>17</v>
      </c>
      <c r="B20" s="23" t="s">
        <v>902</v>
      </c>
      <c r="C20" s="23" t="s">
        <v>903</v>
      </c>
      <c r="D20" s="23" t="n">
        <v>1</v>
      </c>
      <c r="E20" s="23" t="n">
        <v>1</v>
      </c>
      <c r="F20" s="11" t="s">
        <v>904</v>
      </c>
    </row>
    <row r="21" customFormat="false" ht="15" hidden="false" customHeight="true" outlineLevel="0" collapsed="false">
      <c r="A21" s="23" t="n">
        <v>18</v>
      </c>
      <c r="B21" s="23" t="s">
        <v>905</v>
      </c>
      <c r="C21" s="23" t="s">
        <v>906</v>
      </c>
      <c r="D21" s="23" t="n">
        <v>7</v>
      </c>
      <c r="E21" s="23" t="n">
        <v>2</v>
      </c>
      <c r="F21" s="11" t="s">
        <v>907</v>
      </c>
    </row>
    <row r="22" customFormat="false" ht="15" hidden="false" customHeight="true" outlineLevel="0" collapsed="false">
      <c r="A22" s="23" t="n">
        <v>19</v>
      </c>
      <c r="B22" s="23" t="s">
        <v>908</v>
      </c>
      <c r="C22" s="23" t="s">
        <v>909</v>
      </c>
      <c r="D22" s="23" t="n">
        <v>7</v>
      </c>
      <c r="E22" s="23" t="n">
        <v>2</v>
      </c>
      <c r="F22" s="11" t="s">
        <v>907</v>
      </c>
    </row>
    <row r="23" customFormat="false" ht="15" hidden="false" customHeight="true" outlineLevel="0" collapsed="false">
      <c r="A23" s="23" t="n">
        <v>20</v>
      </c>
      <c r="B23" s="23" t="s">
        <v>910</v>
      </c>
      <c r="C23" s="23" t="s">
        <v>911</v>
      </c>
      <c r="D23" s="23" t="n">
        <v>0</v>
      </c>
      <c r="E23" s="23" t="n">
        <v>0</v>
      </c>
      <c r="F23" s="11" t="s">
        <v>873</v>
      </c>
    </row>
    <row r="24" customFormat="false" ht="15" hidden="false" customHeight="true" outlineLevel="0" collapsed="false">
      <c r="A24" s="23" t="n">
        <v>21</v>
      </c>
      <c r="B24" s="23" t="s">
        <v>912</v>
      </c>
      <c r="C24" s="23" t="s">
        <v>913</v>
      </c>
      <c r="D24" s="23" t="n">
        <v>7</v>
      </c>
      <c r="E24" s="23" t="n">
        <v>2</v>
      </c>
      <c r="F24" s="11" t="s">
        <v>907</v>
      </c>
    </row>
    <row r="25" customFormat="false" ht="15" hidden="false" customHeight="true" outlineLevel="0" collapsed="false">
      <c r="A25" s="23" t="n">
        <v>22</v>
      </c>
      <c r="B25" s="23" t="s">
        <v>914</v>
      </c>
      <c r="C25" s="23" t="s">
        <v>915</v>
      </c>
      <c r="D25" s="23" t="n">
        <v>7</v>
      </c>
      <c r="E25" s="23" t="n">
        <v>2</v>
      </c>
      <c r="F25" s="11" t="s">
        <v>907</v>
      </c>
    </row>
    <row r="26" customFormat="false" ht="15" hidden="false" customHeight="true" outlineLevel="0" collapsed="false">
      <c r="A26" s="23" t="n">
        <v>23</v>
      </c>
      <c r="B26" s="23" t="s">
        <v>916</v>
      </c>
      <c r="C26" s="23" t="s">
        <v>917</v>
      </c>
      <c r="D26" s="23" t="n">
        <v>0</v>
      </c>
      <c r="E26" s="23" t="n">
        <v>0</v>
      </c>
      <c r="F26" s="11" t="s">
        <v>873</v>
      </c>
    </row>
    <row r="27" customFormat="false" ht="15" hidden="false" customHeight="true" outlineLevel="0" collapsed="false">
      <c r="A27" s="23" t="n">
        <v>24</v>
      </c>
      <c r="B27" s="23" t="s">
        <v>918</v>
      </c>
      <c r="C27" s="23" t="s">
        <v>919</v>
      </c>
      <c r="D27" s="23" t="n">
        <v>0</v>
      </c>
      <c r="E27" s="23" t="n">
        <v>0</v>
      </c>
      <c r="F27" s="11" t="s">
        <v>873</v>
      </c>
    </row>
    <row r="28" customFormat="false" ht="15" hidden="false" customHeight="true" outlineLevel="0" collapsed="false">
      <c r="A28" s="23" t="n">
        <v>25</v>
      </c>
      <c r="B28" s="23" t="s">
        <v>920</v>
      </c>
      <c r="C28" s="23" t="s">
        <v>921</v>
      </c>
      <c r="D28" s="23" t="n">
        <v>0</v>
      </c>
      <c r="E28" s="23" t="n">
        <v>0</v>
      </c>
      <c r="F28" s="11" t="s">
        <v>873</v>
      </c>
    </row>
    <row r="29" customFormat="false" ht="15" hidden="false" customHeight="true" outlineLevel="0" collapsed="false">
      <c r="A29" s="23" t="n">
        <v>26</v>
      </c>
      <c r="B29" s="23" t="s">
        <v>922</v>
      </c>
      <c r="C29" s="23" t="s">
        <v>923</v>
      </c>
      <c r="D29" s="23" t="n">
        <v>0</v>
      </c>
      <c r="E29" s="23" t="n">
        <v>0</v>
      </c>
      <c r="F29" s="11" t="s">
        <v>873</v>
      </c>
    </row>
    <row r="30" customFormat="false" ht="15" hidden="false" customHeight="true" outlineLevel="0" collapsed="false">
      <c r="A30" s="23" t="n">
        <v>27</v>
      </c>
      <c r="B30" s="23" t="s">
        <v>94</v>
      </c>
      <c r="C30" s="23" t="s">
        <v>647</v>
      </c>
      <c r="D30" s="23" t="n">
        <v>13</v>
      </c>
      <c r="E30" s="23" t="n">
        <v>3</v>
      </c>
      <c r="F30" s="11" t="s">
        <v>924</v>
      </c>
    </row>
    <row r="31" customFormat="false" ht="15" hidden="false" customHeight="true" outlineLevel="0" collapsed="false">
      <c r="A31" s="23" t="n">
        <v>28</v>
      </c>
      <c r="B31" s="23" t="s">
        <v>925</v>
      </c>
      <c r="C31" s="23" t="s">
        <v>647</v>
      </c>
      <c r="D31" s="23" t="n">
        <v>3</v>
      </c>
      <c r="E31" s="23" t="n">
        <v>1</v>
      </c>
      <c r="F31" s="11" t="s">
        <v>894</v>
      </c>
    </row>
    <row r="32" customFormat="false" ht="15" hidden="false" customHeight="true" outlineLevel="0" collapsed="false">
      <c r="A32" s="23" t="n">
        <v>29</v>
      </c>
      <c r="B32" s="23" t="s">
        <v>926</v>
      </c>
      <c r="C32" s="23" t="s">
        <v>647</v>
      </c>
      <c r="D32" s="23" t="n">
        <v>0</v>
      </c>
      <c r="E32" s="23" t="n">
        <v>0</v>
      </c>
      <c r="F32" s="11" t="s">
        <v>873</v>
      </c>
    </row>
    <row r="33" customFormat="false" ht="15" hidden="false" customHeight="true" outlineLevel="0" collapsed="false">
      <c r="A33" s="23" t="n">
        <v>30</v>
      </c>
      <c r="B33" s="23" t="s">
        <v>927</v>
      </c>
      <c r="C33" s="23" t="s">
        <v>647</v>
      </c>
      <c r="D33" s="23" t="n">
        <v>0</v>
      </c>
      <c r="E33" s="23" t="n">
        <v>0</v>
      </c>
      <c r="F33" s="11" t="s">
        <v>873</v>
      </c>
    </row>
    <row r="34" customFormat="false" ht="15" hidden="false" customHeight="true" outlineLevel="0" collapsed="false">
      <c r="A34" s="23" t="n">
        <v>31</v>
      </c>
      <c r="B34" s="23" t="s">
        <v>928</v>
      </c>
      <c r="C34" s="23" t="s">
        <v>929</v>
      </c>
      <c r="D34" s="23" t="n">
        <v>0</v>
      </c>
      <c r="E34" s="23" t="n">
        <v>0</v>
      </c>
      <c r="F34" s="11" t="s">
        <v>873</v>
      </c>
    </row>
    <row r="35" customFormat="false" ht="15" hidden="false" customHeight="true" outlineLevel="0" collapsed="false">
      <c r="A35" s="23" t="n">
        <v>32</v>
      </c>
      <c r="B35" s="23" t="s">
        <v>930</v>
      </c>
      <c r="C35" s="23" t="s">
        <v>931</v>
      </c>
      <c r="D35" s="23" t="n">
        <v>0</v>
      </c>
      <c r="E35" s="23" t="n">
        <v>0</v>
      </c>
      <c r="F35" s="11" t="s">
        <v>873</v>
      </c>
    </row>
    <row r="36" customFormat="false" ht="15" hidden="false" customHeight="true" outlineLevel="0" collapsed="false">
      <c r="A36" s="23" t="n">
        <v>33</v>
      </c>
      <c r="B36" s="23" t="s">
        <v>932</v>
      </c>
      <c r="C36" s="23" t="s">
        <v>933</v>
      </c>
      <c r="D36" s="23" t="n">
        <v>0</v>
      </c>
      <c r="E36" s="23" t="n">
        <v>0</v>
      </c>
      <c r="F36" s="11" t="s">
        <v>873</v>
      </c>
    </row>
    <row r="37" customFormat="false" ht="15" hidden="false" customHeight="true" outlineLevel="0" collapsed="false">
      <c r="A37" s="23" t="n">
        <v>34</v>
      </c>
      <c r="B37" s="23" t="s">
        <v>934</v>
      </c>
      <c r="C37" s="23" t="s">
        <v>935</v>
      </c>
      <c r="D37" s="23" t="n">
        <v>0</v>
      </c>
      <c r="E37" s="23" t="n">
        <v>0</v>
      </c>
      <c r="F37" s="11" t="s">
        <v>873</v>
      </c>
    </row>
    <row r="38" customFormat="false" ht="15" hidden="false" customHeight="true" outlineLevel="0" collapsed="false">
      <c r="A38" s="23" t="n">
        <v>35</v>
      </c>
      <c r="B38" s="23" t="s">
        <v>936</v>
      </c>
      <c r="C38" s="23" t="s">
        <v>937</v>
      </c>
      <c r="D38" s="23" t="n">
        <v>0</v>
      </c>
      <c r="E38" s="23" t="n">
        <v>0</v>
      </c>
      <c r="F38" s="11" t="s">
        <v>873</v>
      </c>
    </row>
    <row r="39" customFormat="false" ht="15" hidden="false" customHeight="true" outlineLevel="0" collapsed="false">
      <c r="A39" s="23" t="n">
        <v>36</v>
      </c>
      <c r="B39" s="23" t="s">
        <v>938</v>
      </c>
      <c r="C39" s="23" t="s">
        <v>939</v>
      </c>
      <c r="D39" s="23" t="n">
        <v>0</v>
      </c>
      <c r="E39" s="23" t="n">
        <v>0</v>
      </c>
      <c r="F39" s="11" t="s">
        <v>873</v>
      </c>
    </row>
    <row r="40" customFormat="false" ht="15" hidden="false" customHeight="true" outlineLevel="0" collapsed="false">
      <c r="A40" s="23" t="n">
        <v>37</v>
      </c>
      <c r="B40" s="23" t="s">
        <v>940</v>
      </c>
      <c r="C40" s="23" t="s">
        <v>941</v>
      </c>
      <c r="D40" s="23" t="n">
        <v>0</v>
      </c>
      <c r="E40" s="23" t="n">
        <v>0</v>
      </c>
      <c r="F40" s="11" t="s">
        <v>873</v>
      </c>
    </row>
    <row r="41" customFormat="false" ht="15" hidden="false" customHeight="true" outlineLevel="0" collapsed="false">
      <c r="A41" s="23" t="n">
        <v>38</v>
      </c>
      <c r="B41" s="23" t="s">
        <v>942</v>
      </c>
      <c r="C41" s="23" t="s">
        <v>943</v>
      </c>
      <c r="D41" s="23" t="n">
        <v>0</v>
      </c>
      <c r="E41" s="23" t="n">
        <v>0</v>
      </c>
      <c r="F41" s="11" t="s">
        <v>873</v>
      </c>
    </row>
    <row r="42" customFormat="false" ht="15" hidden="false" customHeight="true" outlineLevel="0" collapsed="false">
      <c r="A42" s="23" t="n">
        <v>39</v>
      </c>
      <c r="B42" s="23" t="s">
        <v>944</v>
      </c>
      <c r="C42" s="23" t="s">
        <v>945</v>
      </c>
      <c r="D42" s="23" t="n">
        <v>3</v>
      </c>
      <c r="E42" s="23" t="n">
        <v>1</v>
      </c>
      <c r="F42" s="11" t="s">
        <v>894</v>
      </c>
    </row>
    <row r="43" customFormat="false" ht="15" hidden="false" customHeight="true" outlineLevel="0" collapsed="false">
      <c r="A43" s="23" t="n">
        <v>40</v>
      </c>
      <c r="B43" s="23" t="s">
        <v>946</v>
      </c>
      <c r="C43" s="23" t="s">
        <v>947</v>
      </c>
      <c r="D43" s="23" t="n">
        <v>0</v>
      </c>
      <c r="E43" s="23" t="n">
        <v>0</v>
      </c>
      <c r="F43" s="11" t="s">
        <v>873</v>
      </c>
    </row>
    <row r="44" customFormat="false" ht="15" hidden="false" customHeight="true" outlineLevel="0" collapsed="false">
      <c r="A44" s="23" t="n">
        <v>41</v>
      </c>
      <c r="B44" s="23" t="s">
        <v>703</v>
      </c>
      <c r="C44" s="23" t="s">
        <v>948</v>
      </c>
      <c r="D44" s="23" t="n">
        <v>0</v>
      </c>
      <c r="E44" s="23" t="n">
        <v>0</v>
      </c>
      <c r="F44" s="11" t="s">
        <v>873</v>
      </c>
    </row>
    <row r="45" customFormat="false" ht="15" hidden="false" customHeight="true" outlineLevel="0" collapsed="false">
      <c r="A45" s="23" t="n">
        <v>42</v>
      </c>
      <c r="B45" s="23" t="s">
        <v>949</v>
      </c>
      <c r="C45" s="23" t="s">
        <v>950</v>
      </c>
      <c r="D45" s="23" t="n">
        <v>0</v>
      </c>
      <c r="E45" s="23" t="n">
        <v>0</v>
      </c>
      <c r="F45" s="11" t="s">
        <v>873</v>
      </c>
    </row>
    <row r="46" customFormat="false" ht="15" hidden="false" customHeight="true" outlineLevel="0" collapsed="false">
      <c r="A46" s="23" t="n">
        <v>43</v>
      </c>
      <c r="B46" s="23" t="s">
        <v>951</v>
      </c>
      <c r="C46" s="23" t="s">
        <v>952</v>
      </c>
      <c r="D46" s="23" t="n">
        <v>0</v>
      </c>
      <c r="E46" s="23" t="n">
        <v>0</v>
      </c>
      <c r="F46" s="11" t="s">
        <v>873</v>
      </c>
    </row>
    <row r="47" customFormat="false" ht="15" hidden="false" customHeight="true" outlineLevel="0" collapsed="false">
      <c r="A47" s="23" t="n">
        <v>44</v>
      </c>
      <c r="B47" s="23" t="s">
        <v>953</v>
      </c>
      <c r="C47" s="23" t="s">
        <v>954</v>
      </c>
      <c r="D47" s="23" t="n">
        <v>0</v>
      </c>
      <c r="E47" s="23" t="n">
        <v>0</v>
      </c>
      <c r="F47" s="11" t="s">
        <v>873</v>
      </c>
    </row>
    <row r="48" customFormat="false" ht="15" hidden="false" customHeight="true" outlineLevel="0" collapsed="false">
      <c r="A48" s="23" t="n">
        <v>45</v>
      </c>
      <c r="B48" s="23" t="s">
        <v>955</v>
      </c>
      <c r="C48" s="23" t="s">
        <v>956</v>
      </c>
      <c r="D48" s="23" t="n">
        <v>0</v>
      </c>
      <c r="E48" s="23" t="n">
        <v>0</v>
      </c>
      <c r="F48" s="11" t="s">
        <v>873</v>
      </c>
    </row>
    <row r="49" customFormat="false" ht="15" hidden="false" customHeight="true" outlineLevel="0" collapsed="false">
      <c r="A49" s="23" t="n">
        <v>46</v>
      </c>
      <c r="B49" s="23" t="s">
        <v>654</v>
      </c>
      <c r="C49" s="23" t="s">
        <v>957</v>
      </c>
      <c r="D49" s="23" t="n">
        <v>2</v>
      </c>
      <c r="E49" s="23" t="n">
        <v>1</v>
      </c>
      <c r="F49" s="11" t="s">
        <v>958</v>
      </c>
    </row>
    <row r="50" customFormat="false" ht="15" hidden="false" customHeight="true" outlineLevel="0" collapsed="false">
      <c r="A50" s="23" t="n">
        <v>47</v>
      </c>
      <c r="B50" s="23" t="s">
        <v>959</v>
      </c>
      <c r="C50" s="23" t="s">
        <v>960</v>
      </c>
      <c r="D50" s="23" t="n">
        <v>0</v>
      </c>
      <c r="E50" s="23" t="n">
        <v>0</v>
      </c>
      <c r="F50" s="11" t="s">
        <v>873</v>
      </c>
    </row>
    <row r="51" customFormat="false" ht="15" hidden="false" customHeight="true" outlineLevel="0" collapsed="false">
      <c r="A51" s="23" t="n">
        <v>48</v>
      </c>
      <c r="B51" s="23" t="s">
        <v>961</v>
      </c>
      <c r="C51" s="23" t="s">
        <v>962</v>
      </c>
      <c r="D51" s="23" t="n">
        <v>0</v>
      </c>
      <c r="E51" s="23" t="n">
        <v>0</v>
      </c>
      <c r="F51" s="11" t="s">
        <v>873</v>
      </c>
    </row>
    <row r="52" customFormat="false" ht="15" hidden="false" customHeight="true" outlineLevel="0" collapsed="false">
      <c r="A52" s="23" t="n">
        <v>49</v>
      </c>
      <c r="B52" s="23" t="s">
        <v>963</v>
      </c>
      <c r="C52" s="23" t="s">
        <v>964</v>
      </c>
      <c r="D52" s="23" t="n">
        <v>0</v>
      </c>
      <c r="E52" s="23" t="n">
        <v>0</v>
      </c>
      <c r="F52" s="11" t="s">
        <v>873</v>
      </c>
    </row>
    <row r="53" customFormat="false" ht="15" hidden="false" customHeight="true" outlineLevel="0" collapsed="false">
      <c r="A53" s="23" t="n">
        <v>50</v>
      </c>
      <c r="B53" s="23" t="s">
        <v>965</v>
      </c>
      <c r="C53" s="23" t="s">
        <v>966</v>
      </c>
      <c r="D53" s="23" t="n">
        <v>0</v>
      </c>
      <c r="E53" s="23" t="n">
        <v>0</v>
      </c>
      <c r="F53" s="11" t="s">
        <v>873</v>
      </c>
    </row>
    <row r="54" customFormat="false" ht="15" hidden="false" customHeight="true" outlineLevel="0" collapsed="false">
      <c r="A54" s="23" t="n">
        <v>51</v>
      </c>
      <c r="B54" s="23" t="s">
        <v>967</v>
      </c>
      <c r="C54" s="23" t="s">
        <v>968</v>
      </c>
      <c r="D54" s="23" t="n">
        <v>0</v>
      </c>
      <c r="E54" s="23" t="n">
        <v>0</v>
      </c>
      <c r="F54" s="11" t="s">
        <v>873</v>
      </c>
    </row>
    <row r="55" customFormat="false" ht="15" hidden="false" customHeight="true" outlineLevel="0" collapsed="false">
      <c r="A55" s="23" t="n">
        <v>52</v>
      </c>
      <c r="B55" s="23" t="s">
        <v>969</v>
      </c>
      <c r="C55" s="23" t="s">
        <v>970</v>
      </c>
      <c r="D55" s="23" t="n">
        <v>3</v>
      </c>
      <c r="E55" s="23" t="n">
        <v>2</v>
      </c>
      <c r="F55" s="11" t="s">
        <v>971</v>
      </c>
    </row>
    <row r="56" customFormat="false" ht="15" hidden="false" customHeight="true" outlineLevel="0" collapsed="false">
      <c r="A56" s="23" t="n">
        <v>53</v>
      </c>
      <c r="B56" s="23" t="s">
        <v>972</v>
      </c>
      <c r="C56" s="23" t="s">
        <v>973</v>
      </c>
      <c r="D56" s="23" t="n">
        <v>0</v>
      </c>
      <c r="E56" s="23" t="n">
        <v>0</v>
      </c>
      <c r="F56" s="11" t="s">
        <v>873</v>
      </c>
    </row>
    <row r="57" customFormat="false" ht="15" hidden="false" customHeight="true" outlineLevel="0" collapsed="false">
      <c r="A57" s="23" t="n">
        <v>54</v>
      </c>
      <c r="B57" s="23" t="s">
        <v>974</v>
      </c>
      <c r="C57" s="23" t="s">
        <v>975</v>
      </c>
      <c r="D57" s="23" t="n">
        <v>0</v>
      </c>
      <c r="E57" s="23" t="n">
        <v>0</v>
      </c>
      <c r="F57" s="11" t="s">
        <v>873</v>
      </c>
    </row>
    <row r="58" customFormat="false" ht="15" hidden="false" customHeight="true" outlineLevel="0" collapsed="false">
      <c r="A58" s="23" t="n">
        <v>55</v>
      </c>
      <c r="B58" s="23" t="s">
        <v>976</v>
      </c>
      <c r="C58" s="23" t="s">
        <v>977</v>
      </c>
      <c r="D58" s="23" t="n">
        <v>0</v>
      </c>
      <c r="E58" s="23" t="n">
        <v>0</v>
      </c>
      <c r="F58" s="11" t="s">
        <v>873</v>
      </c>
    </row>
    <row r="59" customFormat="false" ht="15" hidden="false" customHeight="true" outlineLevel="0" collapsed="false">
      <c r="A59" s="23" t="n">
        <v>56</v>
      </c>
      <c r="B59" s="23" t="s">
        <v>978</v>
      </c>
      <c r="C59" s="23" t="s">
        <v>979</v>
      </c>
      <c r="D59" s="23" t="n">
        <v>4</v>
      </c>
      <c r="E59" s="23" t="n">
        <v>1</v>
      </c>
      <c r="F59" s="11" t="s">
        <v>980</v>
      </c>
    </row>
    <row r="60" customFormat="false" ht="15" hidden="false" customHeight="true" outlineLevel="0" collapsed="false">
      <c r="A60" s="23" t="n">
        <v>57</v>
      </c>
      <c r="B60" s="23" t="s">
        <v>981</v>
      </c>
      <c r="C60" s="23" t="s">
        <v>982</v>
      </c>
      <c r="D60" s="23" t="n">
        <v>11</v>
      </c>
      <c r="E60" s="23" t="n">
        <v>2</v>
      </c>
      <c r="F60" s="11" t="s">
        <v>983</v>
      </c>
    </row>
    <row r="61" customFormat="false" ht="15" hidden="false" customHeight="true" outlineLevel="0" collapsed="false">
      <c r="A61" s="23" t="n">
        <v>58</v>
      </c>
      <c r="B61" s="23" t="s">
        <v>984</v>
      </c>
      <c r="C61" s="23" t="s">
        <v>985</v>
      </c>
      <c r="D61" s="23" t="n">
        <v>11</v>
      </c>
      <c r="E61" s="23" t="n">
        <v>2</v>
      </c>
      <c r="F61" s="11" t="s">
        <v>983</v>
      </c>
    </row>
    <row r="62" customFormat="false" ht="15" hidden="false" customHeight="true" outlineLevel="0" collapsed="false">
      <c r="A62" s="23" t="n">
        <v>59</v>
      </c>
      <c r="B62" s="23" t="s">
        <v>986</v>
      </c>
      <c r="C62" s="23" t="s">
        <v>987</v>
      </c>
      <c r="D62" s="23" t="n">
        <v>0</v>
      </c>
      <c r="E62" s="23" t="n">
        <v>0</v>
      </c>
      <c r="F62" s="11" t="s">
        <v>873</v>
      </c>
    </row>
    <row r="63" customFormat="false" ht="15" hidden="false" customHeight="true" outlineLevel="0" collapsed="false">
      <c r="A63" s="23" t="n">
        <v>60</v>
      </c>
      <c r="B63" s="23" t="s">
        <v>988</v>
      </c>
      <c r="C63" s="23" t="s">
        <v>702</v>
      </c>
      <c r="D63" s="23" t="n">
        <v>4</v>
      </c>
      <c r="E63" s="23" t="n">
        <v>1</v>
      </c>
      <c r="F63" s="11" t="s">
        <v>989</v>
      </c>
    </row>
    <row r="64" customFormat="false" ht="15" hidden="false" customHeight="true" outlineLevel="0" collapsed="false">
      <c r="A64" s="23" t="n">
        <v>61</v>
      </c>
      <c r="B64" s="23" t="s">
        <v>990</v>
      </c>
      <c r="C64" s="23" t="s">
        <v>991</v>
      </c>
      <c r="D64" s="23" t="n">
        <v>0</v>
      </c>
      <c r="E64" s="23" t="n">
        <v>0</v>
      </c>
      <c r="F64" s="11" t="s">
        <v>873</v>
      </c>
    </row>
    <row r="65" customFormat="false" ht="15" hidden="false" customHeight="true" outlineLevel="0" collapsed="false">
      <c r="A65" s="23" t="n">
        <v>62</v>
      </c>
      <c r="B65" s="23" t="s">
        <v>992</v>
      </c>
      <c r="C65" s="23" t="s">
        <v>993</v>
      </c>
      <c r="D65" s="23" t="n">
        <v>0</v>
      </c>
      <c r="E65" s="23" t="n">
        <v>0</v>
      </c>
      <c r="F65" s="11" t="s">
        <v>873</v>
      </c>
    </row>
    <row r="66" customFormat="false" ht="15" hidden="false" customHeight="true" outlineLevel="0" collapsed="false">
      <c r="A66" s="23" t="n">
        <v>63</v>
      </c>
      <c r="B66" s="23" t="s">
        <v>994</v>
      </c>
      <c r="C66" s="23" t="s">
        <v>995</v>
      </c>
      <c r="D66" s="23" t="n">
        <v>0</v>
      </c>
      <c r="E66" s="23" t="n">
        <v>0</v>
      </c>
      <c r="F66" s="11" t="s">
        <v>873</v>
      </c>
    </row>
    <row r="67" customFormat="false" ht="15" hidden="false" customHeight="true" outlineLevel="0" collapsed="false">
      <c r="A67" s="23" t="n">
        <v>64</v>
      </c>
      <c r="B67" s="23" t="s">
        <v>996</v>
      </c>
      <c r="C67" s="23" t="s">
        <v>997</v>
      </c>
      <c r="D67" s="23" t="n">
        <v>0</v>
      </c>
      <c r="E67" s="23" t="n">
        <v>0</v>
      </c>
      <c r="F67" s="11" t="s">
        <v>873</v>
      </c>
    </row>
    <row r="68" customFormat="false" ht="15" hidden="false" customHeight="true" outlineLevel="0" collapsed="false">
      <c r="A68" s="23" t="n">
        <v>65</v>
      </c>
      <c r="B68" s="23" t="s">
        <v>998</v>
      </c>
      <c r="C68" s="23" t="s">
        <v>999</v>
      </c>
      <c r="D68" s="23" t="n">
        <v>0</v>
      </c>
      <c r="E68" s="23" t="n">
        <v>0</v>
      </c>
      <c r="F68" s="11" t="s">
        <v>873</v>
      </c>
    </row>
    <row r="69" customFormat="false" ht="15" hidden="false" customHeight="true" outlineLevel="0" collapsed="false">
      <c r="A69" s="23" t="n">
        <v>66</v>
      </c>
      <c r="B69" s="23" t="s">
        <v>1000</v>
      </c>
      <c r="C69" s="23" t="s">
        <v>1001</v>
      </c>
      <c r="D69" s="23" t="n">
        <v>0</v>
      </c>
      <c r="E69" s="23" t="n">
        <v>0</v>
      </c>
      <c r="F69" s="11" t="s">
        <v>873</v>
      </c>
    </row>
    <row r="70" customFormat="false" ht="15" hidden="false" customHeight="true" outlineLevel="0" collapsed="false">
      <c r="A70" s="23" t="n">
        <v>67</v>
      </c>
      <c r="B70" s="23" t="s">
        <v>1002</v>
      </c>
      <c r="C70" s="23" t="s">
        <v>1003</v>
      </c>
      <c r="D70" s="23" t="n">
        <v>0</v>
      </c>
      <c r="E70" s="23" t="n">
        <v>0</v>
      </c>
      <c r="F70" s="11" t="s">
        <v>873</v>
      </c>
    </row>
    <row r="71" customFormat="false" ht="15" hidden="false" customHeight="true" outlineLevel="0" collapsed="false">
      <c r="A71" s="23" t="n">
        <v>68</v>
      </c>
      <c r="B71" s="23" t="s">
        <v>1004</v>
      </c>
      <c r="C71" s="23" t="s">
        <v>1005</v>
      </c>
      <c r="D71" s="23" t="n">
        <v>0</v>
      </c>
      <c r="E71" s="23" t="n">
        <v>0</v>
      </c>
      <c r="F71" s="11" t="s">
        <v>873</v>
      </c>
    </row>
    <row r="72" customFormat="false" ht="15" hidden="false" customHeight="true" outlineLevel="0" collapsed="false">
      <c r="A72" s="23" t="n">
        <v>69</v>
      </c>
      <c r="B72" s="23" t="s">
        <v>1006</v>
      </c>
      <c r="C72" s="23" t="s">
        <v>1007</v>
      </c>
      <c r="D72" s="23" t="n">
        <v>0</v>
      </c>
      <c r="E72" s="23" t="n">
        <v>0</v>
      </c>
      <c r="F72" s="11" t="s">
        <v>873</v>
      </c>
    </row>
    <row r="73" customFormat="false" ht="15" hidden="false" customHeight="true" outlineLevel="0" collapsed="false">
      <c r="A73" s="23" t="n">
        <v>70</v>
      </c>
      <c r="B73" s="23" t="s">
        <v>1008</v>
      </c>
      <c r="C73" s="23" t="s">
        <v>1007</v>
      </c>
      <c r="D73" s="23" t="n">
        <v>0</v>
      </c>
      <c r="E73" s="23" t="n">
        <v>0</v>
      </c>
      <c r="F73" s="11" t="s">
        <v>873</v>
      </c>
    </row>
    <row r="74" customFormat="false" ht="15" hidden="false" customHeight="true" outlineLevel="0" collapsed="false">
      <c r="A74" s="23" t="n">
        <v>71</v>
      </c>
      <c r="B74" s="23" t="s">
        <v>1009</v>
      </c>
      <c r="C74" s="23" t="s">
        <v>1007</v>
      </c>
      <c r="D74" s="23" t="n">
        <v>0</v>
      </c>
      <c r="E74" s="23" t="n">
        <v>0</v>
      </c>
      <c r="F74" s="11" t="s">
        <v>873</v>
      </c>
    </row>
    <row r="75" customFormat="false" ht="15" hidden="false" customHeight="true" outlineLevel="0" collapsed="false">
      <c r="A75" s="23" t="n">
        <v>72</v>
      </c>
      <c r="B75" s="23" t="s">
        <v>1010</v>
      </c>
      <c r="C75" s="23" t="s">
        <v>1007</v>
      </c>
      <c r="D75" s="23" t="n">
        <v>0</v>
      </c>
      <c r="E75" s="23" t="n">
        <v>0</v>
      </c>
      <c r="F75" s="11" t="s">
        <v>873</v>
      </c>
    </row>
    <row r="76" customFormat="false" ht="15" hidden="false" customHeight="true" outlineLevel="0" collapsed="false">
      <c r="A76" s="23" t="n">
        <v>73</v>
      </c>
      <c r="B76" s="23" t="s">
        <v>1011</v>
      </c>
      <c r="C76" s="23" t="s">
        <v>1007</v>
      </c>
      <c r="D76" s="23" t="n">
        <v>0</v>
      </c>
      <c r="E76" s="23" t="n">
        <v>0</v>
      </c>
      <c r="F76" s="11" t="s">
        <v>873</v>
      </c>
    </row>
    <row r="77" customFormat="false" ht="15" hidden="false" customHeight="true" outlineLevel="0" collapsed="false">
      <c r="A77" s="23" t="n">
        <v>74</v>
      </c>
      <c r="B77" s="23" t="s">
        <v>1012</v>
      </c>
      <c r="C77" s="23" t="s">
        <v>1013</v>
      </c>
      <c r="D77" s="23" t="n">
        <v>3</v>
      </c>
      <c r="E77" s="23" t="n">
        <v>2</v>
      </c>
      <c r="F77" s="11" t="s">
        <v>971</v>
      </c>
    </row>
    <row r="78" customFormat="false" ht="15" hidden="false" customHeight="true" outlineLevel="0" collapsed="false">
      <c r="A78" s="23" t="n">
        <v>75</v>
      </c>
      <c r="B78" s="23" t="s">
        <v>1014</v>
      </c>
      <c r="C78" s="23" t="s">
        <v>1015</v>
      </c>
      <c r="D78" s="23" t="n">
        <v>0</v>
      </c>
      <c r="E78" s="23" t="n">
        <v>0</v>
      </c>
      <c r="F78" s="11" t="s">
        <v>873</v>
      </c>
    </row>
    <row r="79" customFormat="false" ht="15" hidden="false" customHeight="true" outlineLevel="0" collapsed="false">
      <c r="A79" s="23" t="n">
        <v>76</v>
      </c>
      <c r="B79" s="23" t="s">
        <v>1016</v>
      </c>
      <c r="C79" s="23" t="s">
        <v>1017</v>
      </c>
      <c r="D79" s="23" t="n">
        <v>0</v>
      </c>
      <c r="E79" s="23" t="n">
        <v>0</v>
      </c>
      <c r="F79" s="11" t="s">
        <v>873</v>
      </c>
    </row>
    <row r="80" customFormat="false" ht="15" hidden="false" customHeight="true" outlineLevel="0" collapsed="false">
      <c r="A80" s="23" t="n">
        <v>77</v>
      </c>
      <c r="B80" s="23" t="s">
        <v>1018</v>
      </c>
      <c r="C80" s="23" t="s">
        <v>1019</v>
      </c>
      <c r="D80" s="23" t="n">
        <v>0</v>
      </c>
      <c r="E80" s="23" t="n">
        <v>0</v>
      </c>
      <c r="F80" s="11" t="s">
        <v>873</v>
      </c>
    </row>
    <row r="81" customFormat="false" ht="15" hidden="false" customHeight="true" outlineLevel="0" collapsed="false">
      <c r="A81" s="23" t="n">
        <v>78</v>
      </c>
      <c r="B81" s="23" t="s">
        <v>1020</v>
      </c>
      <c r="C81" s="23" t="s">
        <v>1021</v>
      </c>
      <c r="D81" s="23" t="n">
        <v>3</v>
      </c>
      <c r="E81" s="23" t="n">
        <v>2</v>
      </c>
      <c r="F81" s="11" t="s">
        <v>971</v>
      </c>
    </row>
    <row r="82" customFormat="false" ht="15" hidden="false" customHeight="true" outlineLevel="0" collapsed="false">
      <c r="A82" s="23" t="n">
        <v>79</v>
      </c>
      <c r="B82" s="23" t="s">
        <v>1022</v>
      </c>
      <c r="C82" s="23" t="s">
        <v>1023</v>
      </c>
      <c r="D82" s="23" t="n">
        <v>0</v>
      </c>
      <c r="E82" s="23" t="n">
        <v>0</v>
      </c>
      <c r="F82" s="11" t="s">
        <v>873</v>
      </c>
    </row>
    <row r="83" customFormat="false" ht="15" hidden="false" customHeight="true" outlineLevel="0" collapsed="false">
      <c r="A83" s="23" t="n">
        <v>80</v>
      </c>
      <c r="B83" s="23" t="s">
        <v>1024</v>
      </c>
      <c r="C83" s="23" t="s">
        <v>1025</v>
      </c>
      <c r="D83" s="23" t="n">
        <v>1</v>
      </c>
      <c r="E83" s="23" t="n">
        <v>1</v>
      </c>
      <c r="F83" s="11" t="s">
        <v>904</v>
      </c>
    </row>
    <row r="84" customFormat="false" ht="15" hidden="false" customHeight="true" outlineLevel="0" collapsed="false">
      <c r="A84" s="23" t="n">
        <v>81</v>
      </c>
      <c r="B84" s="23" t="s">
        <v>1026</v>
      </c>
      <c r="C84" s="23" t="s">
        <v>1027</v>
      </c>
      <c r="D84" s="23" t="n">
        <v>1</v>
      </c>
      <c r="E84" s="23" t="n">
        <v>1</v>
      </c>
      <c r="F84" s="11" t="s">
        <v>904</v>
      </c>
    </row>
    <row r="85" customFormat="false" ht="15" hidden="false" customHeight="true" outlineLevel="0" collapsed="false">
      <c r="A85" s="23" t="n">
        <v>82</v>
      </c>
      <c r="B85" s="23" t="s">
        <v>1028</v>
      </c>
      <c r="C85" s="23" t="s">
        <v>1029</v>
      </c>
      <c r="D85" s="23" t="n">
        <v>0</v>
      </c>
      <c r="E85" s="23" t="n">
        <v>0</v>
      </c>
      <c r="F85" s="11" t="s">
        <v>873</v>
      </c>
    </row>
    <row r="86" customFormat="false" ht="15" hidden="false" customHeight="true" outlineLevel="0" collapsed="false">
      <c r="A86" s="23" t="n">
        <v>83</v>
      </c>
      <c r="B86" s="23" t="s">
        <v>1030</v>
      </c>
      <c r="C86" s="23" t="s">
        <v>1031</v>
      </c>
      <c r="D86" s="23" t="n">
        <v>0</v>
      </c>
      <c r="E86" s="23" t="n">
        <v>0</v>
      </c>
      <c r="F86" s="11" t="s">
        <v>873</v>
      </c>
    </row>
    <row r="87" customFormat="false" ht="15" hidden="false" customHeight="true" outlineLevel="0" collapsed="false">
      <c r="A87" s="23" t="n">
        <v>84</v>
      </c>
      <c r="B87" s="23" t="s">
        <v>1032</v>
      </c>
      <c r="C87" s="23" t="s">
        <v>1033</v>
      </c>
      <c r="D87" s="23" t="n">
        <v>0</v>
      </c>
      <c r="E87" s="23" t="n">
        <v>0</v>
      </c>
      <c r="F87" s="11" t="s">
        <v>873</v>
      </c>
    </row>
    <row r="88" customFormat="false" ht="15" hidden="false" customHeight="true" outlineLevel="0" collapsed="false">
      <c r="A88" s="23" t="n">
        <v>85</v>
      </c>
      <c r="B88" s="23" t="s">
        <v>1034</v>
      </c>
      <c r="C88" s="23" t="s">
        <v>1035</v>
      </c>
      <c r="D88" s="23" t="n">
        <v>0</v>
      </c>
      <c r="E88" s="23" t="n">
        <v>0</v>
      </c>
      <c r="F88" s="11" t="s">
        <v>873</v>
      </c>
    </row>
    <row r="89" customFormat="false" ht="15" hidden="false" customHeight="true" outlineLevel="0" collapsed="false">
      <c r="A89" s="23" t="n">
        <v>86</v>
      </c>
      <c r="B89" s="23" t="s">
        <v>1036</v>
      </c>
      <c r="C89" s="23" t="s">
        <v>1037</v>
      </c>
      <c r="D89" s="23" t="n">
        <v>0</v>
      </c>
      <c r="E89" s="23" t="n">
        <v>0</v>
      </c>
      <c r="F89" s="11" t="s">
        <v>873</v>
      </c>
    </row>
    <row r="90" customFormat="false" ht="15" hidden="false" customHeight="true" outlineLevel="0" collapsed="false">
      <c r="A90" s="23" t="n">
        <v>87</v>
      </c>
      <c r="B90" s="23" t="s">
        <v>1038</v>
      </c>
      <c r="C90" s="23" t="s">
        <v>1039</v>
      </c>
      <c r="D90" s="23" t="n">
        <v>1</v>
      </c>
      <c r="E90" s="23" t="n">
        <v>1</v>
      </c>
      <c r="F90" s="11" t="s">
        <v>904</v>
      </c>
    </row>
    <row r="91" customFormat="false" ht="15" hidden="false" customHeight="true" outlineLevel="0" collapsed="false">
      <c r="A91" s="23" t="n">
        <v>88</v>
      </c>
      <c r="B91" s="23" t="s">
        <v>1040</v>
      </c>
      <c r="C91" s="23" t="s">
        <v>1035</v>
      </c>
      <c r="D91" s="23" t="n">
        <v>0</v>
      </c>
      <c r="E91" s="23" t="n">
        <v>0</v>
      </c>
      <c r="F91" s="11" t="s">
        <v>873</v>
      </c>
    </row>
    <row r="92" customFormat="false" ht="15" hidden="false" customHeight="true" outlineLevel="0" collapsed="false">
      <c r="A92" s="23" t="n">
        <v>89</v>
      </c>
      <c r="B92" s="23" t="s">
        <v>1041</v>
      </c>
      <c r="C92" s="23" t="s">
        <v>1042</v>
      </c>
      <c r="D92" s="23" t="n">
        <v>0</v>
      </c>
      <c r="E92" s="23" t="n">
        <v>0</v>
      </c>
      <c r="F92" s="11" t="s">
        <v>873</v>
      </c>
    </row>
    <row r="93" customFormat="false" ht="15" hidden="false" customHeight="true" outlineLevel="0" collapsed="false">
      <c r="A93" s="23" t="n">
        <v>90</v>
      </c>
      <c r="B93" s="23" t="s">
        <v>1043</v>
      </c>
      <c r="C93" s="23" t="s">
        <v>1044</v>
      </c>
      <c r="D93" s="23" t="n">
        <v>0</v>
      </c>
      <c r="E93" s="23" t="n">
        <v>0</v>
      </c>
      <c r="F93" s="11" t="s">
        <v>873</v>
      </c>
    </row>
    <row r="94" customFormat="false" ht="15" hidden="false" customHeight="true" outlineLevel="0" collapsed="false">
      <c r="A94" s="23" t="n">
        <v>91</v>
      </c>
      <c r="B94" s="23" t="s">
        <v>1045</v>
      </c>
      <c r="C94" s="23" t="s">
        <v>1046</v>
      </c>
      <c r="D94" s="23" t="n">
        <v>0</v>
      </c>
      <c r="E94" s="23" t="n">
        <v>0</v>
      </c>
      <c r="F94" s="11" t="s">
        <v>873</v>
      </c>
    </row>
    <row r="95" customFormat="false" ht="15" hidden="false" customHeight="true" outlineLevel="0" collapsed="false">
      <c r="A95" s="23" t="n">
        <v>92</v>
      </c>
      <c r="B95" s="23" t="s">
        <v>1047</v>
      </c>
      <c r="C95" s="23" t="s">
        <v>1048</v>
      </c>
      <c r="D95" s="23" t="n">
        <v>0</v>
      </c>
      <c r="E95" s="23" t="n">
        <v>0</v>
      </c>
      <c r="F95" s="11" t="s">
        <v>873</v>
      </c>
    </row>
    <row r="96" customFormat="false" ht="15" hidden="false" customHeight="true" outlineLevel="0" collapsed="false">
      <c r="A96" s="23" t="n">
        <v>93</v>
      </c>
      <c r="B96" s="23" t="s">
        <v>1049</v>
      </c>
      <c r="C96" s="23" t="s">
        <v>1050</v>
      </c>
      <c r="D96" s="23" t="n">
        <v>0</v>
      </c>
      <c r="E96" s="23" t="n">
        <v>0</v>
      </c>
      <c r="F96" s="11" t="s">
        <v>873</v>
      </c>
    </row>
    <row r="97" customFormat="false" ht="15" hidden="false" customHeight="true" outlineLevel="0" collapsed="false">
      <c r="A97" s="23" t="n">
        <v>94</v>
      </c>
      <c r="B97" s="23" t="s">
        <v>1051</v>
      </c>
      <c r="C97" s="23" t="s">
        <v>1052</v>
      </c>
      <c r="D97" s="23" t="n">
        <v>0</v>
      </c>
      <c r="E97" s="23" t="n">
        <v>0</v>
      </c>
      <c r="F97" s="11" t="s">
        <v>873</v>
      </c>
    </row>
    <row r="98" customFormat="false" ht="15" hidden="false" customHeight="true" outlineLevel="0" collapsed="false">
      <c r="A98" s="23" t="n">
        <v>95</v>
      </c>
      <c r="B98" s="23" t="s">
        <v>1053</v>
      </c>
      <c r="C98" s="23" t="s">
        <v>1054</v>
      </c>
      <c r="D98" s="23" t="n">
        <v>0</v>
      </c>
      <c r="E98" s="23" t="n">
        <v>0</v>
      </c>
      <c r="F98" s="11" t="s">
        <v>873</v>
      </c>
    </row>
    <row r="99" customFormat="false" ht="15" hidden="false" customHeight="true" outlineLevel="0" collapsed="false">
      <c r="A99" s="23" t="n">
        <v>96</v>
      </c>
      <c r="B99" s="23" t="s">
        <v>1055</v>
      </c>
      <c r="C99" s="23" t="s">
        <v>1056</v>
      </c>
      <c r="D99" s="23" t="n">
        <v>0</v>
      </c>
      <c r="E99" s="23" t="n">
        <v>0</v>
      </c>
      <c r="F99" s="11" t="s">
        <v>873</v>
      </c>
    </row>
    <row r="100" customFormat="false" ht="15" hidden="false" customHeight="true" outlineLevel="0" collapsed="false">
      <c r="A100" s="23" t="n">
        <v>97</v>
      </c>
      <c r="B100" s="23" t="s">
        <v>1057</v>
      </c>
      <c r="C100" s="23" t="s">
        <v>1058</v>
      </c>
      <c r="D100" s="23" t="n">
        <v>0</v>
      </c>
      <c r="E100" s="23" t="n">
        <v>0</v>
      </c>
      <c r="F100" s="11" t="s">
        <v>873</v>
      </c>
    </row>
    <row r="101" customFormat="false" ht="15" hidden="false" customHeight="true" outlineLevel="0" collapsed="false">
      <c r="A101" s="23" t="n">
        <v>98</v>
      </c>
      <c r="B101" s="23" t="s">
        <v>1059</v>
      </c>
      <c r="C101" s="23" t="s">
        <v>1060</v>
      </c>
      <c r="D101" s="23" t="n">
        <v>2</v>
      </c>
      <c r="E101" s="23" t="n">
        <v>1</v>
      </c>
      <c r="F101" s="11" t="s">
        <v>901</v>
      </c>
    </row>
    <row r="102" customFormat="false" ht="15" hidden="false" customHeight="true" outlineLevel="0" collapsed="false">
      <c r="A102" s="23" t="n">
        <v>99</v>
      </c>
      <c r="B102" s="23" t="s">
        <v>1061</v>
      </c>
      <c r="C102" s="23" t="s">
        <v>1062</v>
      </c>
      <c r="D102" s="23" t="n">
        <v>2</v>
      </c>
      <c r="E102" s="23" t="n">
        <v>1</v>
      </c>
      <c r="F102" s="11" t="s">
        <v>901</v>
      </c>
    </row>
    <row r="103" customFormat="false" ht="15" hidden="false" customHeight="true" outlineLevel="0" collapsed="false">
      <c r="A103" s="23" t="n">
        <v>100</v>
      </c>
      <c r="B103" s="23" t="s">
        <v>1063</v>
      </c>
      <c r="C103" s="23" t="s">
        <v>1064</v>
      </c>
      <c r="D103" s="23" t="n">
        <v>2</v>
      </c>
      <c r="E103" s="23" t="n">
        <v>1</v>
      </c>
      <c r="F103" s="11" t="s">
        <v>901</v>
      </c>
    </row>
    <row r="104" customFormat="false" ht="15" hidden="false" customHeight="true" outlineLevel="0" collapsed="false">
      <c r="A104" s="23" t="n">
        <v>101</v>
      </c>
      <c r="B104" s="23" t="s">
        <v>1065</v>
      </c>
      <c r="C104" s="23" t="s">
        <v>1066</v>
      </c>
      <c r="D104" s="23" t="n">
        <v>0</v>
      </c>
      <c r="E104" s="23" t="n">
        <v>0</v>
      </c>
      <c r="F104" s="11" t="s">
        <v>873</v>
      </c>
    </row>
    <row r="105" customFormat="false" ht="15" hidden="false" customHeight="true" outlineLevel="0" collapsed="false">
      <c r="A105" s="23" t="n">
        <v>102</v>
      </c>
      <c r="B105" s="23" t="s">
        <v>1067</v>
      </c>
      <c r="C105" s="23" t="s">
        <v>1068</v>
      </c>
      <c r="D105" s="23" t="n">
        <v>0</v>
      </c>
      <c r="E105" s="23" t="n">
        <v>0</v>
      </c>
      <c r="F105" s="11" t="s">
        <v>873</v>
      </c>
    </row>
    <row r="106" customFormat="false" ht="15" hidden="false" customHeight="true" outlineLevel="0" collapsed="false">
      <c r="A106" s="23" t="n">
        <v>103</v>
      </c>
      <c r="B106" s="23" t="s">
        <v>1069</v>
      </c>
      <c r="C106" s="23" t="s">
        <v>1070</v>
      </c>
      <c r="D106" s="23" t="n">
        <v>0</v>
      </c>
      <c r="E106" s="23" t="n">
        <v>0</v>
      </c>
      <c r="F106" s="11" t="s">
        <v>873</v>
      </c>
    </row>
    <row r="107" customFormat="false" ht="15" hidden="false" customHeight="true" outlineLevel="0" collapsed="false">
      <c r="A107" s="23" t="n">
        <v>104</v>
      </c>
      <c r="B107" s="23" t="s">
        <v>1071</v>
      </c>
      <c r="C107" s="23" t="s">
        <v>1072</v>
      </c>
      <c r="D107" s="23" t="n">
        <v>0</v>
      </c>
      <c r="E107" s="23" t="n">
        <v>0</v>
      </c>
      <c r="F107" s="11" t="s">
        <v>873</v>
      </c>
    </row>
    <row r="108" customFormat="false" ht="15" hidden="false" customHeight="true" outlineLevel="0" collapsed="false">
      <c r="A108" s="23" t="n">
        <v>105</v>
      </c>
      <c r="B108" s="23" t="s">
        <v>1073</v>
      </c>
      <c r="C108" s="23" t="s">
        <v>1074</v>
      </c>
      <c r="D108" s="23" t="n">
        <v>0</v>
      </c>
      <c r="E108" s="23" t="n">
        <v>0</v>
      </c>
      <c r="F108" s="11" t="s">
        <v>873</v>
      </c>
    </row>
    <row r="109" customFormat="false" ht="15" hidden="false" customHeight="true" outlineLevel="0" collapsed="false">
      <c r="A109" s="23" t="n">
        <v>106</v>
      </c>
      <c r="B109" s="23" t="s">
        <v>1075</v>
      </c>
      <c r="C109" s="23" t="s">
        <v>1076</v>
      </c>
      <c r="D109" s="23" t="n">
        <v>0</v>
      </c>
      <c r="E109" s="23" t="n">
        <v>0</v>
      </c>
      <c r="F109" s="11" t="s">
        <v>873</v>
      </c>
    </row>
    <row r="110" customFormat="false" ht="15" hidden="false" customHeight="true" outlineLevel="0" collapsed="false">
      <c r="A110" s="23" t="n">
        <v>107</v>
      </c>
      <c r="B110" s="23" t="s">
        <v>1077</v>
      </c>
      <c r="C110" s="23" t="s">
        <v>1078</v>
      </c>
      <c r="D110" s="23" t="n">
        <v>0</v>
      </c>
      <c r="E110" s="23" t="n">
        <v>0</v>
      </c>
      <c r="F110" s="11" t="s">
        <v>873</v>
      </c>
    </row>
    <row r="111" customFormat="false" ht="15" hidden="false" customHeight="true" outlineLevel="0" collapsed="false">
      <c r="A111" s="23" t="n">
        <v>108</v>
      </c>
      <c r="B111" s="23" t="s">
        <v>1079</v>
      </c>
      <c r="C111" s="23" t="s">
        <v>1080</v>
      </c>
      <c r="D111" s="23" t="n">
        <v>0</v>
      </c>
      <c r="E111" s="23" t="n">
        <v>0</v>
      </c>
      <c r="F111" s="11" t="s">
        <v>873</v>
      </c>
    </row>
    <row r="112" customFormat="false" ht="15" hidden="false" customHeight="true" outlineLevel="0" collapsed="false">
      <c r="A112" s="23" t="n">
        <v>109</v>
      </c>
      <c r="B112" s="23" t="s">
        <v>1081</v>
      </c>
      <c r="C112" s="23" t="s">
        <v>1082</v>
      </c>
      <c r="D112" s="23" t="n">
        <v>101</v>
      </c>
      <c r="E112" s="23" t="n">
        <v>3</v>
      </c>
      <c r="F112" s="11" t="s">
        <v>1083</v>
      </c>
    </row>
    <row r="113" customFormat="false" ht="15" hidden="false" customHeight="true" outlineLevel="0" collapsed="false">
      <c r="A113" s="23" t="n">
        <v>110</v>
      </c>
      <c r="B113" s="23" t="s">
        <v>1084</v>
      </c>
      <c r="C113" s="23" t="s">
        <v>1085</v>
      </c>
      <c r="D113" s="23" t="n">
        <v>0</v>
      </c>
      <c r="E113" s="23" t="n">
        <v>0</v>
      </c>
      <c r="F113" s="11" t="s">
        <v>873</v>
      </c>
    </row>
    <row r="114" customFormat="false" ht="15" hidden="false" customHeight="true" outlineLevel="0" collapsed="false">
      <c r="A114" s="23" t="n">
        <v>111</v>
      </c>
      <c r="B114" s="23" t="s">
        <v>1086</v>
      </c>
      <c r="C114" s="23" t="s">
        <v>1087</v>
      </c>
      <c r="D114" s="23" t="n">
        <v>0</v>
      </c>
      <c r="E114" s="23" t="n">
        <v>0</v>
      </c>
      <c r="F114" s="11" t="s">
        <v>873</v>
      </c>
    </row>
    <row r="115" customFormat="false" ht="15" hidden="false" customHeight="true" outlineLevel="0" collapsed="false">
      <c r="A115" s="23" t="n">
        <v>112</v>
      </c>
      <c r="B115" s="23" t="s">
        <v>1088</v>
      </c>
      <c r="C115" s="23" t="s">
        <v>1089</v>
      </c>
      <c r="D115" s="23" t="n">
        <v>0</v>
      </c>
      <c r="E115" s="23" t="n">
        <v>0</v>
      </c>
      <c r="F115" s="11" t="s">
        <v>873</v>
      </c>
    </row>
    <row r="116" customFormat="false" ht="15" hidden="false" customHeight="true" outlineLevel="0" collapsed="false">
      <c r="A116" s="23" t="n">
        <v>113</v>
      </c>
      <c r="B116" s="23" t="s">
        <v>1090</v>
      </c>
      <c r="C116" s="23" t="s">
        <v>1091</v>
      </c>
      <c r="D116" s="23" t="n">
        <v>0</v>
      </c>
      <c r="E116" s="23" t="n">
        <v>0</v>
      </c>
      <c r="F116" s="11" t="s">
        <v>873</v>
      </c>
    </row>
    <row r="117" customFormat="false" ht="15" hidden="false" customHeight="true" outlineLevel="0" collapsed="false">
      <c r="A117" s="23" t="n">
        <v>114</v>
      </c>
      <c r="B117" s="23" t="s">
        <v>624</v>
      </c>
      <c r="C117" s="23" t="s">
        <v>1092</v>
      </c>
      <c r="D117" s="23" t="n">
        <v>0</v>
      </c>
      <c r="E117" s="23" t="n">
        <v>0</v>
      </c>
      <c r="F117" s="11" t="s">
        <v>873</v>
      </c>
    </row>
    <row r="118" customFormat="false" ht="15" hidden="false" customHeight="true" outlineLevel="0" collapsed="false">
      <c r="A118" s="23" t="n">
        <v>115</v>
      </c>
      <c r="B118" s="23" t="s">
        <v>1093</v>
      </c>
      <c r="C118" s="23" t="s">
        <v>1094</v>
      </c>
      <c r="D118" s="23" t="n">
        <v>0</v>
      </c>
      <c r="E118" s="23" t="n">
        <v>0</v>
      </c>
      <c r="F118" s="11" t="s">
        <v>873</v>
      </c>
    </row>
    <row r="119" customFormat="false" ht="15" hidden="false" customHeight="true" outlineLevel="0" collapsed="false">
      <c r="A119" s="23" t="n">
        <v>116</v>
      </c>
      <c r="B119" s="23" t="s">
        <v>1095</v>
      </c>
      <c r="C119" s="23" t="s">
        <v>1096</v>
      </c>
      <c r="D119" s="23" t="n">
        <v>0</v>
      </c>
      <c r="E119" s="23" t="n">
        <v>0</v>
      </c>
      <c r="F119" s="11" t="s">
        <v>873</v>
      </c>
    </row>
    <row r="120" customFormat="false" ht="15" hidden="false" customHeight="true" outlineLevel="0" collapsed="false">
      <c r="A120" s="23" t="n">
        <v>117</v>
      </c>
      <c r="B120" s="23" t="s">
        <v>1097</v>
      </c>
      <c r="C120" s="23" t="s">
        <v>1098</v>
      </c>
      <c r="D120" s="23" t="n">
        <v>0</v>
      </c>
      <c r="E120" s="23" t="n">
        <v>0</v>
      </c>
      <c r="F120" s="11" t="s">
        <v>873</v>
      </c>
    </row>
    <row r="121" customFormat="false" ht="15" hidden="false" customHeight="true" outlineLevel="0" collapsed="false">
      <c r="A121" s="23" t="n">
        <v>118</v>
      </c>
      <c r="B121" s="23" t="s">
        <v>1099</v>
      </c>
      <c r="C121" s="23" t="s">
        <v>1100</v>
      </c>
      <c r="D121" s="23" t="n">
        <v>0</v>
      </c>
      <c r="E121" s="23" t="n">
        <v>0</v>
      </c>
      <c r="F121" s="11" t="s">
        <v>873</v>
      </c>
    </row>
    <row r="122" customFormat="false" ht="15" hidden="false" customHeight="true" outlineLevel="0" collapsed="false">
      <c r="A122" s="23" t="n">
        <v>119</v>
      </c>
      <c r="B122" s="23" t="s">
        <v>1101</v>
      </c>
      <c r="C122" s="23" t="s">
        <v>1102</v>
      </c>
      <c r="D122" s="23" t="n">
        <v>0</v>
      </c>
      <c r="E122" s="23" t="n">
        <v>0</v>
      </c>
      <c r="F122" s="11" t="s">
        <v>873</v>
      </c>
    </row>
    <row r="123" customFormat="false" ht="15" hidden="false" customHeight="true" outlineLevel="0" collapsed="false">
      <c r="A123" s="23" t="n">
        <v>120</v>
      </c>
      <c r="B123" s="23" t="s">
        <v>1103</v>
      </c>
      <c r="C123" s="23" t="s">
        <v>1104</v>
      </c>
      <c r="D123" s="23" t="n">
        <v>0</v>
      </c>
      <c r="E123" s="23" t="n">
        <v>0</v>
      </c>
      <c r="F123" s="11" t="s">
        <v>873</v>
      </c>
    </row>
    <row r="124" customFormat="false" ht="15" hidden="false" customHeight="true" outlineLevel="0" collapsed="false">
      <c r="A124" s="23" t="n">
        <v>121</v>
      </c>
      <c r="B124" s="23" t="s">
        <v>1105</v>
      </c>
      <c r="C124" s="23" t="s">
        <v>1106</v>
      </c>
      <c r="D124" s="23" t="n">
        <v>0</v>
      </c>
      <c r="E124" s="23" t="n">
        <v>0</v>
      </c>
      <c r="F124" s="11" t="s">
        <v>873</v>
      </c>
    </row>
    <row r="125" customFormat="false" ht="15" hidden="false" customHeight="true" outlineLevel="0" collapsed="false">
      <c r="A125" s="23" t="n">
        <v>122</v>
      </c>
      <c r="B125" s="23" t="s">
        <v>1107</v>
      </c>
      <c r="C125" s="23" t="s">
        <v>1108</v>
      </c>
      <c r="D125" s="23" t="n">
        <v>0</v>
      </c>
      <c r="E125" s="23" t="n">
        <v>0</v>
      </c>
      <c r="F125" s="11" t="s">
        <v>873</v>
      </c>
    </row>
    <row r="126" customFormat="false" ht="15" hidden="false" customHeight="true" outlineLevel="0" collapsed="false">
      <c r="A126" s="23" t="n">
        <v>123</v>
      </c>
      <c r="B126" s="23" t="s">
        <v>1109</v>
      </c>
      <c r="C126" s="23" t="s">
        <v>1110</v>
      </c>
      <c r="D126" s="23" t="n">
        <v>0</v>
      </c>
      <c r="E126" s="23" t="n">
        <v>0</v>
      </c>
      <c r="F126" s="11" t="s">
        <v>873</v>
      </c>
    </row>
    <row r="127" customFormat="false" ht="15" hidden="false" customHeight="true" outlineLevel="0" collapsed="false">
      <c r="A127" s="23" t="n">
        <v>124</v>
      </c>
      <c r="B127" s="23" t="s">
        <v>684</v>
      </c>
      <c r="C127" s="23" t="s">
        <v>1111</v>
      </c>
      <c r="D127" s="23" t="n">
        <v>0</v>
      </c>
      <c r="E127" s="23" t="n">
        <v>0</v>
      </c>
      <c r="F127" s="11" t="s">
        <v>873</v>
      </c>
    </row>
    <row r="128" customFormat="false" ht="15" hidden="false" customHeight="true" outlineLevel="0" collapsed="false">
      <c r="A128" s="23" t="n">
        <v>125</v>
      </c>
      <c r="B128" s="23" t="s">
        <v>1112</v>
      </c>
      <c r="C128" s="23" t="s">
        <v>1113</v>
      </c>
      <c r="D128" s="23" t="n">
        <v>0</v>
      </c>
      <c r="E128" s="23" t="n">
        <v>0</v>
      </c>
      <c r="F128" s="11" t="s">
        <v>873</v>
      </c>
    </row>
    <row r="129" customFormat="false" ht="15" hidden="false" customHeight="true" outlineLevel="0" collapsed="false">
      <c r="A129" s="23" t="n">
        <v>126</v>
      </c>
      <c r="B129" s="23" t="s">
        <v>1114</v>
      </c>
      <c r="C129" s="23" t="s">
        <v>1115</v>
      </c>
      <c r="D129" s="23" t="n">
        <v>0</v>
      </c>
      <c r="E129" s="23" t="n">
        <v>0</v>
      </c>
      <c r="F129" s="11" t="s">
        <v>873</v>
      </c>
    </row>
    <row r="130" customFormat="false" ht="15" hidden="false" customHeight="true" outlineLevel="0" collapsed="false">
      <c r="A130" s="23" t="n">
        <v>127</v>
      </c>
      <c r="B130" s="23" t="s">
        <v>1116</v>
      </c>
      <c r="C130" s="23" t="s">
        <v>1117</v>
      </c>
      <c r="D130" s="23" t="n">
        <v>0</v>
      </c>
      <c r="E130" s="23" t="n">
        <v>0</v>
      </c>
      <c r="F130" s="11" t="s">
        <v>873</v>
      </c>
    </row>
    <row r="131" customFormat="false" ht="15" hidden="false" customHeight="true" outlineLevel="0" collapsed="false">
      <c r="A131" s="23" t="n">
        <v>128</v>
      </c>
      <c r="B131" s="23" t="s">
        <v>1118</v>
      </c>
      <c r="C131" s="23" t="s">
        <v>1119</v>
      </c>
      <c r="D131" s="23" t="n">
        <v>0</v>
      </c>
      <c r="E131" s="23" t="n">
        <v>0</v>
      </c>
      <c r="F131" s="11" t="s">
        <v>873</v>
      </c>
    </row>
    <row r="132" customFormat="false" ht="15" hidden="false" customHeight="true" outlineLevel="0" collapsed="false">
      <c r="A132" s="23" t="n">
        <v>129</v>
      </c>
      <c r="B132" s="23" t="s">
        <v>1120</v>
      </c>
      <c r="C132" s="23" t="s">
        <v>1121</v>
      </c>
      <c r="D132" s="23" t="n">
        <v>0</v>
      </c>
      <c r="E132" s="23" t="n">
        <v>0</v>
      </c>
      <c r="F132" s="11" t="s">
        <v>873</v>
      </c>
    </row>
    <row r="133" customFormat="false" ht="15" hidden="false" customHeight="true" outlineLevel="0" collapsed="false">
      <c r="A133" s="23" t="n">
        <v>130</v>
      </c>
      <c r="B133" s="23" t="s">
        <v>1122</v>
      </c>
      <c r="C133" s="23" t="s">
        <v>1123</v>
      </c>
      <c r="D133" s="23" t="n">
        <v>0</v>
      </c>
      <c r="E133" s="23" t="n">
        <v>0</v>
      </c>
      <c r="F133" s="11" t="s">
        <v>873</v>
      </c>
    </row>
    <row r="134" customFormat="false" ht="15" hidden="false" customHeight="true" outlineLevel="0" collapsed="false">
      <c r="A134" s="23" t="n">
        <v>131</v>
      </c>
      <c r="B134" s="23" t="s">
        <v>673</v>
      </c>
      <c r="C134" s="23" t="s">
        <v>676</v>
      </c>
      <c r="D134" s="23" t="n">
        <v>0</v>
      </c>
      <c r="E134" s="23" t="n">
        <v>0</v>
      </c>
      <c r="F134" s="11" t="s">
        <v>873</v>
      </c>
    </row>
    <row r="135" customFormat="false" ht="15" hidden="false" customHeight="true" outlineLevel="0" collapsed="false">
      <c r="A135" s="23" t="n">
        <v>132</v>
      </c>
      <c r="B135" s="23" t="s">
        <v>1124</v>
      </c>
      <c r="C135" s="23" t="s">
        <v>1125</v>
      </c>
      <c r="D135" s="23" t="n">
        <v>0</v>
      </c>
      <c r="E135" s="23" t="n">
        <v>0</v>
      </c>
      <c r="F135" s="11" t="s">
        <v>873</v>
      </c>
    </row>
    <row r="136" customFormat="false" ht="15" hidden="false" customHeight="true" outlineLevel="0" collapsed="false">
      <c r="A136" s="23" t="n">
        <v>133</v>
      </c>
      <c r="B136" s="23" t="s">
        <v>1126</v>
      </c>
      <c r="C136" s="23" t="s">
        <v>1127</v>
      </c>
      <c r="D136" s="23" t="n">
        <v>0</v>
      </c>
      <c r="E136" s="23" t="n">
        <v>0</v>
      </c>
      <c r="F136" s="11" t="s">
        <v>873</v>
      </c>
    </row>
    <row r="137" customFormat="false" ht="15" hidden="false" customHeight="true" outlineLevel="0" collapsed="false">
      <c r="A137" s="23" t="n">
        <v>134</v>
      </c>
      <c r="B137" s="23" t="s">
        <v>1128</v>
      </c>
      <c r="C137" s="23" t="s">
        <v>1129</v>
      </c>
      <c r="D137" s="23" t="n">
        <v>0</v>
      </c>
      <c r="E137" s="23" t="n">
        <v>0</v>
      </c>
      <c r="F137" s="11" t="s">
        <v>873</v>
      </c>
    </row>
    <row r="138" customFormat="false" ht="15" hidden="false" customHeight="true" outlineLevel="0" collapsed="false">
      <c r="A138" s="23" t="n">
        <v>135</v>
      </c>
      <c r="B138" s="23" t="s">
        <v>1130</v>
      </c>
      <c r="C138" s="23" t="s">
        <v>1131</v>
      </c>
      <c r="D138" s="23" t="n">
        <v>0</v>
      </c>
      <c r="E138" s="23" t="n">
        <v>0</v>
      </c>
      <c r="F138" s="11" t="s">
        <v>873</v>
      </c>
    </row>
    <row r="139" customFormat="false" ht="15" hidden="false" customHeight="true" outlineLevel="0" collapsed="false">
      <c r="A139" s="23" t="n">
        <v>136</v>
      </c>
      <c r="B139" s="23" t="s">
        <v>1132</v>
      </c>
      <c r="C139" s="23" t="s">
        <v>1133</v>
      </c>
      <c r="D139" s="23" t="n">
        <v>0</v>
      </c>
      <c r="E139" s="23" t="n">
        <v>0</v>
      </c>
      <c r="F139" s="11" t="s">
        <v>873</v>
      </c>
    </row>
    <row r="140" customFormat="false" ht="15" hidden="false" customHeight="true" outlineLevel="0" collapsed="false">
      <c r="A140" s="23" t="n">
        <v>137</v>
      </c>
      <c r="B140" s="23" t="s">
        <v>1134</v>
      </c>
      <c r="C140" s="23" t="s">
        <v>1135</v>
      </c>
      <c r="D140" s="23" t="n">
        <v>0</v>
      </c>
      <c r="E140" s="23" t="n">
        <v>0</v>
      </c>
      <c r="F140" s="11" t="s">
        <v>873</v>
      </c>
    </row>
    <row r="141" customFormat="false" ht="15" hidden="false" customHeight="true" outlineLevel="0" collapsed="false">
      <c r="A141" s="23" t="n">
        <v>138</v>
      </c>
      <c r="B141" s="23" t="s">
        <v>1136</v>
      </c>
      <c r="C141" s="23"/>
      <c r="D141" s="23" t="n">
        <v>0</v>
      </c>
      <c r="E141" s="23" t="n">
        <v>0</v>
      </c>
      <c r="F141" s="11" t="s">
        <v>873</v>
      </c>
    </row>
    <row r="142" customFormat="false" ht="15" hidden="false" customHeight="true" outlineLevel="0" collapsed="false">
      <c r="A142" s="23" t="n">
        <v>139</v>
      </c>
      <c r="B142" s="23" t="s">
        <v>1137</v>
      </c>
      <c r="C142" s="23"/>
      <c r="D142" s="23" t="n">
        <v>0</v>
      </c>
      <c r="E142" s="23" t="n">
        <v>0</v>
      </c>
      <c r="F142" s="11" t="s">
        <v>873</v>
      </c>
    </row>
    <row r="143" customFormat="false" ht="15" hidden="false" customHeight="true" outlineLevel="0" collapsed="false">
      <c r="A143" s="23" t="n">
        <v>140</v>
      </c>
      <c r="B143" s="23" t="s">
        <v>1138</v>
      </c>
      <c r="C143" s="23"/>
      <c r="D143" s="23" t="n">
        <v>0</v>
      </c>
      <c r="E143" s="23" t="n">
        <v>0</v>
      </c>
      <c r="F143" s="11" t="s">
        <v>873</v>
      </c>
    </row>
    <row r="144" customFormat="false" ht="15" hidden="false" customHeight="true" outlineLevel="0" collapsed="false">
      <c r="A144" s="23" t="n">
        <v>141</v>
      </c>
      <c r="B144" s="23" t="s">
        <v>1139</v>
      </c>
      <c r="C144" s="23"/>
      <c r="D144" s="23" t="n">
        <v>0</v>
      </c>
      <c r="E144" s="23" t="n">
        <v>0</v>
      </c>
      <c r="F144" s="11" t="s">
        <v>873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19" t="s">
        <v>55</v>
      </c>
      <c r="B1" s="19" t="s">
        <v>56</v>
      </c>
      <c r="C1" s="19" t="s">
        <v>57</v>
      </c>
      <c r="D1" s="19" t="s">
        <v>58</v>
      </c>
      <c r="E1" s="24" t="s">
        <v>1140</v>
      </c>
      <c r="F1" s="24" t="s">
        <v>1141</v>
      </c>
      <c r="G1" s="24" t="s">
        <v>1142</v>
      </c>
      <c r="H1" s="24" t="s">
        <v>1143</v>
      </c>
      <c r="I1" s="24" t="s">
        <v>1144</v>
      </c>
      <c r="J1" s="24" t="s">
        <v>1145</v>
      </c>
      <c r="K1" s="25" t="s">
        <v>1146</v>
      </c>
      <c r="L1" s="21" t="s">
        <v>1147</v>
      </c>
      <c r="M1" s="21" t="s">
        <v>1148</v>
      </c>
      <c r="N1" s="21" t="s">
        <v>133</v>
      </c>
    </row>
    <row r="2" customFormat="false" ht="15" hidden="false" customHeight="true" outlineLevel="0" collapsed="false">
      <c r="A2" s="5" t="n">
        <v>164</v>
      </c>
      <c r="B2" s="5" t="n">
        <v>164</v>
      </c>
      <c r="C2" s="5" t="s">
        <v>1149</v>
      </c>
      <c r="D2" s="5" t="n">
        <v>2000</v>
      </c>
      <c r="E2" s="5" t="s">
        <v>1150</v>
      </c>
      <c r="F2" s="5" t="s">
        <v>1151</v>
      </c>
      <c r="G2" s="5" t="s">
        <v>1152</v>
      </c>
      <c r="H2" s="5" t="s">
        <v>1153</v>
      </c>
      <c r="I2" s="5" t="s">
        <v>1154</v>
      </c>
      <c r="J2" s="5"/>
      <c r="K2" s="5" t="s">
        <v>409</v>
      </c>
      <c r="L2" s="5" t="s">
        <v>1155</v>
      </c>
      <c r="M2" s="5" t="s">
        <v>1156</v>
      </c>
      <c r="N2" s="5" t="s">
        <v>409</v>
      </c>
    </row>
    <row r="3" customFormat="false" ht="15" hidden="false" customHeight="true" outlineLevel="0" collapsed="false">
      <c r="A3" s="5" t="n">
        <v>164</v>
      </c>
      <c r="B3" s="5" t="n">
        <v>164</v>
      </c>
      <c r="C3" s="5" t="s">
        <v>1149</v>
      </c>
      <c r="D3" s="5" t="n">
        <v>2000</v>
      </c>
      <c r="E3" s="5" t="s">
        <v>1157</v>
      </c>
      <c r="F3" s="5" t="s">
        <v>1158</v>
      </c>
      <c r="G3" s="5" t="s">
        <v>1152</v>
      </c>
      <c r="H3" s="5" t="s">
        <v>1159</v>
      </c>
      <c r="I3" s="5" t="s">
        <v>1154</v>
      </c>
      <c r="J3" s="5"/>
      <c r="K3" s="5" t="s">
        <v>409</v>
      </c>
      <c r="L3" s="5" t="s">
        <v>1160</v>
      </c>
      <c r="M3" s="5" t="s">
        <v>1156</v>
      </c>
      <c r="N3" s="5" t="s">
        <v>409</v>
      </c>
    </row>
    <row r="4" customFormat="false" ht="15" hidden="false" customHeight="true" outlineLevel="0" collapsed="false">
      <c r="A4" s="5" t="n">
        <v>164</v>
      </c>
      <c r="B4" s="5" t="n">
        <v>164</v>
      </c>
      <c r="C4" s="5" t="s">
        <v>1149</v>
      </c>
      <c r="D4" s="5" t="n">
        <v>2000</v>
      </c>
      <c r="E4" s="5" t="s">
        <v>1161</v>
      </c>
      <c r="F4" s="5" t="s">
        <v>1162</v>
      </c>
      <c r="G4" s="5" t="s">
        <v>1152</v>
      </c>
      <c r="H4" s="5" t="s">
        <v>1159</v>
      </c>
      <c r="I4" s="5" t="s">
        <v>1154</v>
      </c>
      <c r="J4" s="5"/>
      <c r="K4" s="5" t="s">
        <v>343</v>
      </c>
      <c r="L4" s="5" t="s">
        <v>1163</v>
      </c>
      <c r="M4" s="5" t="s">
        <v>1164</v>
      </c>
      <c r="N4" s="5" t="s">
        <v>861</v>
      </c>
    </row>
    <row r="5" customFormat="false" ht="15" hidden="false" customHeight="true" outlineLevel="0" collapsed="false">
      <c r="A5" s="5" t="n">
        <v>164</v>
      </c>
      <c r="B5" s="5" t="n">
        <v>164</v>
      </c>
      <c r="C5" s="5" t="s">
        <v>1149</v>
      </c>
      <c r="D5" s="5" t="n">
        <v>2000</v>
      </c>
      <c r="E5" s="5" t="s">
        <v>1165</v>
      </c>
      <c r="F5" s="5" t="s">
        <v>1166</v>
      </c>
      <c r="G5" s="5" t="s">
        <v>1152</v>
      </c>
      <c r="H5" s="5" t="s">
        <v>1159</v>
      </c>
      <c r="I5" s="5" t="s">
        <v>1154</v>
      </c>
      <c r="J5" s="5"/>
      <c r="K5" s="5" t="s">
        <v>409</v>
      </c>
      <c r="L5" s="5" t="s">
        <v>1167</v>
      </c>
      <c r="M5" s="5" t="s">
        <v>1156</v>
      </c>
      <c r="N5" s="5" t="s">
        <v>409</v>
      </c>
    </row>
    <row r="6" customFormat="false" ht="15" hidden="false" customHeight="true" outlineLevel="0" collapsed="false">
      <c r="A6" s="5" t="n">
        <v>164</v>
      </c>
      <c r="B6" s="5" t="n">
        <v>164</v>
      </c>
      <c r="C6" s="5" t="s">
        <v>1149</v>
      </c>
      <c r="D6" s="5" t="n">
        <v>2000</v>
      </c>
      <c r="E6" s="5" t="s">
        <v>1168</v>
      </c>
      <c r="F6" s="5" t="s">
        <v>1169</v>
      </c>
      <c r="G6" s="5" t="s">
        <v>1152</v>
      </c>
      <c r="H6" s="5" t="s">
        <v>1159</v>
      </c>
      <c r="I6" s="5" t="s">
        <v>1170</v>
      </c>
      <c r="J6" s="5" t="s">
        <v>1171</v>
      </c>
      <c r="K6" s="5" t="s">
        <v>358</v>
      </c>
      <c r="L6" s="5" t="s">
        <v>1172</v>
      </c>
      <c r="M6" s="5" t="s">
        <v>1173</v>
      </c>
      <c r="N6" s="5" t="s">
        <v>1174</v>
      </c>
    </row>
    <row r="7" customFormat="false" ht="15" hidden="false" customHeight="true" outlineLevel="0" collapsed="false">
      <c r="A7" s="5" t="n">
        <v>164</v>
      </c>
      <c r="B7" s="5" t="n">
        <v>164</v>
      </c>
      <c r="C7" s="5" t="s">
        <v>1149</v>
      </c>
      <c r="D7" s="5" t="n">
        <v>2000</v>
      </c>
      <c r="E7" s="5" t="s">
        <v>1175</v>
      </c>
      <c r="F7" s="5" t="s">
        <v>1176</v>
      </c>
      <c r="G7" s="5" t="s">
        <v>1152</v>
      </c>
      <c r="H7" s="5" t="s">
        <v>1159</v>
      </c>
      <c r="I7" s="5" t="s">
        <v>1177</v>
      </c>
      <c r="J7" s="5"/>
      <c r="K7" s="5" t="s">
        <v>409</v>
      </c>
      <c r="L7" s="5" t="s">
        <v>1178</v>
      </c>
      <c r="M7" s="5" t="s">
        <v>1156</v>
      </c>
      <c r="N7" s="5" t="s">
        <v>409</v>
      </c>
    </row>
    <row r="8" customFormat="false" ht="15" hidden="false" customHeight="true" outlineLevel="0" collapsed="false">
      <c r="A8" s="5" t="n">
        <v>165</v>
      </c>
      <c r="B8" s="5" t="n">
        <v>165</v>
      </c>
      <c r="C8" s="5" t="s">
        <v>1179</v>
      </c>
      <c r="D8" s="5" t="n">
        <v>2012</v>
      </c>
      <c r="E8" s="5" t="s">
        <v>1180</v>
      </c>
      <c r="F8" s="5" t="s">
        <v>1181</v>
      </c>
      <c r="G8" s="5" t="s">
        <v>1182</v>
      </c>
      <c r="H8" s="5" t="s">
        <v>1183</v>
      </c>
      <c r="I8" s="5" t="s">
        <v>1154</v>
      </c>
      <c r="J8" s="5"/>
      <c r="K8" s="5" t="s">
        <v>343</v>
      </c>
      <c r="L8" s="5" t="s">
        <v>1184</v>
      </c>
      <c r="M8" s="5" t="s">
        <v>1156</v>
      </c>
      <c r="N8" s="5" t="s">
        <v>861</v>
      </c>
    </row>
    <row r="9" customFormat="false" ht="15" hidden="false" customHeight="true" outlineLevel="0" collapsed="false">
      <c r="A9" s="5" t="n">
        <v>165</v>
      </c>
      <c r="B9" s="5" t="n">
        <v>165</v>
      </c>
      <c r="C9" s="5" t="s">
        <v>1179</v>
      </c>
      <c r="D9" s="5" t="n">
        <v>2012</v>
      </c>
      <c r="E9" s="5" t="s">
        <v>1185</v>
      </c>
      <c r="F9" s="5" t="s">
        <v>1186</v>
      </c>
      <c r="G9" s="5" t="s">
        <v>1182</v>
      </c>
      <c r="H9" s="5" t="s">
        <v>1183</v>
      </c>
      <c r="I9" s="5" t="s">
        <v>1187</v>
      </c>
      <c r="J9" s="5" t="s">
        <v>1188</v>
      </c>
      <c r="K9" s="5" t="s">
        <v>358</v>
      </c>
      <c r="L9" s="5" t="s">
        <v>1189</v>
      </c>
      <c r="M9" s="5" t="s">
        <v>1156</v>
      </c>
      <c r="N9" s="5" t="s">
        <v>861</v>
      </c>
    </row>
    <row r="10" customFormat="false" ht="15" hidden="false" customHeight="true" outlineLevel="0" collapsed="false">
      <c r="A10" s="5" t="n">
        <v>165</v>
      </c>
      <c r="B10" s="5" t="n">
        <v>165</v>
      </c>
      <c r="C10" s="5" t="s">
        <v>1179</v>
      </c>
      <c r="D10" s="5" t="n">
        <v>2012</v>
      </c>
      <c r="E10" s="5" t="s">
        <v>1190</v>
      </c>
      <c r="F10" s="5" t="s">
        <v>1191</v>
      </c>
      <c r="G10" s="5" t="s">
        <v>1182</v>
      </c>
      <c r="H10" s="5" t="s">
        <v>1183</v>
      </c>
      <c r="I10" s="5" t="s">
        <v>1154</v>
      </c>
      <c r="J10" s="5"/>
      <c r="K10" s="5" t="s">
        <v>343</v>
      </c>
      <c r="L10" s="5" t="s">
        <v>1192</v>
      </c>
      <c r="M10" s="5" t="s">
        <v>1156</v>
      </c>
      <c r="N10" s="5" t="s">
        <v>861</v>
      </c>
    </row>
    <row r="11" customFormat="false" ht="15" hidden="false" customHeight="true" outlineLevel="0" collapsed="false">
      <c r="A11" s="5" t="n">
        <v>165</v>
      </c>
      <c r="B11" s="5" t="n">
        <v>165</v>
      </c>
      <c r="C11" s="5" t="s">
        <v>1179</v>
      </c>
      <c r="D11" s="5" t="n">
        <v>2012</v>
      </c>
      <c r="E11" s="5" t="s">
        <v>1193</v>
      </c>
      <c r="F11" s="5" t="s">
        <v>1194</v>
      </c>
      <c r="G11" s="5" t="s">
        <v>1182</v>
      </c>
      <c r="H11" s="5" t="s">
        <v>1183</v>
      </c>
      <c r="I11" s="5" t="s">
        <v>1187</v>
      </c>
      <c r="J11" s="5" t="s">
        <v>1195</v>
      </c>
      <c r="K11" s="5" t="s">
        <v>358</v>
      </c>
      <c r="L11" s="5" t="s">
        <v>1196</v>
      </c>
      <c r="M11" s="5" t="s">
        <v>1156</v>
      </c>
      <c r="N11" s="5" t="s">
        <v>861</v>
      </c>
    </row>
    <row r="12" customFormat="false" ht="15" hidden="false" customHeight="true" outlineLevel="0" collapsed="false">
      <c r="A12" s="5" t="n">
        <v>166</v>
      </c>
      <c r="B12" s="5" t="n">
        <v>166</v>
      </c>
      <c r="C12" s="5" t="s">
        <v>1197</v>
      </c>
      <c r="D12" s="5" t="n">
        <v>2014</v>
      </c>
      <c r="E12" s="5" t="s">
        <v>1198</v>
      </c>
      <c r="F12" s="5" t="s">
        <v>1199</v>
      </c>
      <c r="G12" s="5" t="s">
        <v>1152</v>
      </c>
      <c r="H12" s="5" t="s">
        <v>1200</v>
      </c>
      <c r="I12" s="5" t="s">
        <v>1154</v>
      </c>
      <c r="J12" s="5"/>
      <c r="K12" s="5" t="s">
        <v>409</v>
      </c>
      <c r="L12" s="5" t="s">
        <v>1201</v>
      </c>
      <c r="M12" s="5" t="s">
        <v>1156</v>
      </c>
      <c r="N12" s="5" t="s">
        <v>409</v>
      </c>
    </row>
    <row r="13" customFormat="false" ht="15" hidden="false" customHeight="true" outlineLevel="0" collapsed="false">
      <c r="A13" s="5" t="n">
        <v>166</v>
      </c>
      <c r="B13" s="5" t="n">
        <v>166</v>
      </c>
      <c r="C13" s="5" t="s">
        <v>1197</v>
      </c>
      <c r="D13" s="5" t="n">
        <v>2014</v>
      </c>
      <c r="E13" s="5" t="s">
        <v>1202</v>
      </c>
      <c r="F13" s="5" t="s">
        <v>1203</v>
      </c>
      <c r="G13" s="5" t="s">
        <v>1152</v>
      </c>
      <c r="H13" s="5" t="s">
        <v>1204</v>
      </c>
      <c r="I13" s="5" t="s">
        <v>1154</v>
      </c>
      <c r="J13" s="5"/>
      <c r="K13" s="5" t="s">
        <v>343</v>
      </c>
      <c r="L13" s="5" t="s">
        <v>1205</v>
      </c>
      <c r="M13" s="5" t="s">
        <v>1156</v>
      </c>
      <c r="N13" s="5" t="s">
        <v>861</v>
      </c>
    </row>
    <row r="14" customFormat="false" ht="15" hidden="false" customHeight="true" outlineLevel="0" collapsed="false">
      <c r="A14" s="5" t="n">
        <v>166</v>
      </c>
      <c r="B14" s="5" t="n">
        <v>166</v>
      </c>
      <c r="C14" s="5" t="s">
        <v>1197</v>
      </c>
      <c r="D14" s="5" t="n">
        <v>2014</v>
      </c>
      <c r="E14" s="5" t="s">
        <v>1206</v>
      </c>
      <c r="F14" s="5" t="s">
        <v>1207</v>
      </c>
      <c r="G14" s="5" t="s">
        <v>1152</v>
      </c>
      <c r="H14" s="5" t="s">
        <v>1200</v>
      </c>
      <c r="I14" s="5" t="s">
        <v>1154</v>
      </c>
      <c r="J14" s="5"/>
      <c r="K14" s="5" t="s">
        <v>409</v>
      </c>
      <c r="L14" s="5" t="s">
        <v>1208</v>
      </c>
      <c r="M14" s="5" t="s">
        <v>1156</v>
      </c>
      <c r="N14" s="5" t="s">
        <v>409</v>
      </c>
    </row>
    <row r="15" customFormat="false" ht="15" hidden="false" customHeight="true" outlineLevel="0" collapsed="false">
      <c r="A15" s="5" t="n">
        <v>166</v>
      </c>
      <c r="B15" s="5" t="n">
        <v>166</v>
      </c>
      <c r="C15" s="5" t="s">
        <v>1197</v>
      </c>
      <c r="D15" s="5" t="n">
        <v>2014</v>
      </c>
      <c r="E15" s="5" t="s">
        <v>1209</v>
      </c>
      <c r="F15" s="5" t="s">
        <v>1210</v>
      </c>
      <c r="G15" s="5" t="s">
        <v>1152</v>
      </c>
      <c r="H15" s="5" t="s">
        <v>1200</v>
      </c>
      <c r="I15" s="5" t="s">
        <v>1154</v>
      </c>
      <c r="J15" s="5"/>
      <c r="K15" s="5" t="s">
        <v>409</v>
      </c>
      <c r="L15" s="5" t="s">
        <v>1211</v>
      </c>
      <c r="M15" s="5" t="s">
        <v>1156</v>
      </c>
      <c r="N15" s="5" t="s">
        <v>409</v>
      </c>
    </row>
    <row r="16" customFormat="false" ht="15" hidden="false" customHeight="true" outlineLevel="0" collapsed="false">
      <c r="A16" s="5" t="n">
        <v>166</v>
      </c>
      <c r="B16" s="5" t="n">
        <v>166</v>
      </c>
      <c r="C16" s="5" t="s">
        <v>1197</v>
      </c>
      <c r="D16" s="5" t="n">
        <v>2014</v>
      </c>
      <c r="E16" s="5" t="s">
        <v>1212</v>
      </c>
      <c r="F16" s="5" t="s">
        <v>1213</v>
      </c>
      <c r="G16" s="5" t="s">
        <v>1152</v>
      </c>
      <c r="H16" s="5" t="s">
        <v>1200</v>
      </c>
      <c r="I16" s="5" t="s">
        <v>1154</v>
      </c>
      <c r="J16" s="5"/>
      <c r="K16" s="5" t="s">
        <v>409</v>
      </c>
      <c r="L16" s="5" t="s">
        <v>1214</v>
      </c>
      <c r="M16" s="5" t="s">
        <v>1156</v>
      </c>
      <c r="N16" s="5" t="s">
        <v>409</v>
      </c>
    </row>
    <row r="17" customFormat="false" ht="15" hidden="false" customHeight="true" outlineLevel="0" collapsed="false">
      <c r="A17" s="5" t="n">
        <v>166</v>
      </c>
      <c r="B17" s="5" t="n">
        <v>166</v>
      </c>
      <c r="C17" s="5" t="s">
        <v>1197</v>
      </c>
      <c r="D17" s="5" t="n">
        <v>2014</v>
      </c>
      <c r="E17" s="5" t="s">
        <v>1215</v>
      </c>
      <c r="F17" s="5" t="s">
        <v>1216</v>
      </c>
      <c r="G17" s="5" t="s">
        <v>1152</v>
      </c>
      <c r="H17" s="5" t="s">
        <v>1200</v>
      </c>
      <c r="I17" s="5" t="s">
        <v>1217</v>
      </c>
      <c r="J17" s="5"/>
      <c r="K17" s="5" t="s">
        <v>409</v>
      </c>
      <c r="L17" s="5" t="s">
        <v>1218</v>
      </c>
      <c r="M17" s="5" t="s">
        <v>1156</v>
      </c>
      <c r="N17" s="5" t="s">
        <v>409</v>
      </c>
    </row>
    <row r="18" customFormat="false" ht="15" hidden="false" customHeight="true" outlineLevel="0" collapsed="false">
      <c r="A18" s="5" t="n">
        <v>166</v>
      </c>
      <c r="B18" s="5" t="n">
        <v>166</v>
      </c>
      <c r="C18" s="5" t="s">
        <v>1197</v>
      </c>
      <c r="D18" s="5" t="n">
        <v>2014</v>
      </c>
      <c r="E18" s="5" t="s">
        <v>1219</v>
      </c>
      <c r="F18" s="5" t="s">
        <v>1220</v>
      </c>
      <c r="G18" s="5" t="s">
        <v>1152</v>
      </c>
      <c r="H18" s="5" t="s">
        <v>1200</v>
      </c>
      <c r="I18" s="5" t="s">
        <v>1217</v>
      </c>
      <c r="J18" s="5"/>
      <c r="K18" s="5" t="s">
        <v>409</v>
      </c>
      <c r="L18" s="5" t="s">
        <v>1221</v>
      </c>
      <c r="M18" s="5" t="s">
        <v>1156</v>
      </c>
      <c r="N18" s="5" t="s">
        <v>409</v>
      </c>
    </row>
    <row r="19" customFormat="false" ht="15" hidden="false" customHeight="true" outlineLevel="0" collapsed="false">
      <c r="A19" s="5" t="n">
        <v>166</v>
      </c>
      <c r="B19" s="5" t="n">
        <v>166</v>
      </c>
      <c r="C19" s="5" t="s">
        <v>1197</v>
      </c>
      <c r="D19" s="5" t="n">
        <v>2014</v>
      </c>
      <c r="E19" s="5" t="s">
        <v>1222</v>
      </c>
      <c r="F19" s="5" t="s">
        <v>1223</v>
      </c>
      <c r="G19" s="5" t="s">
        <v>1152</v>
      </c>
      <c r="H19" s="5" t="s">
        <v>1224</v>
      </c>
      <c r="I19" s="5" t="s">
        <v>1225</v>
      </c>
      <c r="J19" s="5" t="s">
        <v>1226</v>
      </c>
      <c r="K19" s="5" t="s">
        <v>358</v>
      </c>
      <c r="L19" s="5" t="s">
        <v>1227</v>
      </c>
      <c r="M19" s="5" t="s">
        <v>1173</v>
      </c>
      <c r="N19" s="5" t="s">
        <v>1174</v>
      </c>
    </row>
    <row r="20" customFormat="false" ht="15" hidden="false" customHeight="true" outlineLevel="0" collapsed="false">
      <c r="A20" s="5" t="n">
        <v>167</v>
      </c>
      <c r="B20" s="5" t="n">
        <v>167</v>
      </c>
      <c r="C20" s="5" t="s">
        <v>1228</v>
      </c>
      <c r="D20" s="5" t="n">
        <v>2023</v>
      </c>
      <c r="E20" s="5" t="s">
        <v>1229</v>
      </c>
      <c r="F20" s="5" t="s">
        <v>1230</v>
      </c>
      <c r="G20" s="5" t="s">
        <v>1152</v>
      </c>
      <c r="H20" s="5" t="s">
        <v>1231</v>
      </c>
      <c r="I20" s="5" t="s">
        <v>1154</v>
      </c>
      <c r="J20" s="5"/>
      <c r="K20" s="5" t="s">
        <v>409</v>
      </c>
      <c r="L20" s="5" t="s">
        <v>1232</v>
      </c>
      <c r="M20" s="5" t="s">
        <v>1156</v>
      </c>
      <c r="N20" s="5" t="s">
        <v>409</v>
      </c>
    </row>
    <row r="21" customFormat="false" ht="15" hidden="false" customHeight="true" outlineLevel="0" collapsed="false">
      <c r="A21" s="5" t="n">
        <v>168</v>
      </c>
      <c r="B21" s="5" t="n">
        <v>168</v>
      </c>
      <c r="C21" s="5" t="s">
        <v>1233</v>
      </c>
      <c r="D21" s="5" t="n">
        <v>2020</v>
      </c>
      <c r="E21" s="5" t="s">
        <v>1234</v>
      </c>
      <c r="F21" s="5" t="s">
        <v>1235</v>
      </c>
      <c r="G21" s="5" t="s">
        <v>1236</v>
      </c>
      <c r="H21" s="5" t="s">
        <v>343</v>
      </c>
      <c r="I21" s="5" t="s">
        <v>1154</v>
      </c>
      <c r="J21" s="5"/>
      <c r="K21" s="5" t="s">
        <v>343</v>
      </c>
      <c r="L21" s="5" t="s">
        <v>1237</v>
      </c>
      <c r="M21" s="5" t="s">
        <v>1156</v>
      </c>
      <c r="N21" s="5" t="s">
        <v>861</v>
      </c>
    </row>
    <row r="22" customFormat="false" ht="15" hidden="false" customHeight="true" outlineLevel="0" collapsed="false">
      <c r="A22" s="5" t="n">
        <v>168</v>
      </c>
      <c r="B22" s="5" t="n">
        <v>168</v>
      </c>
      <c r="C22" s="5" t="s">
        <v>1233</v>
      </c>
      <c r="D22" s="5" t="n">
        <v>2020</v>
      </c>
      <c r="E22" s="5" t="s">
        <v>1238</v>
      </c>
      <c r="F22" s="5" t="s">
        <v>1239</v>
      </c>
      <c r="G22" s="5" t="s">
        <v>1236</v>
      </c>
      <c r="H22" s="5" t="s">
        <v>343</v>
      </c>
      <c r="I22" s="5" t="s">
        <v>1240</v>
      </c>
      <c r="J22" s="5" t="n">
        <v>7</v>
      </c>
      <c r="K22" s="5" t="s">
        <v>358</v>
      </c>
      <c r="L22" s="5" t="s">
        <v>1241</v>
      </c>
      <c r="M22" s="5" t="s">
        <v>1156</v>
      </c>
      <c r="N22" s="5" t="s">
        <v>861</v>
      </c>
    </row>
    <row r="23" customFormat="false" ht="15" hidden="false" customHeight="true" outlineLevel="0" collapsed="false">
      <c r="A23" s="5" t="n">
        <v>168</v>
      </c>
      <c r="B23" s="5" t="n">
        <v>168</v>
      </c>
      <c r="C23" s="5" t="s">
        <v>1233</v>
      </c>
      <c r="D23" s="5" t="n">
        <v>2020</v>
      </c>
      <c r="E23" s="5" t="s">
        <v>1242</v>
      </c>
      <c r="F23" s="5" t="s">
        <v>1243</v>
      </c>
      <c r="G23" s="5" t="s">
        <v>1244</v>
      </c>
      <c r="H23" s="5" t="s">
        <v>346</v>
      </c>
      <c r="I23" s="5" t="s">
        <v>1154</v>
      </c>
      <c r="J23" s="5"/>
      <c r="K23" s="5" t="s">
        <v>346</v>
      </c>
      <c r="L23" s="5" t="s">
        <v>1245</v>
      </c>
      <c r="M23" s="5" t="s">
        <v>1156</v>
      </c>
      <c r="N23" s="5" t="s">
        <v>861</v>
      </c>
    </row>
    <row r="24" customFormat="false" ht="15" hidden="false" customHeight="true" outlineLevel="0" collapsed="false">
      <c r="A24" s="5" t="n">
        <v>168</v>
      </c>
      <c r="B24" s="5" t="n">
        <v>168</v>
      </c>
      <c r="C24" s="5" t="s">
        <v>1233</v>
      </c>
      <c r="D24" s="5" t="n">
        <v>2020</v>
      </c>
      <c r="E24" s="5" t="s">
        <v>1246</v>
      </c>
      <c r="F24" s="5" t="s">
        <v>1247</v>
      </c>
      <c r="G24" s="5" t="s">
        <v>1244</v>
      </c>
      <c r="H24" s="5" t="s">
        <v>346</v>
      </c>
      <c r="I24" s="5" t="s">
        <v>1240</v>
      </c>
      <c r="J24" s="5" t="n">
        <v>7</v>
      </c>
      <c r="K24" s="5" t="s">
        <v>340</v>
      </c>
      <c r="L24" s="5" t="s">
        <v>1248</v>
      </c>
      <c r="M24" s="5" t="s">
        <v>1156</v>
      </c>
      <c r="N24" s="5" t="s">
        <v>861</v>
      </c>
    </row>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19" t="s">
        <v>55</v>
      </c>
      <c r="B1" s="19" t="s">
        <v>56</v>
      </c>
      <c r="C1" s="19" t="s">
        <v>57</v>
      </c>
      <c r="D1" s="19" t="s">
        <v>58</v>
      </c>
      <c r="E1" s="19" t="s">
        <v>60</v>
      </c>
      <c r="F1" s="19" t="s">
        <v>61</v>
      </c>
      <c r="G1" s="19" t="s">
        <v>740</v>
      </c>
      <c r="H1" s="19" t="s">
        <v>741</v>
      </c>
      <c r="I1" s="19" t="s">
        <v>62</v>
      </c>
      <c r="J1" s="19" t="s">
        <v>63</v>
      </c>
      <c r="K1" s="19" t="s">
        <v>742</v>
      </c>
      <c r="L1" s="19" t="s">
        <v>64</v>
      </c>
      <c r="M1" s="19" t="s">
        <v>1249</v>
      </c>
    </row>
    <row r="2" customFormat="false" ht="15" hidden="false" customHeight="true" outlineLevel="0" collapsed="false">
      <c r="A2" s="5" t="n">
        <v>164</v>
      </c>
      <c r="B2" s="5" t="n">
        <v>164</v>
      </c>
      <c r="C2" s="5" t="s">
        <v>1149</v>
      </c>
      <c r="D2" s="5" t="n">
        <v>2000</v>
      </c>
      <c r="E2" s="5" t="s">
        <v>841</v>
      </c>
      <c r="F2" s="5" t="s">
        <v>1250</v>
      </c>
      <c r="G2" s="5" t="s">
        <v>843</v>
      </c>
      <c r="H2" s="5" t="s">
        <v>844</v>
      </c>
      <c r="I2" s="5" t="n">
        <v>30.933</v>
      </c>
      <c r="J2" s="5" t="n">
        <v>75.867</v>
      </c>
      <c r="K2" s="5" t="s">
        <v>794</v>
      </c>
      <c r="L2" s="5" t="s">
        <v>845</v>
      </c>
      <c r="M2" s="5"/>
    </row>
    <row r="3" customFormat="false" ht="15" hidden="false" customHeight="true" outlineLevel="0" collapsed="false">
      <c r="A3" s="5" t="n">
        <v>164</v>
      </c>
      <c r="B3" s="5" t="n">
        <v>164</v>
      </c>
      <c r="C3" s="5" t="s">
        <v>1149</v>
      </c>
      <c r="D3" s="5" t="n">
        <v>2000</v>
      </c>
      <c r="E3" s="5" t="s">
        <v>1251</v>
      </c>
      <c r="F3" s="5" t="s">
        <v>1252</v>
      </c>
      <c r="G3" s="5" t="s">
        <v>1253</v>
      </c>
      <c r="H3" s="5" t="s">
        <v>1254</v>
      </c>
      <c r="I3" s="5" t="n">
        <v>29</v>
      </c>
      <c r="J3" s="5" t="n">
        <v>79.083</v>
      </c>
      <c r="K3" s="5" t="s">
        <v>794</v>
      </c>
      <c r="L3" s="5" t="s">
        <v>83</v>
      </c>
      <c r="M3" s="5" t="s">
        <v>1255</v>
      </c>
    </row>
    <row r="4" customFormat="false" ht="15" hidden="false" customHeight="true" outlineLevel="0" collapsed="false">
      <c r="A4" s="5" t="n">
        <v>164</v>
      </c>
      <c r="B4" s="5" t="n">
        <v>164</v>
      </c>
      <c r="C4" s="5" t="s">
        <v>1149</v>
      </c>
      <c r="D4" s="5" t="n">
        <v>2000</v>
      </c>
      <c r="E4" s="5" t="s">
        <v>811</v>
      </c>
      <c r="F4" s="5" t="s">
        <v>1256</v>
      </c>
      <c r="G4" s="5" t="s">
        <v>1257</v>
      </c>
      <c r="H4" s="5" t="s">
        <v>1258</v>
      </c>
      <c r="I4" s="5" t="n">
        <v>26.967</v>
      </c>
      <c r="J4" s="5" t="n">
        <v>80.567</v>
      </c>
      <c r="K4" s="5" t="s">
        <v>794</v>
      </c>
      <c r="L4" s="5" t="s">
        <v>83</v>
      </c>
      <c r="M4" s="5"/>
    </row>
    <row r="5" customFormat="false" ht="15" hidden="false" customHeight="true" outlineLevel="0" collapsed="false">
      <c r="A5" s="5" t="n">
        <v>164</v>
      </c>
      <c r="B5" s="5" t="n">
        <v>164</v>
      </c>
      <c r="C5" s="5" t="s">
        <v>1149</v>
      </c>
      <c r="D5" s="5" t="n">
        <v>2000</v>
      </c>
      <c r="E5" s="5" t="s">
        <v>811</v>
      </c>
      <c r="F5" s="5" t="s">
        <v>1259</v>
      </c>
      <c r="G5" s="5" t="s">
        <v>1260</v>
      </c>
      <c r="H5" s="5" t="s">
        <v>1261</v>
      </c>
      <c r="I5" s="5" t="n">
        <v>26.067</v>
      </c>
      <c r="J5" s="5" t="n">
        <v>82.133</v>
      </c>
      <c r="K5" s="5" t="s">
        <v>794</v>
      </c>
      <c r="L5" s="5" t="s">
        <v>83</v>
      </c>
      <c r="M5" s="5" t="s">
        <v>1262</v>
      </c>
    </row>
    <row r="6" customFormat="false" ht="15" hidden="false" customHeight="true" outlineLevel="0" collapsed="false">
      <c r="A6" s="5" t="n">
        <v>164</v>
      </c>
      <c r="B6" s="5" t="n">
        <v>164</v>
      </c>
      <c r="C6" s="5" t="s">
        <v>1149</v>
      </c>
      <c r="D6" s="5" t="n">
        <v>2000</v>
      </c>
      <c r="E6" s="5" t="s">
        <v>1263</v>
      </c>
      <c r="F6" s="5" t="s">
        <v>1264</v>
      </c>
      <c r="G6" s="5" t="s">
        <v>1265</v>
      </c>
      <c r="H6" s="5" t="s">
        <v>1266</v>
      </c>
      <c r="I6" s="5" t="n">
        <v>25.233</v>
      </c>
      <c r="J6" s="5" t="n">
        <v>87.067</v>
      </c>
      <c r="K6" s="5" t="s">
        <v>794</v>
      </c>
      <c r="L6" s="5" t="s">
        <v>83</v>
      </c>
      <c r="M6" s="5"/>
    </row>
    <row r="7" customFormat="false" ht="15" hidden="false" customHeight="true" outlineLevel="0" collapsed="false">
      <c r="A7" s="5" t="n">
        <v>164</v>
      </c>
      <c r="B7" s="5" t="n">
        <v>164</v>
      </c>
      <c r="C7" s="5" t="s">
        <v>1149</v>
      </c>
      <c r="D7" s="5" t="n">
        <v>2000</v>
      </c>
      <c r="E7" s="5" t="s">
        <v>1267</v>
      </c>
      <c r="F7" s="5" t="s">
        <v>1268</v>
      </c>
      <c r="G7" s="5" t="s">
        <v>1269</v>
      </c>
      <c r="H7" s="5" t="s">
        <v>1270</v>
      </c>
      <c r="I7" s="5" t="n">
        <v>23</v>
      </c>
      <c r="J7" s="5" t="n">
        <v>89</v>
      </c>
      <c r="K7" s="5" t="s">
        <v>794</v>
      </c>
      <c r="L7" s="5" t="s">
        <v>83</v>
      </c>
      <c r="M7" s="5" t="s">
        <v>1271</v>
      </c>
    </row>
    <row r="8" customFormat="false" ht="15" hidden="false" customHeight="true" outlineLevel="0" collapsed="false">
      <c r="A8" s="5" t="n">
        <v>164</v>
      </c>
      <c r="B8" s="5" t="n">
        <v>164</v>
      </c>
      <c r="C8" s="5" t="s">
        <v>1149</v>
      </c>
      <c r="D8" s="5" t="n">
        <v>2000</v>
      </c>
      <c r="E8" s="5" t="s">
        <v>1272</v>
      </c>
      <c r="F8" s="5" t="s">
        <v>1273</v>
      </c>
      <c r="G8" s="5" t="s">
        <v>1274</v>
      </c>
      <c r="H8" s="5" t="s">
        <v>1275</v>
      </c>
      <c r="I8" s="5" t="n">
        <v>23.167</v>
      </c>
      <c r="J8" s="5" t="n">
        <v>79.95</v>
      </c>
      <c r="K8" s="5" t="s">
        <v>794</v>
      </c>
      <c r="L8" s="5" t="s">
        <v>83</v>
      </c>
      <c r="M8" s="5"/>
    </row>
    <row r="9" customFormat="false" ht="15" hidden="false" customHeight="true" outlineLevel="0" collapsed="false">
      <c r="A9" s="5" t="n">
        <v>165</v>
      </c>
      <c r="B9" s="5" t="n">
        <v>165</v>
      </c>
      <c r="C9" s="5" t="s">
        <v>1179</v>
      </c>
      <c r="D9" s="5" t="n">
        <v>2012</v>
      </c>
      <c r="E9" s="5" t="s">
        <v>790</v>
      </c>
      <c r="F9" s="5" t="s">
        <v>1276</v>
      </c>
      <c r="G9" s="5" t="s">
        <v>792</v>
      </c>
      <c r="H9" s="5" t="s">
        <v>793</v>
      </c>
      <c r="I9" s="5" t="n">
        <v>28.633</v>
      </c>
      <c r="J9" s="5" t="n">
        <v>77.183</v>
      </c>
      <c r="K9" s="5" t="s">
        <v>794</v>
      </c>
      <c r="L9" s="5" t="s">
        <v>83</v>
      </c>
      <c r="M9" s="5"/>
    </row>
    <row r="10" customFormat="false" ht="15" hidden="false" customHeight="true" outlineLevel="0" collapsed="false">
      <c r="A10" s="5" t="n">
        <v>166</v>
      </c>
      <c r="B10" s="5" t="n">
        <v>166</v>
      </c>
      <c r="C10" s="5" t="s">
        <v>1197</v>
      </c>
      <c r="D10" s="5" t="n">
        <v>2014</v>
      </c>
      <c r="E10" s="5" t="s">
        <v>811</v>
      </c>
      <c r="F10" s="5" t="s">
        <v>1277</v>
      </c>
      <c r="G10" s="5" t="s">
        <v>813</v>
      </c>
      <c r="H10" s="5" t="s">
        <v>814</v>
      </c>
      <c r="I10" s="5" t="n">
        <v>29.067</v>
      </c>
      <c r="J10" s="5" t="n">
        <v>77.767</v>
      </c>
      <c r="K10" s="5" t="s">
        <v>794</v>
      </c>
      <c r="L10" s="5" t="s">
        <v>83</v>
      </c>
      <c r="M10" s="5"/>
    </row>
    <row r="11" customFormat="false" ht="15" hidden="false" customHeight="true" outlineLevel="0" collapsed="false">
      <c r="A11" s="5" t="n">
        <v>167</v>
      </c>
      <c r="B11" s="5" t="n">
        <v>167</v>
      </c>
      <c r="C11" s="5" t="s">
        <v>1228</v>
      </c>
      <c r="D11" s="5" t="n">
        <v>2023</v>
      </c>
      <c r="E11" s="5" t="s">
        <v>830</v>
      </c>
      <c r="F11" s="5" t="s">
        <v>1278</v>
      </c>
      <c r="G11" s="5"/>
      <c r="H11" s="5"/>
      <c r="I11" s="5"/>
      <c r="J11" s="5"/>
      <c r="K11" s="5" t="s">
        <v>1279</v>
      </c>
      <c r="L11" s="5"/>
      <c r="M11" s="5" t="s">
        <v>1280</v>
      </c>
    </row>
    <row r="12" customFormat="false" ht="15" hidden="false" customHeight="true" outlineLevel="0" collapsed="false">
      <c r="A12" s="5" t="n">
        <v>168</v>
      </c>
      <c r="B12" s="5" t="n">
        <v>168</v>
      </c>
      <c r="C12" s="5" t="s">
        <v>1233</v>
      </c>
      <c r="D12" s="5" t="n">
        <v>2020</v>
      </c>
      <c r="E12" s="5" t="s">
        <v>841</v>
      </c>
      <c r="F12" s="5" t="s">
        <v>1281</v>
      </c>
      <c r="G12" s="5" t="s">
        <v>843</v>
      </c>
      <c r="H12" s="5" t="s">
        <v>844</v>
      </c>
      <c r="I12" s="5" t="n">
        <v>30.933</v>
      </c>
      <c r="J12" s="5" t="n">
        <v>75.867</v>
      </c>
      <c r="K12" s="5" t="s">
        <v>794</v>
      </c>
      <c r="L12" s="5" t="s">
        <v>845</v>
      </c>
      <c r="M12" s="5"/>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70</v>
      </c>
      <c r="Q1" s="24" t="s">
        <v>71</v>
      </c>
      <c r="R1" s="24" t="s">
        <v>72</v>
      </c>
      <c r="S1" s="24" t="s">
        <v>1282</v>
      </c>
      <c r="T1" s="24" t="s">
        <v>1283</v>
      </c>
      <c r="U1" s="24" t="s">
        <v>1284</v>
      </c>
      <c r="V1" s="24" t="s">
        <v>1285</v>
      </c>
      <c r="W1" s="24" t="s">
        <v>1286</v>
      </c>
      <c r="X1" s="27" t="s">
        <v>1287</v>
      </c>
      <c r="Y1" s="27" t="s">
        <v>1288</v>
      </c>
      <c r="Z1" s="27" t="s">
        <v>1289</v>
      </c>
      <c r="AA1" s="27" t="s">
        <v>1290</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1298</v>
      </c>
      <c r="P2" s="17" t="n">
        <v>1.6</v>
      </c>
      <c r="Q2" s="17" t="n">
        <v>1.56</v>
      </c>
      <c r="R2" s="17" t="n">
        <v>1.6</v>
      </c>
      <c r="S2" s="17"/>
      <c r="T2" s="17"/>
      <c r="U2" s="17"/>
      <c r="V2" s="17" t="n">
        <v>1.5</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89</v>
      </c>
      <c r="AS2" s="17" t="s">
        <v>1299</v>
      </c>
      <c r="AT2" s="17" t="s">
        <v>1300</v>
      </c>
      <c r="AU2" s="17" t="s">
        <v>1301</v>
      </c>
      <c r="AV2" s="17" t="s">
        <v>1302</v>
      </c>
      <c r="AW2" s="29" t="s">
        <v>1303</v>
      </c>
      <c r="AX2" s="17" t="s">
        <v>852</v>
      </c>
      <c r="AY2" s="17" t="s">
        <v>1304</v>
      </c>
      <c r="BA2" s="30" t="s">
        <v>89</v>
      </c>
    </row>
    <row r="3" customFormat="false" ht="15" hidden="false" customHeight="true" outlineLevel="0" collapsed="false">
      <c r="A3" s="17" t="n">
        <v>168</v>
      </c>
      <c r="B3" s="17" t="n">
        <v>168</v>
      </c>
      <c r="C3" s="17" t="s">
        <v>837</v>
      </c>
      <c r="D3" s="17" t="n">
        <v>2020</v>
      </c>
      <c r="E3" s="17" t="s">
        <v>838</v>
      </c>
      <c r="F3" s="17" t="s">
        <v>841</v>
      </c>
      <c r="G3" s="17" t="s">
        <v>842</v>
      </c>
      <c r="H3" s="17" t="n">
        <v>30.933</v>
      </c>
      <c r="I3" s="17" t="n">
        <v>75.867</v>
      </c>
      <c r="J3" s="17" t="s">
        <v>845</v>
      </c>
      <c r="K3" s="17" t="n">
        <v>2016</v>
      </c>
      <c r="L3" s="17" t="s">
        <v>84</v>
      </c>
      <c r="M3" s="17" t="s">
        <v>85</v>
      </c>
      <c r="N3" s="17" t="s">
        <v>1305</v>
      </c>
      <c r="O3" s="17" t="s">
        <v>1306</v>
      </c>
      <c r="P3" s="17" t="n">
        <v>1.65</v>
      </c>
      <c r="Q3" s="17" t="n">
        <v>1.77</v>
      </c>
      <c r="R3" s="17" t="n">
        <v>1.67</v>
      </c>
      <c r="S3" s="17"/>
      <c r="T3" s="17"/>
      <c r="U3" s="17"/>
      <c r="V3" s="17" t="n">
        <v>1.75</v>
      </c>
      <c r="W3" s="17"/>
      <c r="X3" s="17"/>
      <c r="Y3" s="17"/>
      <c r="Z3" s="17"/>
      <c r="AA3" s="17"/>
      <c r="AB3" s="17" t="n">
        <v>1</v>
      </c>
      <c r="AC3" s="17" t="n">
        <v>3</v>
      </c>
      <c r="AD3" s="17" t="n">
        <f aca="false">IF(AND(N(AB3)&gt;0,N(AC3)&gt;0),SQRT(2*AB3/AC3),"")</f>
        <v>0.816496580927726</v>
      </c>
      <c r="AE3" s="17"/>
      <c r="AF3" s="17"/>
      <c r="AG3" s="17"/>
      <c r="AH3" s="17" t="n">
        <v>734</v>
      </c>
      <c r="AI3" s="17" t="n">
        <v>30.933</v>
      </c>
      <c r="AJ3" s="17" t="n">
        <v>5</v>
      </c>
      <c r="AK3" s="17"/>
      <c r="AL3" s="17"/>
      <c r="AM3" s="17" t="n">
        <v>7.4</v>
      </c>
      <c r="AN3" s="17"/>
      <c r="AO3" s="17"/>
      <c r="AP3" s="17"/>
      <c r="AQ3" s="17"/>
      <c r="AR3" s="17" t="s">
        <v>89</v>
      </c>
      <c r="AS3" s="17" t="s">
        <v>1299</v>
      </c>
      <c r="AT3" s="17" t="s">
        <v>1300</v>
      </c>
      <c r="AU3" s="17" t="s">
        <v>1301</v>
      </c>
      <c r="AV3" s="17" t="s">
        <v>1302</v>
      </c>
      <c r="AW3" s="29" t="s">
        <v>1303</v>
      </c>
      <c r="AX3" s="17" t="s">
        <v>852</v>
      </c>
      <c r="AY3" s="17" t="s">
        <v>1304</v>
      </c>
    </row>
    <row r="4" customFormat="false" ht="15" hidden="false" customHeight="true" outlineLevel="0" collapsed="false">
      <c r="A4" s="5" t="n">
        <v>165</v>
      </c>
      <c r="B4" s="5" t="n">
        <v>165</v>
      </c>
      <c r="C4" s="5" t="s">
        <v>786</v>
      </c>
      <c r="D4" s="5" t="n">
        <v>2012</v>
      </c>
      <c r="E4" s="5" t="s">
        <v>787</v>
      </c>
      <c r="F4" s="5" t="s">
        <v>790</v>
      </c>
      <c r="G4" s="5" t="s">
        <v>791</v>
      </c>
      <c r="H4" s="5" t="n">
        <v>28.633</v>
      </c>
      <c r="I4" s="5" t="n">
        <v>77.183</v>
      </c>
      <c r="J4" s="5" t="s">
        <v>83</v>
      </c>
      <c r="K4" s="5" t="s">
        <v>1307</v>
      </c>
      <c r="L4" s="5" t="s">
        <v>796</v>
      </c>
      <c r="M4" s="5" t="s">
        <v>85</v>
      </c>
      <c r="N4" s="5" t="s">
        <v>86</v>
      </c>
      <c r="O4" s="5" t="s">
        <v>1298</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1308</v>
      </c>
      <c r="AT4" s="5" t="s">
        <v>1309</v>
      </c>
      <c r="AU4" s="5" t="s">
        <v>1310</v>
      </c>
      <c r="AV4" s="5" t="s">
        <v>1311</v>
      </c>
      <c r="AW4" s="22" t="s">
        <v>1312</v>
      </c>
      <c r="AX4" s="5" t="s">
        <v>804</v>
      </c>
      <c r="AY4" s="5" t="s">
        <v>1313</v>
      </c>
    </row>
    <row r="5" customFormat="false" ht="15" hidden="false" customHeight="true" outlineLevel="0" collapsed="false">
      <c r="A5" s="5" t="n">
        <v>165</v>
      </c>
      <c r="B5" s="5" t="n">
        <v>165</v>
      </c>
      <c r="C5" s="5" t="s">
        <v>786</v>
      </c>
      <c r="D5" s="5" t="n">
        <v>2012</v>
      </c>
      <c r="E5" s="5" t="s">
        <v>787</v>
      </c>
      <c r="F5" s="5" t="s">
        <v>790</v>
      </c>
      <c r="G5" s="5" t="s">
        <v>791</v>
      </c>
      <c r="H5" s="5" t="n">
        <v>28.633</v>
      </c>
      <c r="I5" s="5" t="n">
        <v>77.183</v>
      </c>
      <c r="J5" s="5" t="s">
        <v>83</v>
      </c>
      <c r="K5" s="5" t="s">
        <v>1307</v>
      </c>
      <c r="L5" s="5" t="s">
        <v>796</v>
      </c>
      <c r="M5" s="5" t="s">
        <v>85</v>
      </c>
      <c r="N5" s="5" t="s">
        <v>86</v>
      </c>
      <c r="O5" s="5" t="s">
        <v>1298</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1314</v>
      </c>
      <c r="AT5" s="5" t="s">
        <v>1315</v>
      </c>
      <c r="AU5" s="5" t="s">
        <v>1310</v>
      </c>
      <c r="AV5" s="5" t="s">
        <v>1311</v>
      </c>
      <c r="AW5" s="22" t="s">
        <v>1316</v>
      </c>
      <c r="AX5" s="5" t="s">
        <v>804</v>
      </c>
      <c r="AY5" s="5" t="s">
        <v>1313</v>
      </c>
    </row>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1317</v>
      </c>
      <c r="Q1" s="24" t="s">
        <v>1318</v>
      </c>
      <c r="R1" s="24" t="s">
        <v>1319</v>
      </c>
      <c r="S1" s="24" t="s">
        <v>1320</v>
      </c>
      <c r="T1" s="24" t="s">
        <v>1321</v>
      </c>
      <c r="U1" s="24" t="s">
        <v>1322</v>
      </c>
      <c r="V1" s="24" t="s">
        <v>1323</v>
      </c>
      <c r="W1" s="24" t="s">
        <v>1324</v>
      </c>
      <c r="X1" s="27" t="s">
        <v>1325</v>
      </c>
      <c r="Y1" s="27" t="s">
        <v>1326</v>
      </c>
      <c r="Z1" s="27" t="s">
        <v>1327</v>
      </c>
      <c r="AA1" s="27" t="s">
        <v>1328</v>
      </c>
      <c r="AB1" s="24" t="s">
        <v>1329</v>
      </c>
      <c r="AC1" s="25" t="s">
        <v>35</v>
      </c>
      <c r="AD1" s="25" t="s">
        <v>33</v>
      </c>
      <c r="AE1" s="25" t="s">
        <v>37</v>
      </c>
      <c r="AF1" s="20" t="s">
        <v>73</v>
      </c>
      <c r="AG1" s="20" t="s">
        <v>750</v>
      </c>
      <c r="AH1" s="20" t="s">
        <v>751</v>
      </c>
      <c r="AI1" s="20" t="s">
        <v>74</v>
      </c>
      <c r="AJ1" s="20" t="s">
        <v>1291</v>
      </c>
      <c r="AK1" s="20" t="s">
        <v>1292</v>
      </c>
      <c r="AL1" s="20" t="s">
        <v>752</v>
      </c>
      <c r="AM1" s="20" t="s">
        <v>753</v>
      </c>
      <c r="AN1" s="20" t="s">
        <v>75</v>
      </c>
      <c r="AO1" s="20" t="s">
        <v>748</v>
      </c>
      <c r="AP1" s="20" t="s">
        <v>749</v>
      </c>
      <c r="AQ1" s="20" t="s">
        <v>746</v>
      </c>
      <c r="AR1" s="20" t="s">
        <v>747</v>
      </c>
      <c r="AS1" s="21" t="s">
        <v>76</v>
      </c>
      <c r="AT1" s="21" t="s">
        <v>77</v>
      </c>
      <c r="AU1" s="21" t="s">
        <v>1293</v>
      </c>
      <c r="AV1" s="21" t="s">
        <v>1294</v>
      </c>
      <c r="AW1" s="21" t="s">
        <v>78</v>
      </c>
      <c r="AX1" s="21" t="s">
        <v>765</v>
      </c>
      <c r="AY1" s="21" t="s">
        <v>1295</v>
      </c>
      <c r="AZ1" s="21" t="s">
        <v>1296</v>
      </c>
      <c r="BB1" s="28" t="s">
        <v>1297</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1330</v>
      </c>
      <c r="Q1" s="24" t="s">
        <v>1331</v>
      </c>
      <c r="R1" s="24" t="s">
        <v>1332</v>
      </c>
      <c r="S1" s="24" t="s">
        <v>1333</v>
      </c>
      <c r="T1" s="24" t="s">
        <v>1334</v>
      </c>
      <c r="U1" s="24" t="s">
        <v>1335</v>
      </c>
      <c r="V1" s="24" t="s">
        <v>1336</v>
      </c>
      <c r="W1" s="24" t="s">
        <v>1337</v>
      </c>
      <c r="X1" s="27" t="s">
        <v>1338</v>
      </c>
      <c r="Y1" s="27" t="s">
        <v>1339</v>
      </c>
      <c r="Z1" s="27" t="s">
        <v>1340</v>
      </c>
      <c r="AA1" s="27" t="s">
        <v>1341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1298</v>
      </c>
      <c r="P2" s="17" t="n">
        <f aca="false">ROUND((1-BD!P2/2.65)*100,2)</f>
        <v>39.62</v>
      </c>
      <c r="Q2" s="17" t="n">
        <f aca="false">ROUND((1-BD!Q2/2.65)*100,2)</f>
        <v>41.13</v>
      </c>
      <c r="R2" s="17" t="n">
        <f aca="false">ROUND((1-BD!R2/2.65)*100,2)</f>
        <v>39.62</v>
      </c>
      <c r="S2" s="17"/>
      <c r="T2" s="17"/>
      <c r="U2" s="17"/>
      <c r="V2" s="17" t="n">
        <f aca="false">ROUND((1-BD!V2/2.65)*100,2)</f>
        <v>43.4</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717</v>
      </c>
      <c r="AS2" s="17" t="s">
        <v>1299</v>
      </c>
      <c r="AT2" s="17" t="s">
        <v>1300</v>
      </c>
      <c r="AU2" s="17" t="s">
        <v>1301</v>
      </c>
      <c r="AV2" s="17" t="s">
        <v>1342</v>
      </c>
      <c r="AW2" s="29" t="s">
        <v>1343</v>
      </c>
      <c r="AX2" s="17" t="s">
        <v>852</v>
      </c>
      <c r="AY2" s="17" t="s">
        <v>1344</v>
      </c>
      <c r="BA2" s="30" t="s">
        <v>717</v>
      </c>
    </row>
    <row r="3" customFormat="false" ht="15" hidden="false" customHeight="true" outlineLevel="0" collapsed="false">
      <c r="A3" s="17" t="n">
        <v>168</v>
      </c>
      <c r="B3" s="17" t="n">
        <v>168</v>
      </c>
      <c r="C3" s="17" t="s">
        <v>837</v>
      </c>
      <c r="D3" s="17" t="n">
        <v>2020</v>
      </c>
      <c r="E3" s="17" t="s">
        <v>838</v>
      </c>
      <c r="F3" s="17" t="s">
        <v>841</v>
      </c>
      <c r="G3" s="17" t="s">
        <v>842</v>
      </c>
      <c r="H3" s="17" t="n">
        <v>30.933</v>
      </c>
      <c r="I3" s="17" t="n">
        <v>75.867</v>
      </c>
      <c r="J3" s="17" t="s">
        <v>845</v>
      </c>
      <c r="K3" s="17" t="n">
        <v>2016</v>
      </c>
      <c r="L3" s="17" t="s">
        <v>84</v>
      </c>
      <c r="M3" s="17" t="s">
        <v>85</v>
      </c>
      <c r="N3" s="17" t="s">
        <v>1305</v>
      </c>
      <c r="O3" s="17" t="s">
        <v>1306</v>
      </c>
      <c r="P3" s="17" t="n">
        <f aca="false">ROUND((1-BD!P3/2.65)*100,2)</f>
        <v>37.74</v>
      </c>
      <c r="Q3" s="17" t="n">
        <f aca="false">ROUND((1-BD!Q3/2.65)*100,2)</f>
        <v>33.21</v>
      </c>
      <c r="R3" s="17" t="n">
        <f aca="false">ROUND((1-BD!R3/2.65)*100,2)</f>
        <v>36.98</v>
      </c>
      <c r="S3" s="17"/>
      <c r="T3" s="17"/>
      <c r="U3" s="17"/>
      <c r="V3" s="17" t="n">
        <f aca="false">ROUND((1-BD!V3/2.65)*100,2)</f>
        <v>33.96</v>
      </c>
      <c r="W3" s="17"/>
      <c r="X3" s="17"/>
      <c r="Y3" s="17"/>
      <c r="Z3" s="17"/>
      <c r="AA3" s="17"/>
      <c r="AB3" s="17" t="n">
        <v>1</v>
      </c>
      <c r="AC3" s="17" t="n">
        <v>3</v>
      </c>
      <c r="AD3" s="17" t="n">
        <f aca="false">IF(AND(N(AB3)&gt;0,N(AC3)&gt;0),SQRT(2*AB3/AC3),"")</f>
        <v>0.816496580927726</v>
      </c>
      <c r="AE3" s="17"/>
      <c r="AF3" s="17"/>
      <c r="AG3" s="17"/>
      <c r="AH3" s="17" t="n">
        <v>734</v>
      </c>
      <c r="AI3" s="17" t="n">
        <v>30.933</v>
      </c>
      <c r="AJ3" s="17" t="n">
        <v>5</v>
      </c>
      <c r="AK3" s="17"/>
      <c r="AL3" s="17"/>
      <c r="AM3" s="17" t="n">
        <v>7.4</v>
      </c>
      <c r="AN3" s="17"/>
      <c r="AO3" s="17"/>
      <c r="AP3" s="17"/>
      <c r="AQ3" s="17"/>
      <c r="AR3" s="17" t="s">
        <v>717</v>
      </c>
      <c r="AS3" s="17" t="s">
        <v>1299</v>
      </c>
      <c r="AT3" s="17" t="s">
        <v>1300</v>
      </c>
      <c r="AU3" s="17" t="s">
        <v>1301</v>
      </c>
      <c r="AV3" s="17" t="s">
        <v>1342</v>
      </c>
      <c r="AW3" s="29" t="s">
        <v>1343</v>
      </c>
      <c r="AX3" s="17" t="s">
        <v>852</v>
      </c>
      <c r="AY3" s="17" t="s">
        <v>1344</v>
      </c>
    </row>
    <row r="4" customFormat="false" ht="15" hidden="false" customHeight="true" outlineLevel="0" collapsed="false">
      <c r="A4" s="5" t="n">
        <v>165</v>
      </c>
      <c r="B4" s="5" t="n">
        <v>165</v>
      </c>
      <c r="C4" s="5" t="s">
        <v>786</v>
      </c>
      <c r="D4" s="5" t="n">
        <v>2012</v>
      </c>
      <c r="E4" s="5" t="s">
        <v>787</v>
      </c>
      <c r="F4" s="5" t="s">
        <v>790</v>
      </c>
      <c r="G4" s="5" t="s">
        <v>791</v>
      </c>
      <c r="H4" s="5" t="n">
        <v>28.633</v>
      </c>
      <c r="I4" s="5" t="n">
        <v>77.183</v>
      </c>
      <c r="J4" s="5" t="s">
        <v>83</v>
      </c>
      <c r="K4" s="5" t="s">
        <v>1307</v>
      </c>
      <c r="L4" s="5" t="s">
        <v>796</v>
      </c>
      <c r="M4" s="5" t="s">
        <v>85</v>
      </c>
      <c r="N4" s="5" t="s">
        <v>86</v>
      </c>
      <c r="O4" s="5" t="s">
        <v>1298</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1345</v>
      </c>
      <c r="AS4" s="5" t="s">
        <v>1308</v>
      </c>
      <c r="AT4" s="5" t="s">
        <v>1309</v>
      </c>
      <c r="AU4" s="5" t="s">
        <v>1310</v>
      </c>
      <c r="AV4" s="5" t="s">
        <v>1311</v>
      </c>
      <c r="AW4" s="22" t="s">
        <v>1346</v>
      </c>
      <c r="AX4" s="5" t="s">
        <v>804</v>
      </c>
      <c r="AY4" s="5" t="s">
        <v>1347</v>
      </c>
    </row>
    <row r="5" customFormat="false" ht="15" hidden="false" customHeight="true" outlineLevel="0" collapsed="false">
      <c r="A5" s="5" t="n">
        <v>165</v>
      </c>
      <c r="B5" s="5" t="n">
        <v>165</v>
      </c>
      <c r="C5" s="5" t="s">
        <v>786</v>
      </c>
      <c r="D5" s="5" t="n">
        <v>2012</v>
      </c>
      <c r="E5" s="5" t="s">
        <v>787</v>
      </c>
      <c r="F5" s="5" t="s">
        <v>790</v>
      </c>
      <c r="G5" s="5" t="s">
        <v>791</v>
      </c>
      <c r="H5" s="5" t="n">
        <v>28.633</v>
      </c>
      <c r="I5" s="5" t="n">
        <v>77.183</v>
      </c>
      <c r="J5" s="5" t="s">
        <v>83</v>
      </c>
      <c r="K5" s="5" t="s">
        <v>1307</v>
      </c>
      <c r="L5" s="5" t="s">
        <v>796</v>
      </c>
      <c r="M5" s="5" t="s">
        <v>85</v>
      </c>
      <c r="N5" s="5" t="s">
        <v>86</v>
      </c>
      <c r="O5" s="5" t="s">
        <v>1298</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1345</v>
      </c>
      <c r="AS5" s="5" t="s">
        <v>1314</v>
      </c>
      <c r="AT5" s="5" t="s">
        <v>1315</v>
      </c>
      <c r="AU5" s="5" t="s">
        <v>1310</v>
      </c>
      <c r="AV5" s="5" t="s">
        <v>1311</v>
      </c>
      <c r="AW5" s="22" t="s">
        <v>1348</v>
      </c>
      <c r="AX5" s="5" t="s">
        <v>804</v>
      </c>
      <c r="AY5" s="5" t="s">
        <v>1347</v>
      </c>
      <c r="BA5" s="5" t="s">
        <v>89</v>
      </c>
    </row>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1349</v>
      </c>
      <c r="Q1" s="24" t="s">
        <v>1350</v>
      </c>
      <c r="R1" s="24" t="s">
        <v>1351</v>
      </c>
      <c r="S1" s="24" t="s">
        <v>1352</v>
      </c>
      <c r="T1" s="24" t="s">
        <v>1353</v>
      </c>
      <c r="U1" s="24" t="s">
        <v>1354</v>
      </c>
      <c r="V1" s="24" t="s">
        <v>1355</v>
      </c>
      <c r="W1" s="24" t="s">
        <v>1356</v>
      </c>
      <c r="X1" s="27" t="s">
        <v>1357</v>
      </c>
      <c r="Y1" s="27" t="s">
        <v>1358</v>
      </c>
      <c r="Z1" s="27" t="s">
        <v>1359</v>
      </c>
      <c r="AA1" s="27" t="s">
        <v>1360</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717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1361</v>
      </c>
      <c r="Q1" s="24" t="s">
        <v>1362</v>
      </c>
      <c r="R1" s="24" t="s">
        <v>1363</v>
      </c>
      <c r="S1" s="24" t="s">
        <v>1364</v>
      </c>
      <c r="T1" s="24" t="s">
        <v>1365</v>
      </c>
      <c r="U1" s="24" t="s">
        <v>1366</v>
      </c>
      <c r="V1" s="24" t="s">
        <v>1367</v>
      </c>
      <c r="W1" s="24" t="s">
        <v>1368</v>
      </c>
      <c r="X1" s="27" t="s">
        <v>1369</v>
      </c>
      <c r="Y1" s="27" t="s">
        <v>1370</v>
      </c>
      <c r="Z1" s="27" t="s">
        <v>1371</v>
      </c>
      <c r="AA1" s="27" t="s">
        <v>1372</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717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1373</v>
      </c>
      <c r="Q1" s="24" t="s">
        <v>1374</v>
      </c>
      <c r="R1" s="24" t="s">
        <v>1375</v>
      </c>
      <c r="S1" s="24" t="s">
        <v>1376</v>
      </c>
      <c r="T1" s="24" t="s">
        <v>1377</v>
      </c>
      <c r="U1" s="24" t="s">
        <v>1378</v>
      </c>
      <c r="V1" s="24" t="s">
        <v>1379</v>
      </c>
      <c r="W1" s="24" t="s">
        <v>1380</v>
      </c>
      <c r="X1" s="27" t="s">
        <v>1381</v>
      </c>
      <c r="Y1" s="27" t="s">
        <v>1382</v>
      </c>
      <c r="Z1" s="27" t="s">
        <v>1383</v>
      </c>
      <c r="AA1" s="27" t="s">
        <v>1384</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717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1385</v>
      </c>
      <c r="Q1" s="24" t="s">
        <v>1386</v>
      </c>
      <c r="R1" s="24" t="s">
        <v>1387</v>
      </c>
      <c r="S1" s="24" t="s">
        <v>1388</v>
      </c>
      <c r="T1" s="24" t="s">
        <v>1389</v>
      </c>
      <c r="U1" s="24" t="s">
        <v>1390</v>
      </c>
      <c r="V1" s="24" t="s">
        <v>1391</v>
      </c>
      <c r="W1" s="24" t="s">
        <v>1392</v>
      </c>
      <c r="X1" s="27" t="s">
        <v>1393</v>
      </c>
      <c r="Y1" s="27" t="s">
        <v>1394</v>
      </c>
      <c r="Z1" s="27" t="s">
        <v>1395</v>
      </c>
      <c r="AA1" s="27" t="s">
        <v>1396</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1298</v>
      </c>
      <c r="P2" s="17" t="n">
        <v>1.33</v>
      </c>
      <c r="Q2" s="17" t="n">
        <v>0.46</v>
      </c>
      <c r="R2" s="17" t="n">
        <v>0.99</v>
      </c>
      <c r="S2" s="17"/>
      <c r="T2" s="17"/>
      <c r="U2" s="17"/>
      <c r="V2" s="17" t="n">
        <v>1.21</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879</v>
      </c>
      <c r="AS2" s="17" t="s">
        <v>1299</v>
      </c>
      <c r="AT2" s="17" t="s">
        <v>1300</v>
      </c>
      <c r="AU2" s="17" t="s">
        <v>1301</v>
      </c>
      <c r="AV2" s="17" t="s">
        <v>1397</v>
      </c>
      <c r="AW2" s="29" t="s">
        <v>1398</v>
      </c>
      <c r="AX2" s="17" t="s">
        <v>852</v>
      </c>
      <c r="AY2" s="17" t="s">
        <v>1399</v>
      </c>
      <c r="BA2" s="30" t="s">
        <v>879</v>
      </c>
    </row>
    <row r="3" customFormat="false" ht="15" hidden="false" customHeight="true" outlineLevel="0" collapsed="false">
      <c r="A3" s="17" t="n">
        <v>168</v>
      </c>
      <c r="B3" s="17" t="n">
        <v>168</v>
      </c>
      <c r="C3" s="17" t="s">
        <v>837</v>
      </c>
      <c r="D3" s="17" t="n">
        <v>2020</v>
      </c>
      <c r="E3" s="17" t="s">
        <v>838</v>
      </c>
      <c r="F3" s="17" t="s">
        <v>841</v>
      </c>
      <c r="G3" s="17" t="s">
        <v>842</v>
      </c>
      <c r="H3" s="17" t="n">
        <v>30.933</v>
      </c>
      <c r="I3" s="17" t="n">
        <v>75.867</v>
      </c>
      <c r="J3" s="17" t="s">
        <v>845</v>
      </c>
      <c r="K3" s="17" t="n">
        <v>2016</v>
      </c>
      <c r="L3" s="17" t="s">
        <v>84</v>
      </c>
      <c r="M3" s="17" t="s">
        <v>85</v>
      </c>
      <c r="N3" s="17" t="s">
        <v>1305</v>
      </c>
      <c r="O3" s="17" t="s">
        <v>1306</v>
      </c>
      <c r="P3" s="17" t="n">
        <v>0.5</v>
      </c>
      <c r="Q3" s="17" t="n">
        <v>0.35</v>
      </c>
      <c r="R3" s="17" t="n">
        <v>0.42</v>
      </c>
      <c r="S3" s="17"/>
      <c r="T3" s="17"/>
      <c r="U3" s="17"/>
      <c r="V3" s="17" t="n">
        <v>0.27</v>
      </c>
      <c r="W3" s="17"/>
      <c r="X3" s="17"/>
      <c r="Y3" s="17"/>
      <c r="Z3" s="17"/>
      <c r="AA3" s="17"/>
      <c r="AB3" s="17" t="n">
        <v>1</v>
      </c>
      <c r="AC3" s="17" t="n">
        <v>3</v>
      </c>
      <c r="AD3" s="17" t="n">
        <f aca="false">IF(AND(N(AB3)&gt;0,N(AC3)&gt;0),SQRT(2*AB3/AC3),"")</f>
        <v>0.816496580927726</v>
      </c>
      <c r="AE3" s="17"/>
      <c r="AF3" s="17"/>
      <c r="AG3" s="17"/>
      <c r="AH3" s="17" t="n">
        <v>734</v>
      </c>
      <c r="AI3" s="17" t="n">
        <v>30.933</v>
      </c>
      <c r="AJ3" s="17" t="n">
        <v>5</v>
      </c>
      <c r="AK3" s="17"/>
      <c r="AL3" s="17"/>
      <c r="AM3" s="17" t="n">
        <v>7.4</v>
      </c>
      <c r="AN3" s="17"/>
      <c r="AO3" s="17"/>
      <c r="AP3" s="17"/>
      <c r="AQ3" s="17"/>
      <c r="AR3" s="17" t="s">
        <v>879</v>
      </c>
      <c r="AS3" s="17" t="s">
        <v>1299</v>
      </c>
      <c r="AT3" s="17" t="s">
        <v>1300</v>
      </c>
      <c r="AU3" s="17" t="s">
        <v>1301</v>
      </c>
      <c r="AV3" s="17" t="s">
        <v>1397</v>
      </c>
      <c r="AW3" s="29" t="s">
        <v>1398</v>
      </c>
      <c r="AX3" s="17" t="s">
        <v>852</v>
      </c>
      <c r="AY3" s="17" t="s">
        <v>1399</v>
      </c>
    </row>
    <row r="4" customFormat="false" ht="15" hidden="false" customHeight="true" outlineLevel="0" collapsed="false">
      <c r="A4" s="5" t="n">
        <v>166</v>
      </c>
      <c r="B4" s="5" t="n">
        <v>166</v>
      </c>
      <c r="C4" s="5" t="s">
        <v>807</v>
      </c>
      <c r="D4" s="5" t="n">
        <v>2014</v>
      </c>
      <c r="E4" s="5" t="s">
        <v>808</v>
      </c>
      <c r="F4" s="5" t="s">
        <v>811</v>
      </c>
      <c r="G4" s="5" t="s">
        <v>812</v>
      </c>
      <c r="H4" s="5" t="n">
        <v>29.067</v>
      </c>
      <c r="I4" s="5" t="n">
        <v>77.767</v>
      </c>
      <c r="J4" s="5" t="s">
        <v>83</v>
      </c>
      <c r="K4" s="5" t="n">
        <v>2011</v>
      </c>
      <c r="L4" s="5" t="s">
        <v>777</v>
      </c>
      <c r="M4" s="5" t="s">
        <v>85</v>
      </c>
      <c r="N4" s="5" t="s">
        <v>86</v>
      </c>
      <c r="O4" s="5" t="s">
        <v>1400</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1401</v>
      </c>
      <c r="AS4" s="5" t="s">
        <v>1402</v>
      </c>
      <c r="AT4" s="5" t="s">
        <v>1403</v>
      </c>
      <c r="AU4" s="5" t="s">
        <v>1404</v>
      </c>
      <c r="AV4" s="5" t="s">
        <v>1405</v>
      </c>
      <c r="AW4" s="22" t="s">
        <v>1406</v>
      </c>
      <c r="AX4" s="5" t="s">
        <v>823</v>
      </c>
      <c r="AY4" s="5" t="s">
        <v>1407</v>
      </c>
    </row>
    <row r="5" customFormat="false" ht="15" hidden="false" customHeight="true" outlineLevel="0" collapsed="false">
      <c r="A5" s="5" t="n">
        <v>166</v>
      </c>
      <c r="B5" s="5" t="n">
        <v>166</v>
      </c>
      <c r="C5" s="5" t="s">
        <v>807</v>
      </c>
      <c r="D5" s="5" t="n">
        <v>2014</v>
      </c>
      <c r="E5" s="5" t="s">
        <v>808</v>
      </c>
      <c r="F5" s="5" t="s">
        <v>811</v>
      </c>
      <c r="G5" s="5" t="s">
        <v>812</v>
      </c>
      <c r="H5" s="5" t="n">
        <v>29.067</v>
      </c>
      <c r="I5" s="5" t="n">
        <v>77.767</v>
      </c>
      <c r="J5" s="5" t="s">
        <v>83</v>
      </c>
      <c r="K5" s="5" t="n">
        <v>2011</v>
      </c>
      <c r="L5" s="5" t="s">
        <v>777</v>
      </c>
      <c r="M5" s="5" t="s">
        <v>85</v>
      </c>
      <c r="N5" s="5" t="s">
        <v>86</v>
      </c>
      <c r="O5" s="5" t="s">
        <v>1400</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1408</v>
      </c>
      <c r="AS5" s="5" t="s">
        <v>1402</v>
      </c>
      <c r="AT5" s="5" t="s">
        <v>1403</v>
      </c>
      <c r="AU5" s="5" t="s">
        <v>1404</v>
      </c>
      <c r="AV5" s="5" t="s">
        <v>1409</v>
      </c>
      <c r="AW5" s="22" t="s">
        <v>1410</v>
      </c>
      <c r="AX5" s="5" t="s">
        <v>823</v>
      </c>
      <c r="AY5" s="5" t="s">
        <v>1411</v>
      </c>
    </row>
    <row r="6" customFormat="false" ht="15" hidden="false" customHeight="true" outlineLevel="0" collapsed="false">
      <c r="A6" s="5" t="n">
        <v>166</v>
      </c>
      <c r="B6" s="5" t="n">
        <v>166</v>
      </c>
      <c r="C6" s="5" t="s">
        <v>807</v>
      </c>
      <c r="D6" s="5" t="n">
        <v>2014</v>
      </c>
      <c r="E6" s="5" t="s">
        <v>808</v>
      </c>
      <c r="F6" s="5" t="s">
        <v>811</v>
      </c>
      <c r="G6" s="5" t="s">
        <v>812</v>
      </c>
      <c r="H6" s="5" t="n">
        <v>29.067</v>
      </c>
      <c r="I6" s="5" t="n">
        <v>77.767</v>
      </c>
      <c r="J6" s="5" t="s">
        <v>83</v>
      </c>
      <c r="K6" s="5" t="n">
        <v>2011</v>
      </c>
      <c r="L6" s="5" t="s">
        <v>777</v>
      </c>
      <c r="M6" s="5" t="s">
        <v>85</v>
      </c>
      <c r="N6" s="5" t="s">
        <v>86</v>
      </c>
      <c r="O6" s="5" t="s">
        <v>1412</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1401</v>
      </c>
      <c r="AS6" s="5" t="s">
        <v>1402</v>
      </c>
      <c r="AT6" s="5" t="s">
        <v>1403</v>
      </c>
      <c r="AU6" s="5" t="s">
        <v>1404</v>
      </c>
      <c r="AV6" s="5" t="s">
        <v>1405</v>
      </c>
      <c r="AW6" s="22" t="s">
        <v>1406</v>
      </c>
      <c r="AX6" s="5" t="s">
        <v>823</v>
      </c>
      <c r="AY6" s="5" t="s">
        <v>1407</v>
      </c>
    </row>
    <row r="7" customFormat="false" ht="15" hidden="false" customHeight="true" outlineLevel="0" collapsed="false">
      <c r="A7" s="5" t="n">
        <v>166</v>
      </c>
      <c r="B7" s="5" t="n">
        <v>166</v>
      </c>
      <c r="C7" s="5" t="s">
        <v>807</v>
      </c>
      <c r="D7" s="5" t="n">
        <v>2014</v>
      </c>
      <c r="E7" s="5" t="s">
        <v>808</v>
      </c>
      <c r="F7" s="5" t="s">
        <v>811</v>
      </c>
      <c r="G7" s="5" t="s">
        <v>812</v>
      </c>
      <c r="H7" s="5" t="n">
        <v>29.067</v>
      </c>
      <c r="I7" s="5" t="n">
        <v>77.767</v>
      </c>
      <c r="J7" s="5" t="s">
        <v>83</v>
      </c>
      <c r="K7" s="5" t="n">
        <v>2011</v>
      </c>
      <c r="L7" s="5" t="s">
        <v>777</v>
      </c>
      <c r="M7" s="5" t="s">
        <v>85</v>
      </c>
      <c r="N7" s="5" t="s">
        <v>86</v>
      </c>
      <c r="O7" s="5" t="s">
        <v>1412</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1408</v>
      </c>
      <c r="AS7" s="5" t="s">
        <v>1402</v>
      </c>
      <c r="AT7" s="5" t="s">
        <v>1403</v>
      </c>
      <c r="AU7" s="5" t="s">
        <v>1404</v>
      </c>
      <c r="AV7" s="5" t="s">
        <v>1409</v>
      </c>
      <c r="AW7" s="22" t="s">
        <v>1410</v>
      </c>
      <c r="AX7" s="5" t="s">
        <v>823</v>
      </c>
      <c r="AY7" s="5" t="s">
        <v>1411</v>
      </c>
    </row>
    <row r="8" customFormat="false" ht="15" hidden="false" customHeight="true" outlineLevel="0" collapsed="false">
      <c r="A8" s="5" t="n">
        <v>166</v>
      </c>
      <c r="B8" s="5" t="n">
        <v>166</v>
      </c>
      <c r="C8" s="5" t="s">
        <v>807</v>
      </c>
      <c r="D8" s="5" t="n">
        <v>2014</v>
      </c>
      <c r="E8" s="5" t="s">
        <v>808</v>
      </c>
      <c r="F8" s="5" t="s">
        <v>811</v>
      </c>
      <c r="G8" s="5" t="s">
        <v>812</v>
      </c>
      <c r="H8" s="5" t="n">
        <v>29.067</v>
      </c>
      <c r="I8" s="5" t="n">
        <v>77.767</v>
      </c>
      <c r="J8" s="5" t="s">
        <v>83</v>
      </c>
      <c r="K8" s="5" t="n">
        <v>2011</v>
      </c>
      <c r="L8" s="5" t="s">
        <v>777</v>
      </c>
      <c r="M8" s="5" t="s">
        <v>85</v>
      </c>
      <c r="N8" s="5" t="s">
        <v>1305</v>
      </c>
      <c r="O8" s="5" t="s">
        <v>1306</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1401</v>
      </c>
      <c r="AS8" s="5" t="s">
        <v>1402</v>
      </c>
      <c r="AT8" s="5" t="s">
        <v>1403</v>
      </c>
      <c r="AU8" s="5" t="s">
        <v>1404</v>
      </c>
      <c r="AV8" s="5" t="s">
        <v>1405</v>
      </c>
      <c r="AW8" s="22" t="s">
        <v>1413</v>
      </c>
      <c r="AX8" s="5" t="s">
        <v>823</v>
      </c>
      <c r="AY8" s="5" t="s">
        <v>1407</v>
      </c>
    </row>
    <row r="9" customFormat="false" ht="15" hidden="false" customHeight="true" outlineLevel="0" collapsed="false">
      <c r="A9" s="5" t="n">
        <v>166</v>
      </c>
      <c r="B9" s="5" t="n">
        <v>166</v>
      </c>
      <c r="C9" s="5" t="s">
        <v>807</v>
      </c>
      <c r="D9" s="5" t="n">
        <v>2014</v>
      </c>
      <c r="E9" s="5" t="s">
        <v>808</v>
      </c>
      <c r="F9" s="5" t="s">
        <v>811</v>
      </c>
      <c r="G9" s="5" t="s">
        <v>812</v>
      </c>
      <c r="H9" s="5" t="n">
        <v>29.067</v>
      </c>
      <c r="I9" s="5" t="n">
        <v>77.767</v>
      </c>
      <c r="J9" s="5" t="s">
        <v>83</v>
      </c>
      <c r="K9" s="5" t="n">
        <v>2011</v>
      </c>
      <c r="L9" s="5" t="s">
        <v>777</v>
      </c>
      <c r="M9" s="5" t="s">
        <v>85</v>
      </c>
      <c r="N9" s="5" t="s">
        <v>1305</v>
      </c>
      <c r="O9" s="5" t="s">
        <v>1306</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1408</v>
      </c>
      <c r="AS9" s="5" t="s">
        <v>1402</v>
      </c>
      <c r="AT9" s="5" t="s">
        <v>1403</v>
      </c>
      <c r="AU9" s="5" t="s">
        <v>1404</v>
      </c>
      <c r="AV9" s="5" t="s">
        <v>1409</v>
      </c>
      <c r="AW9" s="22" t="s">
        <v>1414</v>
      </c>
      <c r="AX9" s="5" t="s">
        <v>823</v>
      </c>
      <c r="AY9" s="5" t="s">
        <v>1411</v>
      </c>
    </row>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1415</v>
      </c>
      <c r="Q1" s="24" t="s">
        <v>1416</v>
      </c>
      <c r="R1" s="24" t="s">
        <v>1417</v>
      </c>
      <c r="S1" s="24" t="s">
        <v>1418</v>
      </c>
      <c r="T1" s="24" t="s">
        <v>1419</v>
      </c>
      <c r="U1" s="24" t="s">
        <v>1420</v>
      </c>
      <c r="V1" s="24" t="s">
        <v>1421</v>
      </c>
      <c r="W1" s="24" t="s">
        <v>1422</v>
      </c>
      <c r="X1" s="27" t="s">
        <v>1423</v>
      </c>
      <c r="Y1" s="27" t="s">
        <v>1424</v>
      </c>
      <c r="Z1" s="27" t="s">
        <v>1425</v>
      </c>
      <c r="AA1" s="27" t="s">
        <v>1426</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882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1427</v>
      </c>
      <c r="Q1" s="24" t="s">
        <v>1428</v>
      </c>
      <c r="R1" s="24" t="s">
        <v>1429</v>
      </c>
      <c r="S1" s="24" t="s">
        <v>1430</v>
      </c>
      <c r="T1" s="24" t="s">
        <v>1431</v>
      </c>
      <c r="U1" s="24" t="s">
        <v>1432</v>
      </c>
      <c r="V1" s="24" t="s">
        <v>1433</v>
      </c>
      <c r="W1" s="24" t="s">
        <v>1434</v>
      </c>
      <c r="X1" s="27" t="s">
        <v>1435</v>
      </c>
      <c r="Y1" s="27" t="s">
        <v>1436</v>
      </c>
      <c r="Z1" s="27" t="s">
        <v>1437</v>
      </c>
      <c r="AA1" s="27" t="s">
        <v>1438</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884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1439</v>
      </c>
      <c r="Q1" s="24" t="s">
        <v>1440</v>
      </c>
      <c r="R1" s="24" t="s">
        <v>1441</v>
      </c>
      <c r="S1" s="24" t="s">
        <v>1442</v>
      </c>
      <c r="T1" s="24" t="s">
        <v>1443</v>
      </c>
      <c r="U1" s="24" t="s">
        <v>1444</v>
      </c>
      <c r="V1" s="24" t="s">
        <v>1445</v>
      </c>
      <c r="W1" s="24" t="s">
        <v>1446</v>
      </c>
      <c r="X1" s="27" t="s">
        <v>1447</v>
      </c>
      <c r="Y1" s="27" t="s">
        <v>1448</v>
      </c>
      <c r="Z1" s="27" t="s">
        <v>1449</v>
      </c>
      <c r="AA1" s="27" t="s">
        <v>1450</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1298</v>
      </c>
      <c r="P2" s="17" t="n">
        <f aca="false">ROUND((MACRO!P2+MICRO!P2)/100,3)</f>
        <v>0.674</v>
      </c>
      <c r="Q2" s="17" t="n">
        <f aca="false">ROUND((MACRO!Q2+MICRO!Q2)/100,3)</f>
        <v>0.585</v>
      </c>
      <c r="R2" s="17" t="n">
        <f aca="false">ROUND((MACRO!R2+MICRO!R2)/100,3)</f>
        <v>0.655</v>
      </c>
      <c r="S2" s="17"/>
      <c r="T2" s="17"/>
      <c r="U2" s="17"/>
      <c r="V2" s="17" t="n">
        <f aca="false">ROUND((MACRO!V2+MICRO!V2)/100,3)</f>
        <v>0.702</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1451</v>
      </c>
      <c r="AS2" s="17" t="s">
        <v>1299</v>
      </c>
      <c r="AT2" s="17" t="s">
        <v>1300</v>
      </c>
      <c r="AU2" s="17" t="s">
        <v>1301</v>
      </c>
      <c r="AV2" s="17" t="s">
        <v>1452</v>
      </c>
      <c r="AW2" s="29" t="s">
        <v>1453</v>
      </c>
      <c r="AX2" s="17" t="s">
        <v>852</v>
      </c>
      <c r="AY2" s="17" t="s">
        <v>1454</v>
      </c>
      <c r="BA2" s="30" t="s">
        <v>886</v>
      </c>
    </row>
    <row r="3" customFormat="false" ht="15" hidden="false" customHeight="true" outlineLevel="0" collapsed="false">
      <c r="A3" s="17" t="n">
        <v>168</v>
      </c>
      <c r="B3" s="17" t="n">
        <v>168</v>
      </c>
      <c r="C3" s="17" t="s">
        <v>837</v>
      </c>
      <c r="D3" s="17" t="n">
        <v>2020</v>
      </c>
      <c r="E3" s="17" t="s">
        <v>838</v>
      </c>
      <c r="F3" s="17" t="s">
        <v>841</v>
      </c>
      <c r="G3" s="17" t="s">
        <v>842</v>
      </c>
      <c r="H3" s="17" t="n">
        <v>30.933</v>
      </c>
      <c r="I3" s="17" t="n">
        <v>75.867</v>
      </c>
      <c r="J3" s="17" t="s">
        <v>845</v>
      </c>
      <c r="K3" s="17" t="n">
        <v>2016</v>
      </c>
      <c r="L3" s="17" t="s">
        <v>84</v>
      </c>
      <c r="M3" s="17" t="s">
        <v>85</v>
      </c>
      <c r="N3" s="17" t="s">
        <v>1305</v>
      </c>
      <c r="O3" s="17" t="s">
        <v>1306</v>
      </c>
      <c r="P3" s="17" t="n">
        <f aca="false">ROUND((MACRO!P3+MICRO!P3)/100,3)</f>
        <v>0.598</v>
      </c>
      <c r="Q3" s="17" t="n">
        <f aca="false">ROUND((MACRO!Q3+MICRO!Q3)/100,3)</f>
        <v>0.565</v>
      </c>
      <c r="R3" s="17" t="n">
        <f aca="false">ROUND((MACRO!R3+MICRO!R3)/100,3)</f>
        <v>0.609</v>
      </c>
      <c r="S3" s="17"/>
      <c r="T3" s="17"/>
      <c r="U3" s="17"/>
      <c r="V3" s="17" t="n">
        <f aca="false">ROUND((MACRO!V3+MICRO!V3)/100,3)</f>
        <v>0.611</v>
      </c>
      <c r="W3" s="17"/>
      <c r="X3" s="17"/>
      <c r="Y3" s="17"/>
      <c r="Z3" s="17"/>
      <c r="AA3" s="17"/>
      <c r="AB3" s="17" t="n">
        <v>1</v>
      </c>
      <c r="AC3" s="17" t="n">
        <v>3</v>
      </c>
      <c r="AD3" s="17" t="n">
        <f aca="false">IF(AND(N(AB3)&gt;0,N(AC3)&gt;0),SQRT(2*AB3/AC3),"")</f>
        <v>0.816496580927726</v>
      </c>
      <c r="AE3" s="17"/>
      <c r="AF3" s="17"/>
      <c r="AG3" s="17"/>
      <c r="AH3" s="17" t="n">
        <v>734</v>
      </c>
      <c r="AI3" s="17" t="n">
        <v>30.933</v>
      </c>
      <c r="AJ3" s="17" t="n">
        <v>5</v>
      </c>
      <c r="AK3" s="17"/>
      <c r="AL3" s="17"/>
      <c r="AM3" s="17" t="n">
        <v>7.4</v>
      </c>
      <c r="AN3" s="17"/>
      <c r="AO3" s="17"/>
      <c r="AP3" s="17"/>
      <c r="AQ3" s="17"/>
      <c r="AR3" s="17" t="s">
        <v>1451</v>
      </c>
      <c r="AS3" s="17" t="s">
        <v>1299</v>
      </c>
      <c r="AT3" s="17" t="s">
        <v>1300</v>
      </c>
      <c r="AU3" s="17" t="s">
        <v>1301</v>
      </c>
      <c r="AV3" s="17" t="s">
        <v>1452</v>
      </c>
      <c r="AW3" s="29" t="s">
        <v>1453</v>
      </c>
      <c r="AX3" s="17" t="s">
        <v>852</v>
      </c>
      <c r="AY3" s="17" t="s">
        <v>1454</v>
      </c>
    </row>
    <row r="4" customFormat="false" ht="15" hidden="false" customHeight="true" outlineLevel="0" collapsed="false">
      <c r="A4" s="5" t="n">
        <v>166</v>
      </c>
      <c r="B4" s="5" t="n">
        <v>166</v>
      </c>
      <c r="C4" s="5" t="s">
        <v>807</v>
      </c>
      <c r="D4" s="5" t="n">
        <v>2014</v>
      </c>
      <c r="E4" s="5" t="s">
        <v>808</v>
      </c>
      <c r="F4" s="5" t="s">
        <v>811</v>
      </c>
      <c r="G4" s="5" t="s">
        <v>812</v>
      </c>
      <c r="H4" s="5" t="n">
        <v>29.067</v>
      </c>
      <c r="I4" s="5" t="n">
        <v>77.767</v>
      </c>
      <c r="J4" s="5" t="s">
        <v>83</v>
      </c>
      <c r="K4" s="5" t="n">
        <v>2011</v>
      </c>
      <c r="L4" s="5" t="s">
        <v>777</v>
      </c>
      <c r="M4" s="5" t="s">
        <v>85</v>
      </c>
      <c r="N4" s="5" t="s">
        <v>86</v>
      </c>
      <c r="O4" s="5" t="s">
        <v>1400</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1455</v>
      </c>
      <c r="AS4" s="5" t="s">
        <v>1402</v>
      </c>
      <c r="AT4" s="5" t="s">
        <v>1403</v>
      </c>
      <c r="AU4" s="5" t="s">
        <v>1404</v>
      </c>
      <c r="AV4" s="5" t="s">
        <v>1456</v>
      </c>
      <c r="AW4" s="22" t="s">
        <v>1457</v>
      </c>
      <c r="AX4" s="5" t="s">
        <v>823</v>
      </c>
      <c r="AY4" s="5" t="s">
        <v>1458</v>
      </c>
    </row>
    <row r="5" customFormat="false" ht="15" hidden="false" customHeight="true" outlineLevel="0" collapsed="false">
      <c r="A5" s="5" t="n">
        <v>166</v>
      </c>
      <c r="B5" s="5" t="n">
        <v>166</v>
      </c>
      <c r="C5" s="5" t="s">
        <v>807</v>
      </c>
      <c r="D5" s="5" t="n">
        <v>2014</v>
      </c>
      <c r="E5" s="5" t="s">
        <v>808</v>
      </c>
      <c r="F5" s="5" t="s">
        <v>811</v>
      </c>
      <c r="G5" s="5" t="s">
        <v>812</v>
      </c>
      <c r="H5" s="5" t="n">
        <v>29.067</v>
      </c>
      <c r="I5" s="5" t="n">
        <v>77.767</v>
      </c>
      <c r="J5" s="5" t="s">
        <v>83</v>
      </c>
      <c r="K5" s="5" t="n">
        <v>2011</v>
      </c>
      <c r="L5" s="5" t="s">
        <v>777</v>
      </c>
      <c r="M5" s="5" t="s">
        <v>85</v>
      </c>
      <c r="N5" s="5" t="s">
        <v>86</v>
      </c>
      <c r="O5" s="5" t="s">
        <v>1412</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1455</v>
      </c>
      <c r="AS5" s="5" t="s">
        <v>1402</v>
      </c>
      <c r="AT5" s="5" t="s">
        <v>1403</v>
      </c>
      <c r="AU5" s="5" t="s">
        <v>1404</v>
      </c>
      <c r="AV5" s="5" t="s">
        <v>1456</v>
      </c>
      <c r="AW5" s="22" t="s">
        <v>1457</v>
      </c>
      <c r="AX5" s="5" t="s">
        <v>823</v>
      </c>
      <c r="AY5" s="5" t="s">
        <v>1458</v>
      </c>
    </row>
    <row r="6" customFormat="false" ht="15" hidden="false" customHeight="true" outlineLevel="0" collapsed="false">
      <c r="A6" s="5" t="n">
        <v>166</v>
      </c>
      <c r="B6" s="5" t="n">
        <v>166</v>
      </c>
      <c r="C6" s="5" t="s">
        <v>807</v>
      </c>
      <c r="D6" s="5" t="n">
        <v>2014</v>
      </c>
      <c r="E6" s="5" t="s">
        <v>808</v>
      </c>
      <c r="F6" s="5" t="s">
        <v>811</v>
      </c>
      <c r="G6" s="5" t="s">
        <v>812</v>
      </c>
      <c r="H6" s="5" t="n">
        <v>29.067</v>
      </c>
      <c r="I6" s="5" t="n">
        <v>77.767</v>
      </c>
      <c r="J6" s="5" t="s">
        <v>83</v>
      </c>
      <c r="K6" s="5" t="n">
        <v>2011</v>
      </c>
      <c r="L6" s="5" t="s">
        <v>777</v>
      </c>
      <c r="M6" s="5" t="s">
        <v>85</v>
      </c>
      <c r="N6" s="5" t="s">
        <v>1305</v>
      </c>
      <c r="O6" s="5" t="s">
        <v>1306</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1455</v>
      </c>
      <c r="AS6" s="5" t="s">
        <v>1402</v>
      </c>
      <c r="AT6" s="5" t="s">
        <v>1403</v>
      </c>
      <c r="AU6" s="5" t="s">
        <v>1404</v>
      </c>
      <c r="AV6" s="5" t="s">
        <v>1456</v>
      </c>
      <c r="AW6" s="22" t="s">
        <v>1459</v>
      </c>
      <c r="AX6" s="5" t="s">
        <v>823</v>
      </c>
      <c r="AY6" s="5" t="s">
        <v>1458</v>
      </c>
    </row>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1460</v>
      </c>
      <c r="Q1" s="24" t="s">
        <v>1461</v>
      </c>
      <c r="R1" s="24" t="s">
        <v>1462</v>
      </c>
      <c r="S1" s="24" t="s">
        <v>1463</v>
      </c>
      <c r="T1" s="24" t="s">
        <v>1464</v>
      </c>
      <c r="U1" s="24" t="s">
        <v>1465</v>
      </c>
      <c r="V1" s="24" t="s">
        <v>1466</v>
      </c>
      <c r="W1" s="24" t="s">
        <v>1467</v>
      </c>
      <c r="X1" s="27" t="s">
        <v>1468</v>
      </c>
      <c r="Y1" s="27" t="s">
        <v>1469</v>
      </c>
      <c r="Z1" s="27" t="s">
        <v>1470</v>
      </c>
      <c r="AA1" s="27" t="s">
        <v>1471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1298</v>
      </c>
      <c r="P2" s="17" t="n">
        <v>55.5</v>
      </c>
      <c r="Q2" s="17" t="n">
        <v>43.7</v>
      </c>
      <c r="R2" s="17" t="n">
        <v>52.4</v>
      </c>
      <c r="S2" s="17"/>
      <c r="T2" s="17"/>
      <c r="U2" s="17"/>
      <c r="V2" s="17" t="n">
        <v>56.1</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1472</v>
      </c>
      <c r="AS2" s="17" t="s">
        <v>1299</v>
      </c>
      <c r="AT2" s="17" t="s">
        <v>1300</v>
      </c>
      <c r="AU2" s="17" t="s">
        <v>1301</v>
      </c>
      <c r="AV2" s="17" t="s">
        <v>91</v>
      </c>
      <c r="AW2" s="29" t="s">
        <v>1473</v>
      </c>
      <c r="AX2" s="17" t="s">
        <v>852</v>
      </c>
      <c r="AY2" s="17" t="s">
        <v>1454</v>
      </c>
      <c r="BA2" s="30" t="s">
        <v>889</v>
      </c>
    </row>
    <row r="3" customFormat="false" ht="15" hidden="false" customHeight="true" outlineLevel="0" collapsed="false">
      <c r="A3" s="17" t="n">
        <v>168</v>
      </c>
      <c r="B3" s="17" t="n">
        <v>168</v>
      </c>
      <c r="C3" s="17" t="s">
        <v>837</v>
      </c>
      <c r="D3" s="17" t="n">
        <v>2020</v>
      </c>
      <c r="E3" s="17" t="s">
        <v>838</v>
      </c>
      <c r="F3" s="17" t="s">
        <v>841</v>
      </c>
      <c r="G3" s="17" t="s">
        <v>842</v>
      </c>
      <c r="H3" s="17" t="n">
        <v>30.933</v>
      </c>
      <c r="I3" s="17" t="n">
        <v>75.867</v>
      </c>
      <c r="J3" s="17" t="s">
        <v>845</v>
      </c>
      <c r="K3" s="17" t="n">
        <v>2016</v>
      </c>
      <c r="L3" s="17" t="s">
        <v>84</v>
      </c>
      <c r="M3" s="17" t="s">
        <v>85</v>
      </c>
      <c r="N3" s="17" t="s">
        <v>1305</v>
      </c>
      <c r="O3" s="17" t="s">
        <v>1306</v>
      </c>
      <c r="P3" s="17" t="n">
        <v>47.8</v>
      </c>
      <c r="Q3" s="17" t="n">
        <v>41.5</v>
      </c>
      <c r="R3" s="17" t="n">
        <v>48.8</v>
      </c>
      <c r="S3" s="17"/>
      <c r="T3" s="17"/>
      <c r="U3" s="17"/>
      <c r="V3" s="17" t="n">
        <v>47.5</v>
      </c>
      <c r="W3" s="17"/>
      <c r="X3" s="17"/>
      <c r="Y3" s="17"/>
      <c r="Z3" s="17"/>
      <c r="AA3" s="17"/>
      <c r="AB3" s="17" t="n">
        <v>1</v>
      </c>
      <c r="AC3" s="17" t="n">
        <v>3</v>
      </c>
      <c r="AD3" s="17" t="n">
        <f aca="false">IF(AND(N(AB3)&gt;0,N(AC3)&gt;0),SQRT(2*AB3/AC3),"")</f>
        <v>0.816496580927726</v>
      </c>
      <c r="AE3" s="17"/>
      <c r="AF3" s="17"/>
      <c r="AG3" s="17"/>
      <c r="AH3" s="17" t="n">
        <v>734</v>
      </c>
      <c r="AI3" s="17" t="n">
        <v>30.933</v>
      </c>
      <c r="AJ3" s="17" t="n">
        <v>5</v>
      </c>
      <c r="AK3" s="17"/>
      <c r="AL3" s="17"/>
      <c r="AM3" s="17" t="n">
        <v>7.4</v>
      </c>
      <c r="AN3" s="17"/>
      <c r="AO3" s="17"/>
      <c r="AP3" s="17"/>
      <c r="AQ3" s="17"/>
      <c r="AR3" s="17" t="s">
        <v>1472</v>
      </c>
      <c r="AS3" s="17" t="s">
        <v>1299</v>
      </c>
      <c r="AT3" s="17" t="s">
        <v>1300</v>
      </c>
      <c r="AU3" s="17" t="s">
        <v>1301</v>
      </c>
      <c r="AV3" s="17" t="s">
        <v>91</v>
      </c>
      <c r="AW3" s="29" t="s">
        <v>1473</v>
      </c>
      <c r="AX3" s="17" t="s">
        <v>852</v>
      </c>
      <c r="AY3" s="17" t="s">
        <v>1454</v>
      </c>
    </row>
    <row r="4" customFormat="false" ht="15" hidden="false" customHeight="true" outlineLevel="0" collapsed="false">
      <c r="A4" s="5" t="n">
        <v>166</v>
      </c>
      <c r="B4" s="5" t="n">
        <v>166</v>
      </c>
      <c r="C4" s="5" t="s">
        <v>807</v>
      </c>
      <c r="D4" s="5" t="n">
        <v>2014</v>
      </c>
      <c r="E4" s="5" t="s">
        <v>808</v>
      </c>
      <c r="F4" s="5" t="s">
        <v>811</v>
      </c>
      <c r="G4" s="5" t="s">
        <v>812</v>
      </c>
      <c r="H4" s="5" t="n">
        <v>29.067</v>
      </c>
      <c r="I4" s="5" t="n">
        <v>77.767</v>
      </c>
      <c r="J4" s="5" t="s">
        <v>83</v>
      </c>
      <c r="K4" s="5" t="n">
        <v>2011</v>
      </c>
      <c r="L4" s="5" t="s">
        <v>777</v>
      </c>
      <c r="M4" s="5" t="s">
        <v>85</v>
      </c>
      <c r="N4" s="5" t="s">
        <v>86</v>
      </c>
      <c r="O4" s="5" t="s">
        <v>1400</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1474</v>
      </c>
      <c r="AS4" s="5" t="s">
        <v>1402</v>
      </c>
      <c r="AT4" s="5" t="s">
        <v>1403</v>
      </c>
      <c r="AU4" s="5" t="s">
        <v>1404</v>
      </c>
      <c r="AV4" s="5" t="s">
        <v>1475</v>
      </c>
      <c r="AW4" s="22" t="s">
        <v>1476</v>
      </c>
      <c r="AX4" s="5" t="s">
        <v>823</v>
      </c>
      <c r="AY4" s="5" t="s">
        <v>1458</v>
      </c>
    </row>
    <row r="5" customFormat="false" ht="15" hidden="false" customHeight="true" outlineLevel="0" collapsed="false">
      <c r="A5" s="5" t="n">
        <v>166</v>
      </c>
      <c r="B5" s="5" t="n">
        <v>166</v>
      </c>
      <c r="C5" s="5" t="s">
        <v>807</v>
      </c>
      <c r="D5" s="5" t="n">
        <v>2014</v>
      </c>
      <c r="E5" s="5" t="s">
        <v>808</v>
      </c>
      <c r="F5" s="5" t="s">
        <v>811</v>
      </c>
      <c r="G5" s="5" t="s">
        <v>812</v>
      </c>
      <c r="H5" s="5" t="n">
        <v>29.067</v>
      </c>
      <c r="I5" s="5" t="n">
        <v>77.767</v>
      </c>
      <c r="J5" s="5" t="s">
        <v>83</v>
      </c>
      <c r="K5" s="5" t="n">
        <v>2011</v>
      </c>
      <c r="L5" s="5" t="s">
        <v>777</v>
      </c>
      <c r="M5" s="5" t="s">
        <v>85</v>
      </c>
      <c r="N5" s="5" t="s">
        <v>86</v>
      </c>
      <c r="O5" s="5" t="s">
        <v>1412</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1474</v>
      </c>
      <c r="AS5" s="5" t="s">
        <v>1402</v>
      </c>
      <c r="AT5" s="5" t="s">
        <v>1403</v>
      </c>
      <c r="AU5" s="5" t="s">
        <v>1404</v>
      </c>
      <c r="AV5" s="5" t="s">
        <v>1475</v>
      </c>
      <c r="AW5" s="22" t="s">
        <v>1477</v>
      </c>
      <c r="AX5" s="5" t="s">
        <v>823</v>
      </c>
      <c r="AY5" s="5" t="s">
        <v>1458</v>
      </c>
    </row>
    <row r="6" customFormat="false" ht="15" hidden="false" customHeight="true" outlineLevel="0" collapsed="false">
      <c r="A6" s="5" t="n">
        <v>166</v>
      </c>
      <c r="B6" s="5" t="n">
        <v>166</v>
      </c>
      <c r="C6" s="5" t="s">
        <v>807</v>
      </c>
      <c r="D6" s="5" t="n">
        <v>2014</v>
      </c>
      <c r="E6" s="5" t="s">
        <v>808</v>
      </c>
      <c r="F6" s="5" t="s">
        <v>811</v>
      </c>
      <c r="G6" s="5" t="s">
        <v>812</v>
      </c>
      <c r="H6" s="5" t="n">
        <v>29.067</v>
      </c>
      <c r="I6" s="5" t="n">
        <v>77.767</v>
      </c>
      <c r="J6" s="5" t="s">
        <v>83</v>
      </c>
      <c r="K6" s="5" t="n">
        <v>2011</v>
      </c>
      <c r="L6" s="5" t="s">
        <v>777</v>
      </c>
      <c r="M6" s="5" t="s">
        <v>85</v>
      </c>
      <c r="N6" s="5" t="s">
        <v>1305</v>
      </c>
      <c r="O6" s="5" t="s">
        <v>1306</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1474</v>
      </c>
      <c r="AS6" s="5" t="s">
        <v>1402</v>
      </c>
      <c r="AT6" s="5" t="s">
        <v>1403</v>
      </c>
      <c r="AU6" s="5" t="s">
        <v>1404</v>
      </c>
      <c r="AV6" s="5" t="s">
        <v>1475</v>
      </c>
      <c r="AW6" s="22" t="s">
        <v>1478</v>
      </c>
      <c r="AX6" s="5" t="s">
        <v>823</v>
      </c>
      <c r="AY6" s="5" t="s">
        <v>1458</v>
      </c>
    </row>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1479</v>
      </c>
      <c r="Q1" s="24" t="s">
        <v>1480</v>
      </c>
      <c r="R1" s="24" t="s">
        <v>1481</v>
      </c>
      <c r="S1" s="24" t="s">
        <v>1482</v>
      </c>
      <c r="T1" s="24" t="s">
        <v>1483</v>
      </c>
      <c r="U1" s="24" t="s">
        <v>1484</v>
      </c>
      <c r="V1" s="24" t="s">
        <v>1485</v>
      </c>
      <c r="W1" s="24" t="s">
        <v>1486</v>
      </c>
      <c r="X1" s="27" t="s">
        <v>1487</v>
      </c>
      <c r="Y1" s="27" t="s">
        <v>1488</v>
      </c>
      <c r="Z1" s="27" t="s">
        <v>1489</v>
      </c>
      <c r="AA1" s="27" t="s">
        <v>1490</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1298</v>
      </c>
      <c r="P2" s="17" t="n">
        <v>11.9</v>
      </c>
      <c r="Q2" s="17" t="n">
        <v>14.8</v>
      </c>
      <c r="R2" s="17" t="n">
        <v>13.1</v>
      </c>
      <c r="S2" s="17"/>
      <c r="T2" s="17"/>
      <c r="U2" s="17"/>
      <c r="V2" s="17" t="n">
        <v>14.1</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1491</v>
      </c>
      <c r="AS2" s="17" t="s">
        <v>1299</v>
      </c>
      <c r="AT2" s="17" t="s">
        <v>1300</v>
      </c>
      <c r="AU2" s="17" t="s">
        <v>1301</v>
      </c>
      <c r="AV2" s="17" t="s">
        <v>91</v>
      </c>
      <c r="AW2" s="29" t="s">
        <v>1492</v>
      </c>
      <c r="AX2" s="17" t="s">
        <v>852</v>
      </c>
      <c r="AY2" s="17" t="s">
        <v>1454</v>
      </c>
      <c r="BA2" s="30" t="s">
        <v>891</v>
      </c>
    </row>
    <row r="3" customFormat="false" ht="15" hidden="false" customHeight="true" outlineLevel="0" collapsed="false">
      <c r="A3" s="17" t="n">
        <v>168</v>
      </c>
      <c r="B3" s="17" t="n">
        <v>168</v>
      </c>
      <c r="C3" s="17" t="s">
        <v>837</v>
      </c>
      <c r="D3" s="17" t="n">
        <v>2020</v>
      </c>
      <c r="E3" s="17" t="s">
        <v>838</v>
      </c>
      <c r="F3" s="17" t="s">
        <v>841</v>
      </c>
      <c r="G3" s="17" t="s">
        <v>842</v>
      </c>
      <c r="H3" s="17" t="n">
        <v>30.933</v>
      </c>
      <c r="I3" s="17" t="n">
        <v>75.867</v>
      </c>
      <c r="J3" s="17" t="s">
        <v>845</v>
      </c>
      <c r="K3" s="17" t="n">
        <v>2016</v>
      </c>
      <c r="L3" s="17" t="s">
        <v>84</v>
      </c>
      <c r="M3" s="17" t="s">
        <v>85</v>
      </c>
      <c r="N3" s="17" t="s">
        <v>1305</v>
      </c>
      <c r="O3" s="17" t="s">
        <v>1306</v>
      </c>
      <c r="P3" s="17" t="n">
        <v>12</v>
      </c>
      <c r="Q3" s="17" t="n">
        <v>15</v>
      </c>
      <c r="R3" s="17" t="n">
        <v>12.1</v>
      </c>
      <c r="S3" s="17"/>
      <c r="T3" s="17"/>
      <c r="U3" s="17"/>
      <c r="V3" s="17" t="n">
        <v>13.6</v>
      </c>
      <c r="W3" s="17"/>
      <c r="X3" s="17"/>
      <c r="Y3" s="17"/>
      <c r="Z3" s="17"/>
      <c r="AA3" s="17"/>
      <c r="AB3" s="17" t="n">
        <v>1</v>
      </c>
      <c r="AC3" s="17" t="n">
        <v>3</v>
      </c>
      <c r="AD3" s="17" t="n">
        <f aca="false">IF(AND(N(AB3)&gt;0,N(AC3)&gt;0),SQRT(2*AB3/AC3),"")</f>
        <v>0.816496580927726</v>
      </c>
      <c r="AE3" s="17"/>
      <c r="AF3" s="17"/>
      <c r="AG3" s="17"/>
      <c r="AH3" s="17" t="n">
        <v>734</v>
      </c>
      <c r="AI3" s="17" t="n">
        <v>30.933</v>
      </c>
      <c r="AJ3" s="17" t="n">
        <v>5</v>
      </c>
      <c r="AK3" s="17"/>
      <c r="AL3" s="17"/>
      <c r="AM3" s="17" t="n">
        <v>7.4</v>
      </c>
      <c r="AN3" s="17"/>
      <c r="AO3" s="17"/>
      <c r="AP3" s="17"/>
      <c r="AQ3" s="17"/>
      <c r="AR3" s="17" t="s">
        <v>1491</v>
      </c>
      <c r="AS3" s="17" t="s">
        <v>1299</v>
      </c>
      <c r="AT3" s="17" t="s">
        <v>1300</v>
      </c>
      <c r="AU3" s="17" t="s">
        <v>1301</v>
      </c>
      <c r="AV3" s="17" t="s">
        <v>91</v>
      </c>
      <c r="AW3" s="29" t="s">
        <v>1492</v>
      </c>
      <c r="AX3" s="17" t="s">
        <v>852</v>
      </c>
      <c r="AY3" s="17" t="s">
        <v>1454</v>
      </c>
    </row>
    <row r="4" customFormat="false" ht="15" hidden="false" customHeight="true" outlineLevel="0" collapsed="false">
      <c r="A4" s="5" t="n">
        <v>166</v>
      </c>
      <c r="B4" s="5" t="n">
        <v>166</v>
      </c>
      <c r="C4" s="5" t="s">
        <v>807</v>
      </c>
      <c r="D4" s="5" t="n">
        <v>2014</v>
      </c>
      <c r="E4" s="5" t="s">
        <v>808</v>
      </c>
      <c r="F4" s="5" t="s">
        <v>811</v>
      </c>
      <c r="G4" s="5" t="s">
        <v>812</v>
      </c>
      <c r="H4" s="5" t="n">
        <v>29.067</v>
      </c>
      <c r="I4" s="5" t="n">
        <v>77.767</v>
      </c>
      <c r="J4" s="5" t="s">
        <v>83</v>
      </c>
      <c r="K4" s="5" t="n">
        <v>2011</v>
      </c>
      <c r="L4" s="5" t="s">
        <v>777</v>
      </c>
      <c r="M4" s="5" t="s">
        <v>85</v>
      </c>
      <c r="N4" s="5" t="s">
        <v>86</v>
      </c>
      <c r="O4" s="5" t="s">
        <v>1400</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1493</v>
      </c>
      <c r="AS4" s="5" t="s">
        <v>1402</v>
      </c>
      <c r="AT4" s="5" t="s">
        <v>1403</v>
      </c>
      <c r="AU4" s="5" t="s">
        <v>1404</v>
      </c>
      <c r="AV4" s="5" t="s">
        <v>1397</v>
      </c>
      <c r="AW4" s="22" t="s">
        <v>1494</v>
      </c>
      <c r="AX4" s="5" t="s">
        <v>823</v>
      </c>
      <c r="AY4" s="5" t="s">
        <v>1458</v>
      </c>
    </row>
    <row r="5" customFormat="false" ht="15" hidden="false" customHeight="true" outlineLevel="0" collapsed="false">
      <c r="A5" s="5" t="n">
        <v>166</v>
      </c>
      <c r="B5" s="5" t="n">
        <v>166</v>
      </c>
      <c r="C5" s="5" t="s">
        <v>807</v>
      </c>
      <c r="D5" s="5" t="n">
        <v>2014</v>
      </c>
      <c r="E5" s="5" t="s">
        <v>808</v>
      </c>
      <c r="F5" s="5" t="s">
        <v>811</v>
      </c>
      <c r="G5" s="5" t="s">
        <v>812</v>
      </c>
      <c r="H5" s="5" t="n">
        <v>29.067</v>
      </c>
      <c r="I5" s="5" t="n">
        <v>77.767</v>
      </c>
      <c r="J5" s="5" t="s">
        <v>83</v>
      </c>
      <c r="K5" s="5" t="n">
        <v>2011</v>
      </c>
      <c r="L5" s="5" t="s">
        <v>777</v>
      </c>
      <c r="M5" s="5" t="s">
        <v>85</v>
      </c>
      <c r="N5" s="5" t="s">
        <v>86</v>
      </c>
      <c r="O5" s="5" t="s">
        <v>1412</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1493</v>
      </c>
      <c r="AS5" s="5" t="s">
        <v>1402</v>
      </c>
      <c r="AT5" s="5" t="s">
        <v>1403</v>
      </c>
      <c r="AU5" s="5" t="s">
        <v>1404</v>
      </c>
      <c r="AV5" s="5" t="s">
        <v>1397</v>
      </c>
      <c r="AW5" s="22" t="s">
        <v>1494</v>
      </c>
      <c r="AX5" s="5" t="s">
        <v>823</v>
      </c>
      <c r="AY5" s="5" t="s">
        <v>1458</v>
      </c>
    </row>
    <row r="6" customFormat="false" ht="15" hidden="false" customHeight="true" outlineLevel="0" collapsed="false">
      <c r="A6" s="5" t="n">
        <v>166</v>
      </c>
      <c r="B6" s="5" t="n">
        <v>166</v>
      </c>
      <c r="C6" s="5" t="s">
        <v>807</v>
      </c>
      <c r="D6" s="5" t="n">
        <v>2014</v>
      </c>
      <c r="E6" s="5" t="s">
        <v>808</v>
      </c>
      <c r="F6" s="5" t="s">
        <v>811</v>
      </c>
      <c r="G6" s="5" t="s">
        <v>812</v>
      </c>
      <c r="H6" s="5" t="n">
        <v>29.067</v>
      </c>
      <c r="I6" s="5" t="n">
        <v>77.767</v>
      </c>
      <c r="J6" s="5" t="s">
        <v>83</v>
      </c>
      <c r="K6" s="5" t="n">
        <v>2011</v>
      </c>
      <c r="L6" s="5" t="s">
        <v>777</v>
      </c>
      <c r="M6" s="5" t="s">
        <v>85</v>
      </c>
      <c r="N6" s="5" t="s">
        <v>1305</v>
      </c>
      <c r="O6" s="5" t="s">
        <v>1306</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1493</v>
      </c>
      <c r="AS6" s="5" t="s">
        <v>1402</v>
      </c>
      <c r="AT6" s="5" t="s">
        <v>1403</v>
      </c>
      <c r="AU6" s="5" t="s">
        <v>1404</v>
      </c>
      <c r="AV6" s="5" t="s">
        <v>1397</v>
      </c>
      <c r="AW6" s="22" t="s">
        <v>1495</v>
      </c>
      <c r="AX6" s="5" t="s">
        <v>823</v>
      </c>
      <c r="AY6" s="5" t="s">
        <v>1458</v>
      </c>
    </row>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1496</v>
      </c>
      <c r="Q1" s="24" t="s">
        <v>1497</v>
      </c>
      <c r="R1" s="24" t="s">
        <v>1498</v>
      </c>
      <c r="S1" s="24" t="s">
        <v>1499</v>
      </c>
      <c r="T1" s="24" t="s">
        <v>1500</v>
      </c>
      <c r="U1" s="24" t="s">
        <v>1501</v>
      </c>
      <c r="V1" s="24" t="s">
        <v>1502</v>
      </c>
      <c r="W1" s="24" t="s">
        <v>1503</v>
      </c>
      <c r="X1" s="27" t="s">
        <v>1504</v>
      </c>
      <c r="Y1" s="27" t="s">
        <v>1505</v>
      </c>
      <c r="Z1" s="27" t="s">
        <v>1506</v>
      </c>
      <c r="AA1" s="27" t="s">
        <v>1507</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5" t="n">
        <v>166</v>
      </c>
      <c r="B2" s="5" t="n">
        <v>166</v>
      </c>
      <c r="C2" s="5" t="s">
        <v>807</v>
      </c>
      <c r="D2" s="5" t="n">
        <v>2014</v>
      </c>
      <c r="E2" s="5" t="s">
        <v>808</v>
      </c>
      <c r="F2" s="5" t="s">
        <v>811</v>
      </c>
      <c r="G2" s="5" t="s">
        <v>812</v>
      </c>
      <c r="H2" s="5" t="n">
        <v>29.067</v>
      </c>
      <c r="I2" s="5" t="n">
        <v>77.767</v>
      </c>
      <c r="J2" s="5" t="s">
        <v>83</v>
      </c>
      <c r="K2" s="5" t="n">
        <v>2011</v>
      </c>
      <c r="L2" s="5" t="s">
        <v>777</v>
      </c>
      <c r="M2" s="5" t="s">
        <v>85</v>
      </c>
      <c r="N2" s="5" t="s">
        <v>86</v>
      </c>
      <c r="O2" s="5" t="s">
        <v>1400</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1508</v>
      </c>
      <c r="AS2" s="5" t="s">
        <v>1402</v>
      </c>
      <c r="AT2" s="5" t="s">
        <v>1403</v>
      </c>
      <c r="AU2" s="5" t="s">
        <v>1404</v>
      </c>
      <c r="AV2" s="5" t="s">
        <v>1509</v>
      </c>
      <c r="AW2" s="22" t="s">
        <v>1510</v>
      </c>
      <c r="AX2" s="5" t="s">
        <v>823</v>
      </c>
      <c r="AY2" s="5" t="s">
        <v>1511</v>
      </c>
      <c r="BA2" s="30" t="s">
        <v>893</v>
      </c>
    </row>
    <row r="3" customFormat="false" ht="15" hidden="false" customHeight="true" outlineLevel="0" collapsed="false">
      <c r="A3" s="5" t="n">
        <v>166</v>
      </c>
      <c r="B3" s="5" t="n">
        <v>166</v>
      </c>
      <c r="C3" s="5" t="s">
        <v>807</v>
      </c>
      <c r="D3" s="5" t="n">
        <v>2014</v>
      </c>
      <c r="E3" s="5" t="s">
        <v>808</v>
      </c>
      <c r="F3" s="5" t="s">
        <v>811</v>
      </c>
      <c r="G3" s="5" t="s">
        <v>812</v>
      </c>
      <c r="H3" s="5" t="n">
        <v>29.067</v>
      </c>
      <c r="I3" s="5" t="n">
        <v>77.767</v>
      </c>
      <c r="J3" s="5" t="s">
        <v>83</v>
      </c>
      <c r="K3" s="5" t="n">
        <v>2011</v>
      </c>
      <c r="L3" s="5" t="s">
        <v>777</v>
      </c>
      <c r="M3" s="5" t="s">
        <v>85</v>
      </c>
      <c r="N3" s="5" t="s">
        <v>86</v>
      </c>
      <c r="O3" s="5" t="s">
        <v>1412</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1508</v>
      </c>
      <c r="AS3" s="5" t="s">
        <v>1402</v>
      </c>
      <c r="AT3" s="5" t="s">
        <v>1403</v>
      </c>
      <c r="AU3" s="5" t="s">
        <v>1404</v>
      </c>
      <c r="AV3" s="5" t="s">
        <v>1509</v>
      </c>
      <c r="AW3" s="22" t="s">
        <v>1512</v>
      </c>
      <c r="AX3" s="5" t="s">
        <v>823</v>
      </c>
      <c r="AY3" s="5" t="s">
        <v>1511</v>
      </c>
    </row>
    <row r="4" customFormat="false" ht="15" hidden="false" customHeight="true" outlineLevel="0" collapsed="false">
      <c r="A4" s="5" t="n">
        <v>166</v>
      </c>
      <c r="B4" s="5" t="n">
        <v>166</v>
      </c>
      <c r="C4" s="5" t="s">
        <v>807</v>
      </c>
      <c r="D4" s="5" t="n">
        <v>2014</v>
      </c>
      <c r="E4" s="5" t="s">
        <v>808</v>
      </c>
      <c r="F4" s="5" t="s">
        <v>811</v>
      </c>
      <c r="G4" s="5" t="s">
        <v>812</v>
      </c>
      <c r="H4" s="5" t="n">
        <v>29.067</v>
      </c>
      <c r="I4" s="5" t="n">
        <v>77.767</v>
      </c>
      <c r="J4" s="5" t="s">
        <v>83</v>
      </c>
      <c r="K4" s="5" t="n">
        <v>2011</v>
      </c>
      <c r="L4" s="5" t="s">
        <v>777</v>
      </c>
      <c r="M4" s="5" t="s">
        <v>85</v>
      </c>
      <c r="N4" s="5" t="s">
        <v>1305</v>
      </c>
      <c r="O4" s="5" t="s">
        <v>1306</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1508</v>
      </c>
      <c r="AS4" s="5" t="s">
        <v>1402</v>
      </c>
      <c r="AT4" s="5" t="s">
        <v>1403</v>
      </c>
      <c r="AU4" s="5" t="s">
        <v>1404</v>
      </c>
      <c r="AV4" s="5" t="s">
        <v>1509</v>
      </c>
      <c r="AW4" s="22" t="s">
        <v>1513</v>
      </c>
      <c r="AX4" s="5" t="s">
        <v>823</v>
      </c>
      <c r="AY4" s="5" t="s">
        <v>1511</v>
      </c>
    </row>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1514</v>
      </c>
      <c r="Q1" s="24" t="s">
        <v>1515</v>
      </c>
      <c r="R1" s="24" t="s">
        <v>1516</v>
      </c>
      <c r="S1" s="24" t="s">
        <v>1517</v>
      </c>
      <c r="T1" s="24" t="s">
        <v>1518</v>
      </c>
      <c r="U1" s="24" t="s">
        <v>1519</v>
      </c>
      <c r="V1" s="24" t="s">
        <v>1520</v>
      </c>
      <c r="W1" s="24" t="s">
        <v>1521</v>
      </c>
      <c r="X1" s="27" t="s">
        <v>1522</v>
      </c>
      <c r="Y1" s="27" t="s">
        <v>1523</v>
      </c>
      <c r="Z1" s="27" t="s">
        <v>1524</v>
      </c>
      <c r="AA1" s="27" t="s">
        <v>1525</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5" t="n">
        <v>166</v>
      </c>
      <c r="B2" s="5" t="n">
        <v>166</v>
      </c>
      <c r="C2" s="5" t="s">
        <v>807</v>
      </c>
      <c r="D2" s="5" t="n">
        <v>2014</v>
      </c>
      <c r="E2" s="5" t="s">
        <v>808</v>
      </c>
      <c r="F2" s="5" t="s">
        <v>811</v>
      </c>
      <c r="G2" s="5" t="s">
        <v>812</v>
      </c>
      <c r="H2" s="5" t="n">
        <v>29.067</v>
      </c>
      <c r="I2" s="5" t="n">
        <v>77.767</v>
      </c>
      <c r="J2" s="5" t="s">
        <v>83</v>
      </c>
      <c r="K2" s="5" t="n">
        <v>2011</v>
      </c>
      <c r="L2" s="5" t="s">
        <v>777</v>
      </c>
      <c r="M2" s="5" t="s">
        <v>85</v>
      </c>
      <c r="N2" s="5" t="s">
        <v>86</v>
      </c>
      <c r="O2" s="5" t="s">
        <v>1400</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1526</v>
      </c>
      <c r="AS2" s="5" t="s">
        <v>1402</v>
      </c>
      <c r="AT2" s="5" t="s">
        <v>1403</v>
      </c>
      <c r="AU2" s="5" t="s">
        <v>1404</v>
      </c>
      <c r="AV2" s="5" t="s">
        <v>1302</v>
      </c>
      <c r="AW2" s="22" t="s">
        <v>1494</v>
      </c>
      <c r="AX2" s="5" t="s">
        <v>823</v>
      </c>
      <c r="AY2" s="5" t="s">
        <v>1527</v>
      </c>
      <c r="BA2" s="30" t="s">
        <v>896</v>
      </c>
    </row>
    <row r="3" customFormat="false" ht="15" hidden="false" customHeight="true" outlineLevel="0" collapsed="false">
      <c r="A3" s="5" t="n">
        <v>166</v>
      </c>
      <c r="B3" s="5" t="n">
        <v>166</v>
      </c>
      <c r="C3" s="5" t="s">
        <v>807</v>
      </c>
      <c r="D3" s="5" t="n">
        <v>2014</v>
      </c>
      <c r="E3" s="5" t="s">
        <v>808</v>
      </c>
      <c r="F3" s="5" t="s">
        <v>811</v>
      </c>
      <c r="G3" s="5" t="s">
        <v>812</v>
      </c>
      <c r="H3" s="5" t="n">
        <v>29.067</v>
      </c>
      <c r="I3" s="5" t="n">
        <v>77.767</v>
      </c>
      <c r="J3" s="5" t="s">
        <v>83</v>
      </c>
      <c r="K3" s="5" t="n">
        <v>2011</v>
      </c>
      <c r="L3" s="5" t="s">
        <v>777</v>
      </c>
      <c r="M3" s="5" t="s">
        <v>85</v>
      </c>
      <c r="N3" s="5" t="s">
        <v>86</v>
      </c>
      <c r="O3" s="5" t="s">
        <v>1412</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1526</v>
      </c>
      <c r="AS3" s="5" t="s">
        <v>1402</v>
      </c>
      <c r="AT3" s="5" t="s">
        <v>1403</v>
      </c>
      <c r="AU3" s="5" t="s">
        <v>1404</v>
      </c>
      <c r="AV3" s="5" t="s">
        <v>1302</v>
      </c>
      <c r="AW3" s="22" t="s">
        <v>1494</v>
      </c>
      <c r="AX3" s="5" t="s">
        <v>823</v>
      </c>
      <c r="AY3" s="5" t="s">
        <v>1527</v>
      </c>
    </row>
    <row r="4" customFormat="false" ht="15" hidden="false" customHeight="true" outlineLevel="0" collapsed="false">
      <c r="A4" s="5" t="n">
        <v>166</v>
      </c>
      <c r="B4" s="5" t="n">
        <v>166</v>
      </c>
      <c r="C4" s="5" t="s">
        <v>807</v>
      </c>
      <c r="D4" s="5" t="n">
        <v>2014</v>
      </c>
      <c r="E4" s="5" t="s">
        <v>808</v>
      </c>
      <c r="F4" s="5" t="s">
        <v>811</v>
      </c>
      <c r="G4" s="5" t="s">
        <v>812</v>
      </c>
      <c r="H4" s="5" t="n">
        <v>29.067</v>
      </c>
      <c r="I4" s="5" t="n">
        <v>77.767</v>
      </c>
      <c r="J4" s="5" t="s">
        <v>83</v>
      </c>
      <c r="K4" s="5" t="n">
        <v>2011</v>
      </c>
      <c r="L4" s="5" t="s">
        <v>777</v>
      </c>
      <c r="M4" s="5" t="s">
        <v>85</v>
      </c>
      <c r="N4" s="5" t="s">
        <v>1305</v>
      </c>
      <c r="O4" s="5" t="s">
        <v>1306</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1526</v>
      </c>
      <c r="AS4" s="5" t="s">
        <v>1402</v>
      </c>
      <c r="AT4" s="5" t="s">
        <v>1403</v>
      </c>
      <c r="AU4" s="5" t="s">
        <v>1404</v>
      </c>
      <c r="AV4" s="5" t="s">
        <v>1302</v>
      </c>
      <c r="AW4" s="22" t="s">
        <v>1495</v>
      </c>
      <c r="AX4" s="5" t="s">
        <v>823</v>
      </c>
      <c r="AY4" s="5" t="s">
        <v>1527</v>
      </c>
    </row>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1528</v>
      </c>
      <c r="Q1" s="24" t="s">
        <v>1529</v>
      </c>
      <c r="R1" s="24" t="s">
        <v>1530</v>
      </c>
      <c r="S1" s="24" t="s">
        <v>1531</v>
      </c>
      <c r="T1" s="24" t="s">
        <v>1532</v>
      </c>
      <c r="U1" s="24" t="s">
        <v>1533</v>
      </c>
      <c r="V1" s="24" t="s">
        <v>1534</v>
      </c>
      <c r="W1" s="24" t="s">
        <v>1535</v>
      </c>
      <c r="X1" s="27" t="s">
        <v>1536</v>
      </c>
      <c r="Y1" s="27" t="s">
        <v>1537</v>
      </c>
      <c r="Z1" s="27" t="s">
        <v>1538</v>
      </c>
      <c r="AA1" s="27" t="s">
        <v>1539</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1" t="s">
        <v>898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1540</v>
      </c>
      <c r="Q1" s="24" t="s">
        <v>1541</v>
      </c>
      <c r="R1" s="24" t="s">
        <v>1542</v>
      </c>
      <c r="S1" s="24" t="s">
        <v>1543</v>
      </c>
      <c r="T1" s="24" t="s">
        <v>1544</v>
      </c>
      <c r="U1" s="24" t="s">
        <v>1545</v>
      </c>
      <c r="V1" s="24" t="s">
        <v>1546</v>
      </c>
      <c r="W1" s="24" t="s">
        <v>1547</v>
      </c>
      <c r="X1" s="27" t="s">
        <v>1548</v>
      </c>
      <c r="Y1" s="27" t="s">
        <v>1549</v>
      </c>
      <c r="Z1" s="27" t="s">
        <v>1550</v>
      </c>
      <c r="AA1" s="27" t="s">
        <v>1551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5" t="n">
        <v>165</v>
      </c>
      <c r="B2" s="5" t="n">
        <v>165</v>
      </c>
      <c r="C2" s="5" t="s">
        <v>786</v>
      </c>
      <c r="D2" s="5" t="n">
        <v>2012</v>
      </c>
      <c r="E2" s="5" t="s">
        <v>787</v>
      </c>
      <c r="F2" s="5" t="s">
        <v>790</v>
      </c>
      <c r="G2" s="5" t="s">
        <v>791</v>
      </c>
      <c r="H2" s="5" t="n">
        <v>28.633</v>
      </c>
      <c r="I2" s="5" t="n">
        <v>77.183</v>
      </c>
      <c r="J2" s="5" t="s">
        <v>83</v>
      </c>
      <c r="K2" s="5" t="s">
        <v>1307</v>
      </c>
      <c r="L2" s="5" t="s">
        <v>796</v>
      </c>
      <c r="M2" s="5" t="s">
        <v>85</v>
      </c>
      <c r="N2" s="5" t="s">
        <v>86</v>
      </c>
      <c r="O2" s="5" t="s">
        <v>1298</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1552</v>
      </c>
      <c r="AS2" s="5" t="s">
        <v>1308</v>
      </c>
      <c r="AT2" s="5" t="s">
        <v>1309</v>
      </c>
      <c r="AU2" s="5" t="s">
        <v>1310</v>
      </c>
      <c r="AV2" s="5" t="s">
        <v>1311</v>
      </c>
      <c r="AW2" s="22" t="s">
        <v>1553</v>
      </c>
      <c r="AX2" s="5" t="s">
        <v>804</v>
      </c>
      <c r="AY2" s="5" t="s">
        <v>1554</v>
      </c>
      <c r="BA2" s="30" t="s">
        <v>900</v>
      </c>
    </row>
    <row r="3" customFormat="false" ht="15" hidden="false" customHeight="true" outlineLevel="0" collapsed="false">
      <c r="A3" s="5" t="n">
        <v>165</v>
      </c>
      <c r="B3" s="5" t="n">
        <v>165</v>
      </c>
      <c r="C3" s="5" t="s">
        <v>786</v>
      </c>
      <c r="D3" s="5" t="n">
        <v>2012</v>
      </c>
      <c r="E3" s="5" t="s">
        <v>787</v>
      </c>
      <c r="F3" s="5" t="s">
        <v>790</v>
      </c>
      <c r="G3" s="5" t="s">
        <v>791</v>
      </c>
      <c r="H3" s="5" t="n">
        <v>28.633</v>
      </c>
      <c r="I3" s="5" t="n">
        <v>77.183</v>
      </c>
      <c r="J3" s="5" t="s">
        <v>83</v>
      </c>
      <c r="K3" s="5" t="s">
        <v>1307</v>
      </c>
      <c r="L3" s="5" t="s">
        <v>796</v>
      </c>
      <c r="M3" s="5" t="s">
        <v>85</v>
      </c>
      <c r="N3" s="5" t="s">
        <v>86</v>
      </c>
      <c r="O3" s="5" t="s">
        <v>1298</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1552</v>
      </c>
      <c r="AS3" s="5" t="s">
        <v>1314</v>
      </c>
      <c r="AT3" s="5" t="s">
        <v>1315</v>
      </c>
      <c r="AU3" s="5" t="s">
        <v>1310</v>
      </c>
      <c r="AV3" s="5" t="s">
        <v>1311</v>
      </c>
      <c r="AW3" s="22" t="s">
        <v>1555</v>
      </c>
      <c r="AX3" s="5" t="s">
        <v>804</v>
      </c>
      <c r="AY3" s="5" t="s">
        <v>1554</v>
      </c>
    </row>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1556</v>
      </c>
      <c r="Q1" s="24" t="s">
        <v>1557</v>
      </c>
      <c r="R1" s="24" t="s">
        <v>1558</v>
      </c>
      <c r="S1" s="24" t="s">
        <v>1559</v>
      </c>
      <c r="T1" s="24" t="s">
        <v>1560</v>
      </c>
      <c r="U1" s="24" t="s">
        <v>1561</v>
      </c>
      <c r="V1" s="24" t="s">
        <v>1562</v>
      </c>
      <c r="W1" s="24" t="s">
        <v>1563</v>
      </c>
      <c r="X1" s="27" t="s">
        <v>1564</v>
      </c>
      <c r="Y1" s="27" t="s">
        <v>1565</v>
      </c>
      <c r="Z1" s="27" t="s">
        <v>1566</v>
      </c>
      <c r="AA1" s="27" t="s">
        <v>1567</v>
      </c>
      <c r="AB1" s="24" t="s">
        <v>1568</v>
      </c>
      <c r="AC1" s="24" t="s">
        <v>1569</v>
      </c>
      <c r="AD1" s="24" t="s">
        <v>1570</v>
      </c>
      <c r="AE1" s="24" t="s">
        <v>1571</v>
      </c>
      <c r="AF1" s="24" t="s">
        <v>1572</v>
      </c>
      <c r="AG1" s="24" t="s">
        <v>1573</v>
      </c>
      <c r="AH1" s="24" t="s">
        <v>1574</v>
      </c>
      <c r="AI1" s="24" t="s">
        <v>1575</v>
      </c>
      <c r="AJ1" s="27" t="s">
        <v>1576</v>
      </c>
      <c r="AK1" s="27" t="s">
        <v>1577</v>
      </c>
      <c r="AL1" s="27" t="s">
        <v>1578</v>
      </c>
      <c r="AM1" s="27" t="s">
        <v>1579</v>
      </c>
      <c r="AN1" s="25" t="s">
        <v>35</v>
      </c>
      <c r="AO1" s="25" t="s">
        <v>33</v>
      </c>
      <c r="AP1" s="25" t="s">
        <v>37</v>
      </c>
      <c r="AQ1" s="20" t="s">
        <v>73</v>
      </c>
      <c r="AR1" s="20" t="s">
        <v>750</v>
      </c>
      <c r="AS1" s="20" t="s">
        <v>751</v>
      </c>
      <c r="AT1" s="20" t="s">
        <v>74</v>
      </c>
      <c r="AU1" s="20" t="s">
        <v>1291</v>
      </c>
      <c r="AV1" s="20" t="s">
        <v>1292</v>
      </c>
      <c r="AW1" s="20" t="s">
        <v>752</v>
      </c>
      <c r="AX1" s="20" t="s">
        <v>753</v>
      </c>
      <c r="AY1" s="20" t="s">
        <v>75</v>
      </c>
      <c r="AZ1" s="20" t="s">
        <v>748</v>
      </c>
      <c r="BA1" s="20" t="s">
        <v>749</v>
      </c>
      <c r="BB1" s="20" t="s">
        <v>746</v>
      </c>
      <c r="BC1" s="20" t="s">
        <v>747</v>
      </c>
      <c r="BD1" s="21" t="s">
        <v>76</v>
      </c>
      <c r="BE1" s="21" t="s">
        <v>77</v>
      </c>
      <c r="BF1" s="21" t="s">
        <v>1293</v>
      </c>
      <c r="BG1" s="21" t="s">
        <v>1294</v>
      </c>
      <c r="BH1" s="21" t="s">
        <v>78</v>
      </c>
      <c r="BI1" s="21" t="s">
        <v>765</v>
      </c>
      <c r="BJ1" s="21" t="s">
        <v>1295</v>
      </c>
      <c r="BK1" s="21" t="s">
        <v>1296</v>
      </c>
      <c r="BM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1580</v>
      </c>
      <c r="P2" s="17" t="n">
        <v>1</v>
      </c>
      <c r="Q2" s="17" t="n">
        <v>0.47</v>
      </c>
      <c r="R2" s="17" t="n">
        <v>0.53</v>
      </c>
      <c r="S2" s="17"/>
      <c r="T2" s="17"/>
      <c r="U2" s="17"/>
      <c r="V2" s="17" t="n">
        <v>0.8</v>
      </c>
      <c r="W2" s="17"/>
      <c r="X2" s="17"/>
      <c r="Y2" s="17"/>
      <c r="Z2" s="17"/>
      <c r="AA2" s="17"/>
      <c r="AB2" s="17" t="n">
        <v>39</v>
      </c>
      <c r="AC2" s="17" t="n">
        <v>21</v>
      </c>
      <c r="AD2" s="17" t="n">
        <v>25</v>
      </c>
      <c r="AE2" s="17"/>
      <c r="AF2" s="17"/>
      <c r="AG2" s="17"/>
      <c r="AH2" s="17" t="n">
        <v>33</v>
      </c>
      <c r="AI2" s="17"/>
      <c r="AJ2" s="17"/>
      <c r="AK2" s="17"/>
      <c r="AL2" s="17"/>
      <c r="AM2" s="17"/>
      <c r="AN2" s="17" t="n">
        <v>1</v>
      </c>
      <c r="AO2" s="17" t="n">
        <v>3</v>
      </c>
      <c r="AP2" s="17" t="n">
        <f aca="false">IF(AND(N(AN2)&gt;0,N(AO2)&gt;0),SQRT(2*AN2/AO2),"")</f>
        <v>0.816496580927726</v>
      </c>
      <c r="AQ2" s="17"/>
      <c r="AR2" s="17"/>
      <c r="AS2" s="17"/>
      <c r="AT2" s="17" t="n">
        <v>734</v>
      </c>
      <c r="AU2" s="17" t="n">
        <v>30.933</v>
      </c>
      <c r="AV2" s="17" t="n">
        <v>5</v>
      </c>
      <c r="AW2" s="17"/>
      <c r="AX2" s="17"/>
      <c r="AY2" s="17" t="n">
        <v>7.4</v>
      </c>
      <c r="AZ2" s="17"/>
      <c r="BA2" s="17"/>
      <c r="BB2" s="17"/>
      <c r="BC2" s="17"/>
      <c r="BD2" s="17" t="s">
        <v>1581</v>
      </c>
      <c r="BE2" s="17" t="s">
        <v>1299</v>
      </c>
      <c r="BF2" s="17" t="s">
        <v>1300</v>
      </c>
      <c r="BG2" s="17" t="s">
        <v>1301</v>
      </c>
      <c r="BH2" s="17" t="s">
        <v>1582</v>
      </c>
      <c r="BI2" s="29" t="s">
        <v>1583</v>
      </c>
      <c r="BJ2" s="17" t="s">
        <v>852</v>
      </c>
      <c r="BK2" s="17" t="s">
        <v>1584</v>
      </c>
      <c r="BM2" s="1" t="s">
        <v>903</v>
      </c>
    </row>
    <row r="3" customFormat="false" ht="15" hidden="false" customHeight="true" outlineLevel="0" collapsed="false"/>
    <row r="4" customFormat="false" ht="15" hidden="false" customHeight="true" outlineLevel="0" collapsed="false"/>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1585</v>
      </c>
      <c r="Q1" s="24" t="s">
        <v>1586</v>
      </c>
      <c r="R1" s="24" t="s">
        <v>1587</v>
      </c>
      <c r="S1" s="24" t="s">
        <v>1588</v>
      </c>
      <c r="T1" s="24" t="s">
        <v>1589</v>
      </c>
      <c r="U1" s="24" t="s">
        <v>1590</v>
      </c>
      <c r="V1" s="24" t="s">
        <v>1591</v>
      </c>
      <c r="W1" s="24" t="s">
        <v>1592</v>
      </c>
      <c r="X1" s="27" t="s">
        <v>1593</v>
      </c>
      <c r="Y1" s="27" t="s">
        <v>1594</v>
      </c>
      <c r="Z1" s="27" t="s">
        <v>1595</v>
      </c>
      <c r="AA1" s="27" t="s">
        <v>1596</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1298</v>
      </c>
      <c r="P2" s="17" t="n">
        <f aca="false">ROUND('FC (weight basis)'!P2-'PWP (weight basis)'!P2,2)</f>
        <v>19.38</v>
      </c>
      <c r="Q2" s="17" t="n">
        <f aca="false">ROUND('FC (weight basis)'!Q2-'PWP (weight basis)'!Q2,2)</f>
        <v>15.51</v>
      </c>
      <c r="R2" s="17" t="n">
        <f aca="false">ROUND('FC (weight basis)'!R2-'PWP (weight basis)'!R2,2)</f>
        <v>15.81</v>
      </c>
      <c r="S2" s="17"/>
      <c r="T2" s="17"/>
      <c r="U2" s="17"/>
      <c r="V2" s="17" t="n">
        <f aca="false">ROUND('FC (weight basis)'!V2-'PWP (weight basis)'!V2,2)</f>
        <v>19.07</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1597</v>
      </c>
      <c r="AS2" s="17" t="s">
        <v>1299</v>
      </c>
      <c r="AT2" s="17" t="s">
        <v>1300</v>
      </c>
      <c r="AU2" s="17" t="s">
        <v>1301</v>
      </c>
      <c r="AV2" s="17" t="s">
        <v>1598</v>
      </c>
      <c r="AW2" s="29" t="s">
        <v>1599</v>
      </c>
      <c r="AX2" s="17" t="s">
        <v>852</v>
      </c>
      <c r="AY2" s="17" t="s">
        <v>1600</v>
      </c>
      <c r="BA2" s="30" t="s">
        <v>906</v>
      </c>
    </row>
    <row r="3" customFormat="false" ht="15" hidden="false" customHeight="true" outlineLevel="0" collapsed="false">
      <c r="A3" s="5" t="n">
        <v>166</v>
      </c>
      <c r="B3" s="5" t="n">
        <v>166</v>
      </c>
      <c r="C3" s="5" t="s">
        <v>807</v>
      </c>
      <c r="D3" s="5" t="n">
        <v>2014</v>
      </c>
      <c r="E3" s="5" t="s">
        <v>808</v>
      </c>
      <c r="F3" s="5" t="s">
        <v>811</v>
      </c>
      <c r="G3" s="5" t="s">
        <v>812</v>
      </c>
      <c r="H3" s="5" t="n">
        <v>29.067</v>
      </c>
      <c r="I3" s="5" t="n">
        <v>77.767</v>
      </c>
      <c r="J3" s="5" t="s">
        <v>83</v>
      </c>
      <c r="K3" s="5" t="n">
        <v>2011</v>
      </c>
      <c r="L3" s="5" t="s">
        <v>777</v>
      </c>
      <c r="M3" s="5" t="s">
        <v>85</v>
      </c>
      <c r="N3" s="5" t="s">
        <v>86</v>
      </c>
      <c r="O3" s="5" t="s">
        <v>1400</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1601</v>
      </c>
      <c r="AS3" s="5" t="s">
        <v>1402</v>
      </c>
      <c r="AT3" s="5" t="s">
        <v>1403</v>
      </c>
      <c r="AU3" s="5" t="s">
        <v>1404</v>
      </c>
      <c r="AV3" s="5" t="s">
        <v>1602</v>
      </c>
      <c r="AW3" s="22" t="s">
        <v>1603</v>
      </c>
      <c r="AX3" s="5" t="s">
        <v>823</v>
      </c>
      <c r="AY3" s="5" t="s">
        <v>1604</v>
      </c>
    </row>
    <row r="4" customFormat="false" ht="15" hidden="false" customHeight="true" outlineLevel="0" collapsed="false">
      <c r="A4" s="5" t="n">
        <v>166</v>
      </c>
      <c r="B4" s="5" t="n">
        <v>166</v>
      </c>
      <c r="C4" s="5" t="s">
        <v>807</v>
      </c>
      <c r="D4" s="5" t="n">
        <v>2014</v>
      </c>
      <c r="E4" s="5" t="s">
        <v>808</v>
      </c>
      <c r="F4" s="5" t="s">
        <v>811</v>
      </c>
      <c r="G4" s="5" t="s">
        <v>812</v>
      </c>
      <c r="H4" s="5" t="n">
        <v>29.067</v>
      </c>
      <c r="I4" s="5" t="n">
        <v>77.767</v>
      </c>
      <c r="J4" s="5" t="s">
        <v>83</v>
      </c>
      <c r="K4" s="5" t="n">
        <v>2011</v>
      </c>
      <c r="L4" s="5" t="s">
        <v>777</v>
      </c>
      <c r="M4" s="5" t="s">
        <v>85</v>
      </c>
      <c r="N4" s="5" t="s">
        <v>86</v>
      </c>
      <c r="O4" s="5" t="s">
        <v>1400</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1605</v>
      </c>
      <c r="AS4" s="5" t="s">
        <v>1402</v>
      </c>
      <c r="AT4" s="5" t="s">
        <v>1403</v>
      </c>
      <c r="AU4" s="5" t="s">
        <v>1404</v>
      </c>
      <c r="AV4" s="5" t="s">
        <v>1602</v>
      </c>
      <c r="AW4" s="22" t="s">
        <v>1606</v>
      </c>
      <c r="AX4" s="5" t="s">
        <v>823</v>
      </c>
      <c r="AY4" s="5" t="s">
        <v>1607</v>
      </c>
    </row>
    <row r="5" customFormat="false" ht="15" hidden="false" customHeight="true" outlineLevel="0" collapsed="false">
      <c r="A5" s="5" t="n">
        <v>166</v>
      </c>
      <c r="B5" s="5" t="n">
        <v>166</v>
      </c>
      <c r="C5" s="5" t="s">
        <v>807</v>
      </c>
      <c r="D5" s="5" t="n">
        <v>2014</v>
      </c>
      <c r="E5" s="5" t="s">
        <v>808</v>
      </c>
      <c r="F5" s="5" t="s">
        <v>811</v>
      </c>
      <c r="G5" s="5" t="s">
        <v>812</v>
      </c>
      <c r="H5" s="5" t="n">
        <v>29.067</v>
      </c>
      <c r="I5" s="5" t="n">
        <v>77.767</v>
      </c>
      <c r="J5" s="5" t="s">
        <v>83</v>
      </c>
      <c r="K5" s="5" t="n">
        <v>2011</v>
      </c>
      <c r="L5" s="5" t="s">
        <v>777</v>
      </c>
      <c r="M5" s="5" t="s">
        <v>85</v>
      </c>
      <c r="N5" s="5" t="s">
        <v>86</v>
      </c>
      <c r="O5" s="5" t="s">
        <v>1412</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1601</v>
      </c>
      <c r="AS5" s="5" t="s">
        <v>1402</v>
      </c>
      <c r="AT5" s="5" t="s">
        <v>1403</v>
      </c>
      <c r="AU5" s="5" t="s">
        <v>1404</v>
      </c>
      <c r="AV5" s="5" t="s">
        <v>1602</v>
      </c>
      <c r="AW5" s="22" t="s">
        <v>1603</v>
      </c>
      <c r="AX5" s="5" t="s">
        <v>823</v>
      </c>
      <c r="AY5" s="5" t="s">
        <v>1604</v>
      </c>
    </row>
    <row r="6" customFormat="false" ht="15" hidden="false" customHeight="true" outlineLevel="0" collapsed="false">
      <c r="A6" s="5" t="n">
        <v>166</v>
      </c>
      <c r="B6" s="5" t="n">
        <v>166</v>
      </c>
      <c r="C6" s="5" t="s">
        <v>807</v>
      </c>
      <c r="D6" s="5" t="n">
        <v>2014</v>
      </c>
      <c r="E6" s="5" t="s">
        <v>808</v>
      </c>
      <c r="F6" s="5" t="s">
        <v>811</v>
      </c>
      <c r="G6" s="5" t="s">
        <v>812</v>
      </c>
      <c r="H6" s="5" t="n">
        <v>29.067</v>
      </c>
      <c r="I6" s="5" t="n">
        <v>77.767</v>
      </c>
      <c r="J6" s="5" t="s">
        <v>83</v>
      </c>
      <c r="K6" s="5" t="n">
        <v>2011</v>
      </c>
      <c r="L6" s="5" t="s">
        <v>777</v>
      </c>
      <c r="M6" s="5" t="s">
        <v>85</v>
      </c>
      <c r="N6" s="5" t="s">
        <v>86</v>
      </c>
      <c r="O6" s="5" t="s">
        <v>1412</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1605</v>
      </c>
      <c r="AS6" s="5" t="s">
        <v>1402</v>
      </c>
      <c r="AT6" s="5" t="s">
        <v>1403</v>
      </c>
      <c r="AU6" s="5" t="s">
        <v>1404</v>
      </c>
      <c r="AV6" s="5" t="s">
        <v>1602</v>
      </c>
      <c r="AW6" s="22" t="s">
        <v>1606</v>
      </c>
      <c r="AX6" s="5" t="s">
        <v>823</v>
      </c>
      <c r="AY6" s="5" t="s">
        <v>1607</v>
      </c>
    </row>
    <row r="7" customFormat="false" ht="14.25" hidden="false" customHeight="true" outlineLevel="0" collapsed="false">
      <c r="A7" s="5" t="n">
        <v>166</v>
      </c>
      <c r="B7" s="5" t="n">
        <v>166</v>
      </c>
      <c r="C7" s="5" t="s">
        <v>807</v>
      </c>
      <c r="D7" s="5" t="n">
        <v>2014</v>
      </c>
      <c r="E7" s="5" t="s">
        <v>808</v>
      </c>
      <c r="F7" s="5" t="s">
        <v>811</v>
      </c>
      <c r="G7" s="5" t="s">
        <v>812</v>
      </c>
      <c r="H7" s="5" t="n">
        <v>29.067</v>
      </c>
      <c r="I7" s="5" t="n">
        <v>77.767</v>
      </c>
      <c r="J7" s="5" t="s">
        <v>83</v>
      </c>
      <c r="K7" s="5" t="n">
        <v>2011</v>
      </c>
      <c r="L7" s="5" t="s">
        <v>777</v>
      </c>
      <c r="M7" s="5" t="s">
        <v>85</v>
      </c>
      <c r="N7" s="5" t="s">
        <v>1305</v>
      </c>
      <c r="O7" s="5" t="s">
        <v>1306</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1601</v>
      </c>
      <c r="AS7" s="5" t="s">
        <v>1402</v>
      </c>
      <c r="AT7" s="5" t="s">
        <v>1403</v>
      </c>
      <c r="AU7" s="5" t="s">
        <v>1404</v>
      </c>
      <c r="AV7" s="5" t="s">
        <v>1602</v>
      </c>
      <c r="AW7" s="22" t="s">
        <v>1608</v>
      </c>
      <c r="AX7" s="5" t="s">
        <v>823</v>
      </c>
      <c r="AY7" s="5" t="s">
        <v>1604</v>
      </c>
    </row>
    <row r="8" customFormat="false" ht="14.25" hidden="false" customHeight="true" outlineLevel="0" collapsed="false">
      <c r="A8" s="5" t="n">
        <v>166</v>
      </c>
      <c r="B8" s="5" t="n">
        <v>166</v>
      </c>
      <c r="C8" s="5" t="s">
        <v>807</v>
      </c>
      <c r="D8" s="5" t="n">
        <v>2014</v>
      </c>
      <c r="E8" s="5" t="s">
        <v>808</v>
      </c>
      <c r="F8" s="5" t="s">
        <v>811</v>
      </c>
      <c r="G8" s="5" t="s">
        <v>812</v>
      </c>
      <c r="H8" s="5" t="n">
        <v>29.067</v>
      </c>
      <c r="I8" s="5" t="n">
        <v>77.767</v>
      </c>
      <c r="J8" s="5" t="s">
        <v>83</v>
      </c>
      <c r="K8" s="5" t="n">
        <v>2011</v>
      </c>
      <c r="L8" s="5" t="s">
        <v>777</v>
      </c>
      <c r="M8" s="5" t="s">
        <v>85</v>
      </c>
      <c r="N8" s="5" t="s">
        <v>1305</v>
      </c>
      <c r="O8" s="5" t="s">
        <v>1306</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1605</v>
      </c>
      <c r="AS8" s="5" t="s">
        <v>1402</v>
      </c>
      <c r="AT8" s="5" t="s">
        <v>1403</v>
      </c>
      <c r="AU8" s="5" t="s">
        <v>1404</v>
      </c>
      <c r="AV8" s="5" t="s">
        <v>1602</v>
      </c>
      <c r="AW8" s="22" t="s">
        <v>1609</v>
      </c>
      <c r="AX8" s="5" t="s">
        <v>823</v>
      </c>
      <c r="AY8" s="5" t="s">
        <v>1607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1610</v>
      </c>
      <c r="Q1" s="24" t="s">
        <v>1611</v>
      </c>
      <c r="R1" s="24" t="s">
        <v>1612</v>
      </c>
      <c r="S1" s="24" t="s">
        <v>1613</v>
      </c>
      <c r="T1" s="24" t="s">
        <v>1614</v>
      </c>
      <c r="U1" s="24" t="s">
        <v>1615</v>
      </c>
      <c r="V1" s="24" t="s">
        <v>1616</v>
      </c>
      <c r="W1" s="24" t="s">
        <v>1617</v>
      </c>
      <c r="X1" s="27" t="s">
        <v>1618</v>
      </c>
      <c r="Y1" s="27" t="s">
        <v>1619</v>
      </c>
      <c r="Z1" s="27" t="s">
        <v>1620</v>
      </c>
      <c r="AA1" s="27" t="s">
        <v>1621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1298</v>
      </c>
      <c r="P2" s="17" t="n">
        <f aca="false">ROUND('AWC (weight basis)'!P2*BD!P2,2)</f>
        <v>31.01</v>
      </c>
      <c r="Q2" s="17" t="n">
        <f aca="false">ROUND('AWC (weight basis)'!Q2*BD!Q2,2)</f>
        <v>24.2</v>
      </c>
      <c r="R2" s="17" t="n">
        <f aca="false">ROUND('AWC (weight basis)'!R2*BD!R2,2)</f>
        <v>25.3</v>
      </c>
      <c r="S2" s="17"/>
      <c r="T2" s="17"/>
      <c r="U2" s="17"/>
      <c r="V2" s="17" t="n">
        <f aca="false">ROUND('AWC (weight basis)'!V2*BD!V2,2)</f>
        <v>28.61</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1622</v>
      </c>
      <c r="AS2" s="17" t="s">
        <v>1299</v>
      </c>
      <c r="AT2" s="17" t="s">
        <v>1300</v>
      </c>
      <c r="AU2" s="17" t="s">
        <v>1301</v>
      </c>
      <c r="AV2" s="17" t="s">
        <v>1598</v>
      </c>
      <c r="AW2" s="29" t="s">
        <v>1623</v>
      </c>
      <c r="AX2" s="17" t="s">
        <v>852</v>
      </c>
      <c r="AY2" s="17" t="s">
        <v>1600</v>
      </c>
      <c r="BA2" s="30" t="s">
        <v>909</v>
      </c>
    </row>
    <row r="3" customFormat="false" ht="15" hidden="false" customHeight="true" outlineLevel="0" collapsed="false">
      <c r="A3" s="5" t="n">
        <v>166</v>
      </c>
      <c r="B3" s="5" t="n">
        <v>166</v>
      </c>
      <c r="C3" s="5" t="s">
        <v>807</v>
      </c>
      <c r="D3" s="5" t="n">
        <v>2014</v>
      </c>
      <c r="E3" s="5" t="s">
        <v>808</v>
      </c>
      <c r="F3" s="5" t="s">
        <v>811</v>
      </c>
      <c r="G3" s="5" t="s">
        <v>812</v>
      </c>
      <c r="H3" s="5" t="n">
        <v>29.067</v>
      </c>
      <c r="I3" s="5" t="n">
        <v>77.767</v>
      </c>
      <c r="J3" s="5" t="s">
        <v>83</v>
      </c>
      <c r="K3" s="5" t="n">
        <v>2011</v>
      </c>
      <c r="L3" s="5" t="s">
        <v>777</v>
      </c>
      <c r="M3" s="5" t="s">
        <v>85</v>
      </c>
      <c r="N3" s="5" t="s">
        <v>86</v>
      </c>
      <c r="O3" s="5" t="s">
        <v>1400</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1624</v>
      </c>
      <c r="AS3" s="5" t="s">
        <v>1402</v>
      </c>
      <c r="AT3" s="5" t="s">
        <v>1403</v>
      </c>
      <c r="AU3" s="5" t="s">
        <v>1404</v>
      </c>
      <c r="AV3" s="5" t="s">
        <v>1602</v>
      </c>
      <c r="AW3" s="22" t="s">
        <v>1625</v>
      </c>
      <c r="AX3" s="5" t="s">
        <v>823</v>
      </c>
      <c r="AY3" s="5" t="s">
        <v>1604</v>
      </c>
    </row>
    <row r="4" customFormat="false" ht="15" hidden="false" customHeight="true" outlineLevel="0" collapsed="false">
      <c r="A4" s="5" t="n">
        <v>166</v>
      </c>
      <c r="B4" s="5" t="n">
        <v>166</v>
      </c>
      <c r="C4" s="5" t="s">
        <v>807</v>
      </c>
      <c r="D4" s="5" t="n">
        <v>2014</v>
      </c>
      <c r="E4" s="5" t="s">
        <v>808</v>
      </c>
      <c r="F4" s="5" t="s">
        <v>811</v>
      </c>
      <c r="G4" s="5" t="s">
        <v>812</v>
      </c>
      <c r="H4" s="5" t="n">
        <v>29.067</v>
      </c>
      <c r="I4" s="5" t="n">
        <v>77.767</v>
      </c>
      <c r="J4" s="5" t="s">
        <v>83</v>
      </c>
      <c r="K4" s="5" t="n">
        <v>2011</v>
      </c>
      <c r="L4" s="5" t="s">
        <v>777</v>
      </c>
      <c r="M4" s="5" t="s">
        <v>85</v>
      </c>
      <c r="N4" s="5" t="s">
        <v>86</v>
      </c>
      <c r="O4" s="5" t="s">
        <v>1400</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1626</v>
      </c>
      <c r="AS4" s="5" t="s">
        <v>1402</v>
      </c>
      <c r="AT4" s="5" t="s">
        <v>1403</v>
      </c>
      <c r="AU4" s="5" t="s">
        <v>1404</v>
      </c>
      <c r="AV4" s="5" t="s">
        <v>1602</v>
      </c>
      <c r="AW4" s="22" t="s">
        <v>1627</v>
      </c>
      <c r="AX4" s="5" t="s">
        <v>823</v>
      </c>
      <c r="AY4" s="5" t="s">
        <v>1607</v>
      </c>
    </row>
    <row r="5" customFormat="false" ht="15" hidden="false" customHeight="true" outlineLevel="0" collapsed="false">
      <c r="A5" s="5" t="n">
        <v>166</v>
      </c>
      <c r="B5" s="5" t="n">
        <v>166</v>
      </c>
      <c r="C5" s="5" t="s">
        <v>807</v>
      </c>
      <c r="D5" s="5" t="n">
        <v>2014</v>
      </c>
      <c r="E5" s="5" t="s">
        <v>808</v>
      </c>
      <c r="F5" s="5" t="s">
        <v>811</v>
      </c>
      <c r="G5" s="5" t="s">
        <v>812</v>
      </c>
      <c r="H5" s="5" t="n">
        <v>29.067</v>
      </c>
      <c r="I5" s="5" t="n">
        <v>77.767</v>
      </c>
      <c r="J5" s="5" t="s">
        <v>83</v>
      </c>
      <c r="K5" s="5" t="n">
        <v>2011</v>
      </c>
      <c r="L5" s="5" t="s">
        <v>777</v>
      </c>
      <c r="M5" s="5" t="s">
        <v>85</v>
      </c>
      <c r="N5" s="5" t="s">
        <v>86</v>
      </c>
      <c r="O5" s="5" t="s">
        <v>1412</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1624</v>
      </c>
      <c r="AS5" s="5" t="s">
        <v>1402</v>
      </c>
      <c r="AT5" s="5" t="s">
        <v>1403</v>
      </c>
      <c r="AU5" s="5" t="s">
        <v>1404</v>
      </c>
      <c r="AV5" s="5" t="s">
        <v>1602</v>
      </c>
      <c r="AW5" s="22" t="s">
        <v>1625</v>
      </c>
      <c r="AX5" s="5" t="s">
        <v>823</v>
      </c>
      <c r="AY5" s="5" t="s">
        <v>1604</v>
      </c>
    </row>
    <row r="6" customFormat="false" ht="15" hidden="false" customHeight="true" outlineLevel="0" collapsed="false">
      <c r="A6" s="5" t="n">
        <v>166</v>
      </c>
      <c r="B6" s="5" t="n">
        <v>166</v>
      </c>
      <c r="C6" s="5" t="s">
        <v>807</v>
      </c>
      <c r="D6" s="5" t="n">
        <v>2014</v>
      </c>
      <c r="E6" s="5" t="s">
        <v>808</v>
      </c>
      <c r="F6" s="5" t="s">
        <v>811</v>
      </c>
      <c r="G6" s="5" t="s">
        <v>812</v>
      </c>
      <c r="H6" s="5" t="n">
        <v>29.067</v>
      </c>
      <c r="I6" s="5" t="n">
        <v>77.767</v>
      </c>
      <c r="J6" s="5" t="s">
        <v>83</v>
      </c>
      <c r="K6" s="5" t="n">
        <v>2011</v>
      </c>
      <c r="L6" s="5" t="s">
        <v>777</v>
      </c>
      <c r="M6" s="5" t="s">
        <v>85</v>
      </c>
      <c r="N6" s="5" t="s">
        <v>86</v>
      </c>
      <c r="O6" s="5" t="s">
        <v>1412</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1626</v>
      </c>
      <c r="AS6" s="5" t="s">
        <v>1402</v>
      </c>
      <c r="AT6" s="5" t="s">
        <v>1403</v>
      </c>
      <c r="AU6" s="5" t="s">
        <v>1404</v>
      </c>
      <c r="AV6" s="5" t="s">
        <v>1602</v>
      </c>
      <c r="AW6" s="22" t="s">
        <v>1627</v>
      </c>
      <c r="AX6" s="5" t="s">
        <v>823</v>
      </c>
      <c r="AY6" s="5" t="s">
        <v>1607</v>
      </c>
    </row>
    <row r="7" customFormat="false" ht="14.25" hidden="false" customHeight="true" outlineLevel="0" collapsed="false">
      <c r="A7" s="5" t="n">
        <v>166</v>
      </c>
      <c r="B7" s="5" t="n">
        <v>166</v>
      </c>
      <c r="C7" s="5" t="s">
        <v>807</v>
      </c>
      <c r="D7" s="5" t="n">
        <v>2014</v>
      </c>
      <c r="E7" s="5" t="s">
        <v>808</v>
      </c>
      <c r="F7" s="5" t="s">
        <v>811</v>
      </c>
      <c r="G7" s="5" t="s">
        <v>812</v>
      </c>
      <c r="H7" s="5" t="n">
        <v>29.067</v>
      </c>
      <c r="I7" s="5" t="n">
        <v>77.767</v>
      </c>
      <c r="J7" s="5" t="s">
        <v>83</v>
      </c>
      <c r="K7" s="5" t="n">
        <v>2011</v>
      </c>
      <c r="L7" s="5" t="s">
        <v>777</v>
      </c>
      <c r="M7" s="5" t="s">
        <v>85</v>
      </c>
      <c r="N7" s="5" t="s">
        <v>1305</v>
      </c>
      <c r="O7" s="5" t="s">
        <v>1306</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1624</v>
      </c>
      <c r="AS7" s="5" t="s">
        <v>1402</v>
      </c>
      <c r="AT7" s="5" t="s">
        <v>1403</v>
      </c>
      <c r="AU7" s="5" t="s">
        <v>1404</v>
      </c>
      <c r="AV7" s="5" t="s">
        <v>1602</v>
      </c>
      <c r="AW7" s="22" t="s">
        <v>1628</v>
      </c>
      <c r="AX7" s="5" t="s">
        <v>823</v>
      </c>
      <c r="AY7" s="5" t="s">
        <v>1604</v>
      </c>
    </row>
    <row r="8" customFormat="false" ht="14.25" hidden="false" customHeight="true" outlineLevel="0" collapsed="false">
      <c r="A8" s="5" t="n">
        <v>166</v>
      </c>
      <c r="B8" s="5" t="n">
        <v>166</v>
      </c>
      <c r="C8" s="5" t="s">
        <v>807</v>
      </c>
      <c r="D8" s="5" t="n">
        <v>2014</v>
      </c>
      <c r="E8" s="5" t="s">
        <v>808</v>
      </c>
      <c r="F8" s="5" t="s">
        <v>811</v>
      </c>
      <c r="G8" s="5" t="s">
        <v>812</v>
      </c>
      <c r="H8" s="5" t="n">
        <v>29.067</v>
      </c>
      <c r="I8" s="5" t="n">
        <v>77.767</v>
      </c>
      <c r="J8" s="5" t="s">
        <v>83</v>
      </c>
      <c r="K8" s="5" t="n">
        <v>2011</v>
      </c>
      <c r="L8" s="5" t="s">
        <v>777</v>
      </c>
      <c r="M8" s="5" t="s">
        <v>85</v>
      </c>
      <c r="N8" s="5" t="s">
        <v>1305</v>
      </c>
      <c r="O8" s="5" t="s">
        <v>1306</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1626</v>
      </c>
      <c r="AS8" s="5" t="s">
        <v>1402</v>
      </c>
      <c r="AT8" s="5" t="s">
        <v>1403</v>
      </c>
      <c r="AU8" s="5" t="s">
        <v>1404</v>
      </c>
      <c r="AV8" s="5" t="s">
        <v>1602</v>
      </c>
      <c r="AW8" s="22" t="s">
        <v>1629</v>
      </c>
      <c r="AX8" s="5" t="s">
        <v>823</v>
      </c>
      <c r="AY8" s="5" t="s">
        <v>1607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1630</v>
      </c>
      <c r="Q1" s="24" t="s">
        <v>1631</v>
      </c>
      <c r="R1" s="24" t="s">
        <v>1632</v>
      </c>
      <c r="S1" s="24" t="s">
        <v>1633</v>
      </c>
      <c r="T1" s="24" t="s">
        <v>1634</v>
      </c>
      <c r="U1" s="24" t="s">
        <v>1635</v>
      </c>
      <c r="V1" s="24" t="s">
        <v>1636</v>
      </c>
      <c r="W1" s="24" t="s">
        <v>1637</v>
      </c>
      <c r="X1" s="27" t="s">
        <v>1638</v>
      </c>
      <c r="Y1" s="27" t="s">
        <v>1639</v>
      </c>
      <c r="Z1" s="27" t="s">
        <v>1640</v>
      </c>
      <c r="AA1" s="27" t="s">
        <v>1641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911</v>
      </c>
    </row>
    <row r="3" customFormat="false" ht="15" hidden="false" customHeight="true" outlineLevel="0" collapsed="false"/>
    <row r="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1642</v>
      </c>
      <c r="Q1" s="24" t="s">
        <v>1643</v>
      </c>
      <c r="R1" s="24" t="s">
        <v>1644</v>
      </c>
      <c r="S1" s="24" t="s">
        <v>1645</v>
      </c>
      <c r="T1" s="24" t="s">
        <v>1646</v>
      </c>
      <c r="U1" s="24" t="s">
        <v>1647</v>
      </c>
      <c r="V1" s="24" t="s">
        <v>1648</v>
      </c>
      <c r="W1" s="24" t="s">
        <v>1649</v>
      </c>
      <c r="X1" s="27" t="s">
        <v>1650</v>
      </c>
      <c r="Y1" s="27" t="s">
        <v>1651</v>
      </c>
      <c r="Z1" s="27" t="s">
        <v>1652</v>
      </c>
      <c r="AA1" s="27" t="s">
        <v>1653</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1298</v>
      </c>
      <c r="P2" s="17" t="n">
        <f aca="false">ROUND(46.7/BD!P2,2)</f>
        <v>29.19</v>
      </c>
      <c r="Q2" s="17" t="n">
        <f aca="false">ROUND(33.2/BD!Q2,2)</f>
        <v>21.28</v>
      </c>
      <c r="R2" s="17" t="n">
        <f aca="false">ROUND(38.4/BD!R2,2)</f>
        <v>24</v>
      </c>
      <c r="S2" s="17"/>
      <c r="T2" s="17"/>
      <c r="U2" s="17"/>
      <c r="V2" s="17" t="n">
        <f aca="false">ROUND(42.9/BD!V2,2)</f>
        <v>28.6</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1654</v>
      </c>
      <c r="AS2" s="17" t="s">
        <v>1299</v>
      </c>
      <c r="AT2" s="17" t="s">
        <v>1300</v>
      </c>
      <c r="AU2" s="17" t="s">
        <v>1301</v>
      </c>
      <c r="AV2" s="17" t="s">
        <v>1655</v>
      </c>
      <c r="AW2" s="29" t="s">
        <v>1656</v>
      </c>
      <c r="AX2" s="17" t="s">
        <v>852</v>
      </c>
      <c r="AY2" s="17" t="s">
        <v>1600</v>
      </c>
      <c r="BA2" s="30" t="s">
        <v>913</v>
      </c>
    </row>
    <row r="3" customFormat="false" ht="15" hidden="false" customHeight="true" outlineLevel="0" collapsed="false">
      <c r="A3" s="5" t="n">
        <v>166</v>
      </c>
      <c r="B3" s="5" t="n">
        <v>166</v>
      </c>
      <c r="C3" s="5" t="s">
        <v>807</v>
      </c>
      <c r="D3" s="5" t="n">
        <v>2014</v>
      </c>
      <c r="E3" s="5" t="s">
        <v>808</v>
      </c>
      <c r="F3" s="5" t="s">
        <v>811</v>
      </c>
      <c r="G3" s="5" t="s">
        <v>812</v>
      </c>
      <c r="H3" s="5" t="n">
        <v>29.067</v>
      </c>
      <c r="I3" s="5" t="n">
        <v>77.767</v>
      </c>
      <c r="J3" s="5" t="s">
        <v>83</v>
      </c>
      <c r="K3" s="5" t="n">
        <v>2011</v>
      </c>
      <c r="L3" s="5" t="s">
        <v>777</v>
      </c>
      <c r="M3" s="5" t="s">
        <v>85</v>
      </c>
      <c r="N3" s="5" t="s">
        <v>86</v>
      </c>
      <c r="O3" s="5" t="s">
        <v>1400</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1657</v>
      </c>
      <c r="AS3" s="5" t="s">
        <v>1402</v>
      </c>
      <c r="AT3" s="5" t="s">
        <v>1403</v>
      </c>
      <c r="AU3" s="5" t="s">
        <v>1404</v>
      </c>
      <c r="AV3" s="5" t="s">
        <v>91</v>
      </c>
      <c r="AW3" s="22" t="s">
        <v>1658</v>
      </c>
      <c r="AX3" s="5" t="s">
        <v>823</v>
      </c>
      <c r="AY3" s="5" t="s">
        <v>1604</v>
      </c>
    </row>
    <row r="4" customFormat="false" ht="15" hidden="false" customHeight="true" outlineLevel="0" collapsed="false">
      <c r="A4" s="5" t="n">
        <v>166</v>
      </c>
      <c r="B4" s="5" t="n">
        <v>166</v>
      </c>
      <c r="C4" s="5" t="s">
        <v>807</v>
      </c>
      <c r="D4" s="5" t="n">
        <v>2014</v>
      </c>
      <c r="E4" s="5" t="s">
        <v>808</v>
      </c>
      <c r="F4" s="5" t="s">
        <v>811</v>
      </c>
      <c r="G4" s="5" t="s">
        <v>812</v>
      </c>
      <c r="H4" s="5" t="n">
        <v>29.067</v>
      </c>
      <c r="I4" s="5" t="n">
        <v>77.767</v>
      </c>
      <c r="J4" s="5" t="s">
        <v>83</v>
      </c>
      <c r="K4" s="5" t="n">
        <v>2011</v>
      </c>
      <c r="L4" s="5" t="s">
        <v>777</v>
      </c>
      <c r="M4" s="5" t="s">
        <v>85</v>
      </c>
      <c r="N4" s="5" t="s">
        <v>86</v>
      </c>
      <c r="O4" s="5" t="s">
        <v>1400</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1659</v>
      </c>
      <c r="AS4" s="5" t="s">
        <v>1402</v>
      </c>
      <c r="AT4" s="5" t="s">
        <v>1403</v>
      </c>
      <c r="AU4" s="5" t="s">
        <v>1404</v>
      </c>
      <c r="AV4" s="5" t="s">
        <v>91</v>
      </c>
      <c r="AW4" s="22" t="s">
        <v>1660</v>
      </c>
      <c r="AX4" s="5" t="s">
        <v>823</v>
      </c>
      <c r="AY4" s="5" t="s">
        <v>1607</v>
      </c>
    </row>
    <row r="5" customFormat="false" ht="14.25" hidden="false" customHeight="true" outlineLevel="0" collapsed="false">
      <c r="A5" s="5" t="n">
        <v>166</v>
      </c>
      <c r="B5" s="5" t="n">
        <v>166</v>
      </c>
      <c r="C5" s="5" t="s">
        <v>807</v>
      </c>
      <c r="D5" s="5" t="n">
        <v>2014</v>
      </c>
      <c r="E5" s="5" t="s">
        <v>808</v>
      </c>
      <c r="F5" s="5" t="s">
        <v>811</v>
      </c>
      <c r="G5" s="5" t="s">
        <v>812</v>
      </c>
      <c r="H5" s="5" t="n">
        <v>29.067</v>
      </c>
      <c r="I5" s="5" t="n">
        <v>77.767</v>
      </c>
      <c r="J5" s="5" t="s">
        <v>83</v>
      </c>
      <c r="K5" s="5" t="n">
        <v>2011</v>
      </c>
      <c r="L5" s="5" t="s">
        <v>777</v>
      </c>
      <c r="M5" s="5" t="s">
        <v>85</v>
      </c>
      <c r="N5" s="5" t="s">
        <v>86</v>
      </c>
      <c r="O5" s="5" t="s">
        <v>1412</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1657</v>
      </c>
      <c r="AS5" s="5" t="s">
        <v>1402</v>
      </c>
      <c r="AT5" s="5" t="s">
        <v>1403</v>
      </c>
      <c r="AU5" s="5" t="s">
        <v>1404</v>
      </c>
      <c r="AV5" s="5" t="s">
        <v>91</v>
      </c>
      <c r="AW5" s="22" t="s">
        <v>1658</v>
      </c>
      <c r="AX5" s="5" t="s">
        <v>823</v>
      </c>
      <c r="AY5" s="5" t="s">
        <v>1604</v>
      </c>
    </row>
    <row r="6" customFormat="false" ht="14.25" hidden="false" customHeight="true" outlineLevel="0" collapsed="false">
      <c r="A6" s="5" t="n">
        <v>166</v>
      </c>
      <c r="B6" s="5" t="n">
        <v>166</v>
      </c>
      <c r="C6" s="5" t="s">
        <v>807</v>
      </c>
      <c r="D6" s="5" t="n">
        <v>2014</v>
      </c>
      <c r="E6" s="5" t="s">
        <v>808</v>
      </c>
      <c r="F6" s="5" t="s">
        <v>811</v>
      </c>
      <c r="G6" s="5" t="s">
        <v>812</v>
      </c>
      <c r="H6" s="5" t="n">
        <v>29.067</v>
      </c>
      <c r="I6" s="5" t="n">
        <v>77.767</v>
      </c>
      <c r="J6" s="5" t="s">
        <v>83</v>
      </c>
      <c r="K6" s="5" t="n">
        <v>2011</v>
      </c>
      <c r="L6" s="5" t="s">
        <v>777</v>
      </c>
      <c r="M6" s="5" t="s">
        <v>85</v>
      </c>
      <c r="N6" s="5" t="s">
        <v>86</v>
      </c>
      <c r="O6" s="5" t="s">
        <v>1412</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1659</v>
      </c>
      <c r="AS6" s="5" t="s">
        <v>1402</v>
      </c>
      <c r="AT6" s="5" t="s">
        <v>1403</v>
      </c>
      <c r="AU6" s="5" t="s">
        <v>1404</v>
      </c>
      <c r="AV6" s="5" t="s">
        <v>91</v>
      </c>
      <c r="AW6" s="22" t="s">
        <v>1660</v>
      </c>
      <c r="AX6" s="5" t="s">
        <v>823</v>
      </c>
      <c r="AY6" s="5" t="s">
        <v>1607</v>
      </c>
    </row>
    <row r="7" customFormat="false" ht="14.25" hidden="false" customHeight="true" outlineLevel="0" collapsed="false">
      <c r="A7" s="5" t="n">
        <v>166</v>
      </c>
      <c r="B7" s="5" t="n">
        <v>166</v>
      </c>
      <c r="C7" s="5" t="s">
        <v>807</v>
      </c>
      <c r="D7" s="5" t="n">
        <v>2014</v>
      </c>
      <c r="E7" s="5" t="s">
        <v>808</v>
      </c>
      <c r="F7" s="5" t="s">
        <v>811</v>
      </c>
      <c r="G7" s="5" t="s">
        <v>812</v>
      </c>
      <c r="H7" s="5" t="n">
        <v>29.067</v>
      </c>
      <c r="I7" s="5" t="n">
        <v>77.767</v>
      </c>
      <c r="J7" s="5" t="s">
        <v>83</v>
      </c>
      <c r="K7" s="5" t="n">
        <v>2011</v>
      </c>
      <c r="L7" s="5" t="s">
        <v>777</v>
      </c>
      <c r="M7" s="5" t="s">
        <v>85</v>
      </c>
      <c r="N7" s="5" t="s">
        <v>1305</v>
      </c>
      <c r="O7" s="5" t="s">
        <v>1306</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1657</v>
      </c>
      <c r="AS7" s="5" t="s">
        <v>1402</v>
      </c>
      <c r="AT7" s="5" t="s">
        <v>1403</v>
      </c>
      <c r="AU7" s="5" t="s">
        <v>1404</v>
      </c>
      <c r="AV7" s="5" t="s">
        <v>91</v>
      </c>
      <c r="AW7" s="22" t="s">
        <v>1661</v>
      </c>
      <c r="AX7" s="5" t="s">
        <v>823</v>
      </c>
      <c r="AY7" s="5" t="s">
        <v>1604</v>
      </c>
    </row>
    <row r="8" customFormat="false" ht="14.25" hidden="false" customHeight="true" outlineLevel="0" collapsed="false">
      <c r="A8" s="5" t="n">
        <v>166</v>
      </c>
      <c r="B8" s="5" t="n">
        <v>166</v>
      </c>
      <c r="C8" s="5" t="s">
        <v>807</v>
      </c>
      <c r="D8" s="5" t="n">
        <v>2014</v>
      </c>
      <c r="E8" s="5" t="s">
        <v>808</v>
      </c>
      <c r="F8" s="5" t="s">
        <v>811</v>
      </c>
      <c r="G8" s="5" t="s">
        <v>812</v>
      </c>
      <c r="H8" s="5" t="n">
        <v>29.067</v>
      </c>
      <c r="I8" s="5" t="n">
        <v>77.767</v>
      </c>
      <c r="J8" s="5" t="s">
        <v>83</v>
      </c>
      <c r="K8" s="5" t="n">
        <v>2011</v>
      </c>
      <c r="L8" s="5" t="s">
        <v>777</v>
      </c>
      <c r="M8" s="5" t="s">
        <v>85</v>
      </c>
      <c r="N8" s="5" t="s">
        <v>1305</v>
      </c>
      <c r="O8" s="5" t="s">
        <v>1306</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1659</v>
      </c>
      <c r="AS8" s="5" t="s">
        <v>1402</v>
      </c>
      <c r="AT8" s="5" t="s">
        <v>1403</v>
      </c>
      <c r="AU8" s="5" t="s">
        <v>1404</v>
      </c>
      <c r="AV8" s="5" t="s">
        <v>91</v>
      </c>
      <c r="AW8" s="22" t="s">
        <v>1662</v>
      </c>
      <c r="AX8" s="5" t="s">
        <v>823</v>
      </c>
      <c r="AY8" s="5" t="s">
        <v>1607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1663</v>
      </c>
      <c r="Q1" s="24" t="s">
        <v>1664</v>
      </c>
      <c r="R1" s="24" t="s">
        <v>1665</v>
      </c>
      <c r="S1" s="24" t="s">
        <v>1666</v>
      </c>
      <c r="T1" s="24" t="s">
        <v>1667</v>
      </c>
      <c r="U1" s="24" t="s">
        <v>1668</v>
      </c>
      <c r="V1" s="24" t="s">
        <v>1669</v>
      </c>
      <c r="W1" s="24" t="s">
        <v>1670</v>
      </c>
      <c r="X1" s="27" t="s">
        <v>1671</v>
      </c>
      <c r="Y1" s="27" t="s">
        <v>1672</v>
      </c>
      <c r="Z1" s="27" t="s">
        <v>1673</v>
      </c>
      <c r="AA1" s="27" t="s">
        <v>1674</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1298</v>
      </c>
      <c r="P2" s="17" t="n">
        <f aca="false">ROUND(15.7/BD!P2,2)</f>
        <v>9.81</v>
      </c>
      <c r="Q2" s="17" t="n">
        <f aca="false">ROUND(9/BD!Q2,2)</f>
        <v>5.77</v>
      </c>
      <c r="R2" s="17" t="n">
        <f aca="false">ROUND(13.1/BD!R2,2)</f>
        <v>8.19</v>
      </c>
      <c r="S2" s="17"/>
      <c r="T2" s="17"/>
      <c r="U2" s="17"/>
      <c r="V2" s="17" t="n">
        <f aca="false">ROUND(14.3/BD!V2,2)</f>
        <v>9.53</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1675</v>
      </c>
      <c r="AS2" s="17" t="s">
        <v>1299</v>
      </c>
      <c r="AT2" s="17" t="s">
        <v>1300</v>
      </c>
      <c r="AU2" s="17" t="s">
        <v>1301</v>
      </c>
      <c r="AV2" s="17" t="s">
        <v>1655</v>
      </c>
      <c r="AW2" s="29" t="s">
        <v>1656</v>
      </c>
      <c r="AX2" s="17" t="s">
        <v>852</v>
      </c>
      <c r="AY2" s="17" t="s">
        <v>1600</v>
      </c>
      <c r="BA2" s="30" t="s">
        <v>915</v>
      </c>
    </row>
    <row r="3" customFormat="false" ht="15" hidden="false" customHeight="true" outlineLevel="0" collapsed="false">
      <c r="A3" s="5" t="n">
        <v>166</v>
      </c>
      <c r="B3" s="5" t="n">
        <v>166</v>
      </c>
      <c r="C3" s="5" t="s">
        <v>807</v>
      </c>
      <c r="D3" s="5" t="n">
        <v>2014</v>
      </c>
      <c r="E3" s="5" t="s">
        <v>808</v>
      </c>
      <c r="F3" s="5" t="s">
        <v>811</v>
      </c>
      <c r="G3" s="5" t="s">
        <v>812</v>
      </c>
      <c r="H3" s="5" t="n">
        <v>29.067</v>
      </c>
      <c r="I3" s="5" t="n">
        <v>77.767</v>
      </c>
      <c r="J3" s="5" t="s">
        <v>83</v>
      </c>
      <c r="K3" s="5" t="n">
        <v>2011</v>
      </c>
      <c r="L3" s="5" t="s">
        <v>777</v>
      </c>
      <c r="M3" s="5" t="s">
        <v>85</v>
      </c>
      <c r="N3" s="5" t="s">
        <v>86</v>
      </c>
      <c r="O3" s="5" t="s">
        <v>1400</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1676</v>
      </c>
      <c r="AS3" s="5" t="s">
        <v>1402</v>
      </c>
      <c r="AT3" s="5" t="s">
        <v>1403</v>
      </c>
      <c r="AU3" s="5" t="s">
        <v>1404</v>
      </c>
      <c r="AV3" s="5" t="s">
        <v>91</v>
      </c>
      <c r="AW3" s="22" t="s">
        <v>1658</v>
      </c>
      <c r="AX3" s="5" t="s">
        <v>823</v>
      </c>
      <c r="AY3" s="5" t="s">
        <v>1604</v>
      </c>
    </row>
    <row r="4" customFormat="false" ht="15" hidden="false" customHeight="true" outlineLevel="0" collapsed="false">
      <c r="A4" s="5" t="n">
        <v>166</v>
      </c>
      <c r="B4" s="5" t="n">
        <v>166</v>
      </c>
      <c r="C4" s="5" t="s">
        <v>807</v>
      </c>
      <c r="D4" s="5" t="n">
        <v>2014</v>
      </c>
      <c r="E4" s="5" t="s">
        <v>808</v>
      </c>
      <c r="F4" s="5" t="s">
        <v>811</v>
      </c>
      <c r="G4" s="5" t="s">
        <v>812</v>
      </c>
      <c r="H4" s="5" t="n">
        <v>29.067</v>
      </c>
      <c r="I4" s="5" t="n">
        <v>77.767</v>
      </c>
      <c r="J4" s="5" t="s">
        <v>83</v>
      </c>
      <c r="K4" s="5" t="n">
        <v>2011</v>
      </c>
      <c r="L4" s="5" t="s">
        <v>777</v>
      </c>
      <c r="M4" s="5" t="s">
        <v>85</v>
      </c>
      <c r="N4" s="5" t="s">
        <v>86</v>
      </c>
      <c r="O4" s="5" t="s">
        <v>1400</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1677</v>
      </c>
      <c r="AS4" s="5" t="s">
        <v>1402</v>
      </c>
      <c r="AT4" s="5" t="s">
        <v>1403</v>
      </c>
      <c r="AU4" s="5" t="s">
        <v>1404</v>
      </c>
      <c r="AV4" s="5" t="s">
        <v>91</v>
      </c>
      <c r="AW4" s="22" t="s">
        <v>1660</v>
      </c>
      <c r="AX4" s="5" t="s">
        <v>823</v>
      </c>
      <c r="AY4" s="5" t="s">
        <v>1607</v>
      </c>
    </row>
    <row r="5" customFormat="false" ht="14.25" hidden="false" customHeight="true" outlineLevel="0" collapsed="false">
      <c r="A5" s="5" t="n">
        <v>166</v>
      </c>
      <c r="B5" s="5" t="n">
        <v>166</v>
      </c>
      <c r="C5" s="5" t="s">
        <v>807</v>
      </c>
      <c r="D5" s="5" t="n">
        <v>2014</v>
      </c>
      <c r="E5" s="5" t="s">
        <v>808</v>
      </c>
      <c r="F5" s="5" t="s">
        <v>811</v>
      </c>
      <c r="G5" s="5" t="s">
        <v>812</v>
      </c>
      <c r="H5" s="5" t="n">
        <v>29.067</v>
      </c>
      <c r="I5" s="5" t="n">
        <v>77.767</v>
      </c>
      <c r="J5" s="5" t="s">
        <v>83</v>
      </c>
      <c r="K5" s="5" t="n">
        <v>2011</v>
      </c>
      <c r="L5" s="5" t="s">
        <v>777</v>
      </c>
      <c r="M5" s="5" t="s">
        <v>85</v>
      </c>
      <c r="N5" s="5" t="s">
        <v>86</v>
      </c>
      <c r="O5" s="5" t="s">
        <v>1412</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1676</v>
      </c>
      <c r="AS5" s="5" t="s">
        <v>1402</v>
      </c>
      <c r="AT5" s="5" t="s">
        <v>1403</v>
      </c>
      <c r="AU5" s="5" t="s">
        <v>1404</v>
      </c>
      <c r="AV5" s="5" t="s">
        <v>91</v>
      </c>
      <c r="AW5" s="22" t="s">
        <v>1658</v>
      </c>
      <c r="AX5" s="5" t="s">
        <v>823</v>
      </c>
      <c r="AY5" s="5" t="s">
        <v>1604</v>
      </c>
    </row>
    <row r="6" customFormat="false" ht="14.25" hidden="false" customHeight="true" outlineLevel="0" collapsed="false">
      <c r="A6" s="5" t="n">
        <v>166</v>
      </c>
      <c r="B6" s="5" t="n">
        <v>166</v>
      </c>
      <c r="C6" s="5" t="s">
        <v>807</v>
      </c>
      <c r="D6" s="5" t="n">
        <v>2014</v>
      </c>
      <c r="E6" s="5" t="s">
        <v>808</v>
      </c>
      <c r="F6" s="5" t="s">
        <v>811</v>
      </c>
      <c r="G6" s="5" t="s">
        <v>812</v>
      </c>
      <c r="H6" s="5" t="n">
        <v>29.067</v>
      </c>
      <c r="I6" s="5" t="n">
        <v>77.767</v>
      </c>
      <c r="J6" s="5" t="s">
        <v>83</v>
      </c>
      <c r="K6" s="5" t="n">
        <v>2011</v>
      </c>
      <c r="L6" s="5" t="s">
        <v>777</v>
      </c>
      <c r="M6" s="5" t="s">
        <v>85</v>
      </c>
      <c r="N6" s="5" t="s">
        <v>86</v>
      </c>
      <c r="O6" s="5" t="s">
        <v>1412</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1677</v>
      </c>
      <c r="AS6" s="5" t="s">
        <v>1402</v>
      </c>
      <c r="AT6" s="5" t="s">
        <v>1403</v>
      </c>
      <c r="AU6" s="5" t="s">
        <v>1404</v>
      </c>
      <c r="AV6" s="5" t="s">
        <v>91</v>
      </c>
      <c r="AW6" s="22" t="s">
        <v>1660</v>
      </c>
      <c r="AX6" s="5" t="s">
        <v>823</v>
      </c>
      <c r="AY6" s="5" t="s">
        <v>1607</v>
      </c>
    </row>
    <row r="7" customFormat="false" ht="14.25" hidden="false" customHeight="true" outlineLevel="0" collapsed="false">
      <c r="A7" s="5" t="n">
        <v>166</v>
      </c>
      <c r="B7" s="5" t="n">
        <v>166</v>
      </c>
      <c r="C7" s="5" t="s">
        <v>807</v>
      </c>
      <c r="D7" s="5" t="n">
        <v>2014</v>
      </c>
      <c r="E7" s="5" t="s">
        <v>808</v>
      </c>
      <c r="F7" s="5" t="s">
        <v>811</v>
      </c>
      <c r="G7" s="5" t="s">
        <v>812</v>
      </c>
      <c r="H7" s="5" t="n">
        <v>29.067</v>
      </c>
      <c r="I7" s="5" t="n">
        <v>77.767</v>
      </c>
      <c r="J7" s="5" t="s">
        <v>83</v>
      </c>
      <c r="K7" s="5" t="n">
        <v>2011</v>
      </c>
      <c r="L7" s="5" t="s">
        <v>777</v>
      </c>
      <c r="M7" s="5" t="s">
        <v>85</v>
      </c>
      <c r="N7" s="5" t="s">
        <v>1305</v>
      </c>
      <c r="O7" s="5" t="s">
        <v>1306</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1676</v>
      </c>
      <c r="AS7" s="5" t="s">
        <v>1402</v>
      </c>
      <c r="AT7" s="5" t="s">
        <v>1403</v>
      </c>
      <c r="AU7" s="5" t="s">
        <v>1404</v>
      </c>
      <c r="AV7" s="5" t="s">
        <v>91</v>
      </c>
      <c r="AW7" s="22" t="s">
        <v>1661</v>
      </c>
      <c r="AX7" s="5" t="s">
        <v>823</v>
      </c>
      <c r="AY7" s="5" t="s">
        <v>1604</v>
      </c>
    </row>
    <row r="8" customFormat="false" ht="14.25" hidden="false" customHeight="true" outlineLevel="0" collapsed="false">
      <c r="A8" s="5" t="n">
        <v>166</v>
      </c>
      <c r="B8" s="5" t="n">
        <v>166</v>
      </c>
      <c r="C8" s="5" t="s">
        <v>807</v>
      </c>
      <c r="D8" s="5" t="n">
        <v>2014</v>
      </c>
      <c r="E8" s="5" t="s">
        <v>808</v>
      </c>
      <c r="F8" s="5" t="s">
        <v>811</v>
      </c>
      <c r="G8" s="5" t="s">
        <v>812</v>
      </c>
      <c r="H8" s="5" t="n">
        <v>29.067</v>
      </c>
      <c r="I8" s="5" t="n">
        <v>77.767</v>
      </c>
      <c r="J8" s="5" t="s">
        <v>83</v>
      </c>
      <c r="K8" s="5" t="n">
        <v>2011</v>
      </c>
      <c r="L8" s="5" t="s">
        <v>777</v>
      </c>
      <c r="M8" s="5" t="s">
        <v>85</v>
      </c>
      <c r="N8" s="5" t="s">
        <v>1305</v>
      </c>
      <c r="O8" s="5" t="s">
        <v>1306</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1677</v>
      </c>
      <c r="AS8" s="5" t="s">
        <v>1402</v>
      </c>
      <c r="AT8" s="5" t="s">
        <v>1403</v>
      </c>
      <c r="AU8" s="5" t="s">
        <v>1404</v>
      </c>
      <c r="AV8" s="5" t="s">
        <v>91</v>
      </c>
      <c r="AW8" s="22" t="s">
        <v>1662</v>
      </c>
      <c r="AX8" s="5" t="s">
        <v>823</v>
      </c>
      <c r="AY8" s="5" t="s">
        <v>1607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1678</v>
      </c>
      <c r="Q1" s="24" t="s">
        <v>1679</v>
      </c>
      <c r="R1" s="24" t="s">
        <v>1680</v>
      </c>
      <c r="S1" s="24" t="s">
        <v>1681</v>
      </c>
      <c r="T1" s="24" t="s">
        <v>1682</v>
      </c>
      <c r="U1" s="24" t="s">
        <v>1683</v>
      </c>
      <c r="V1" s="24" t="s">
        <v>1684</v>
      </c>
      <c r="W1" s="24" t="s">
        <v>1685</v>
      </c>
      <c r="X1" s="27" t="s">
        <v>1686</v>
      </c>
      <c r="Y1" s="27" t="s">
        <v>1687</v>
      </c>
      <c r="Z1" s="27" t="s">
        <v>1688</v>
      </c>
      <c r="AA1" s="27" t="s">
        <v>1689</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917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1690</v>
      </c>
      <c r="Q1" s="24" t="s">
        <v>1691</v>
      </c>
      <c r="R1" s="24" t="s">
        <v>1692</v>
      </c>
      <c r="S1" s="24" t="s">
        <v>1693</v>
      </c>
      <c r="T1" s="24" t="s">
        <v>1694</v>
      </c>
      <c r="U1" s="24" t="s">
        <v>1695</v>
      </c>
      <c r="V1" s="24" t="s">
        <v>1696</v>
      </c>
      <c r="W1" s="24" t="s">
        <v>1697</v>
      </c>
      <c r="X1" s="27" t="s">
        <v>1698</v>
      </c>
      <c r="Y1" s="27" t="s">
        <v>1699</v>
      </c>
      <c r="Z1" s="27" t="s">
        <v>1700</v>
      </c>
      <c r="AA1" s="27" t="s">
        <v>1701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919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1702</v>
      </c>
      <c r="Q1" s="24" t="s">
        <v>1703</v>
      </c>
      <c r="R1" s="24" t="s">
        <v>1704</v>
      </c>
      <c r="S1" s="24" t="s">
        <v>1705</v>
      </c>
      <c r="T1" s="24" t="s">
        <v>1706</v>
      </c>
      <c r="U1" s="24" t="s">
        <v>1707</v>
      </c>
      <c r="V1" s="24" t="s">
        <v>1708</v>
      </c>
      <c r="W1" s="24" t="s">
        <v>1709</v>
      </c>
      <c r="X1" s="27" t="s">
        <v>1710</v>
      </c>
      <c r="Y1" s="27" t="s">
        <v>1711</v>
      </c>
      <c r="Z1" s="27" t="s">
        <v>1712</v>
      </c>
      <c r="AA1" s="27" t="s">
        <v>1713</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921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5" t="s">
        <v>35</v>
      </c>
      <c r="Q1" s="25" t="s">
        <v>33</v>
      </c>
      <c r="R1" s="25" t="s">
        <v>37</v>
      </c>
      <c r="S1" s="20" t="s">
        <v>73</v>
      </c>
      <c r="T1" s="20" t="s">
        <v>750</v>
      </c>
      <c r="U1" s="20" t="s">
        <v>751</v>
      </c>
      <c r="V1" s="20" t="s">
        <v>74</v>
      </c>
      <c r="W1" s="20" t="s">
        <v>1291</v>
      </c>
      <c r="X1" s="20" t="s">
        <v>1292</v>
      </c>
      <c r="Y1" s="20" t="s">
        <v>752</v>
      </c>
      <c r="Z1" s="20" t="s">
        <v>753</v>
      </c>
      <c r="AA1" s="20" t="s">
        <v>75</v>
      </c>
      <c r="AB1" s="20" t="s">
        <v>748</v>
      </c>
      <c r="AC1" s="20" t="s">
        <v>749</v>
      </c>
      <c r="AD1" s="20" t="s">
        <v>746</v>
      </c>
      <c r="AE1" s="20" t="s">
        <v>747</v>
      </c>
      <c r="AF1" s="21" t="s">
        <v>76</v>
      </c>
      <c r="AG1" s="21" t="s">
        <v>77</v>
      </c>
      <c r="AH1" s="21" t="s">
        <v>1293</v>
      </c>
      <c r="AI1" s="21" t="s">
        <v>1294</v>
      </c>
      <c r="AJ1" s="21" t="s">
        <v>78</v>
      </c>
      <c r="AK1" s="21" t="s">
        <v>765</v>
      </c>
      <c r="AL1" s="21" t="s">
        <v>1295</v>
      </c>
      <c r="AM1" s="21" t="s">
        <v>1296</v>
      </c>
      <c r="AO1" s="28" t="s">
        <v>1297</v>
      </c>
    </row>
    <row r="2" customFormat="false" ht="15" hidden="false" customHeight="true" outlineLevel="0" collapsed="false">
      <c r="AO2" s="30" t="s">
        <v>923</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1714</v>
      </c>
      <c r="Q1" s="24" t="s">
        <v>1715</v>
      </c>
      <c r="R1" s="24" t="s">
        <v>1716</v>
      </c>
      <c r="S1" s="24" t="s">
        <v>1717</v>
      </c>
      <c r="T1" s="24" t="s">
        <v>1718</v>
      </c>
      <c r="U1" s="24" t="s">
        <v>1719</v>
      </c>
      <c r="V1" s="24" t="s">
        <v>1720</v>
      </c>
      <c r="W1" s="24" t="s">
        <v>1721</v>
      </c>
      <c r="X1" s="27" t="s">
        <v>1722</v>
      </c>
      <c r="Y1" s="27" t="s">
        <v>1723</v>
      </c>
      <c r="Z1" s="27" t="s">
        <v>1724</v>
      </c>
      <c r="AA1" s="27" t="s">
        <v>1725</v>
      </c>
      <c r="AB1" s="24" t="s">
        <v>1726</v>
      </c>
      <c r="AC1" s="24" t="s">
        <v>1727</v>
      </c>
      <c r="AD1" s="24" t="s">
        <v>1728</v>
      </c>
      <c r="AE1" s="25" t="s">
        <v>35</v>
      </c>
      <c r="AF1" s="25" t="s">
        <v>33</v>
      </c>
      <c r="AG1" s="25" t="s">
        <v>37</v>
      </c>
      <c r="AH1" s="20" t="s">
        <v>73</v>
      </c>
      <c r="AI1" s="20" t="s">
        <v>750</v>
      </c>
      <c r="AJ1" s="20" t="s">
        <v>751</v>
      </c>
      <c r="AK1" s="20" t="s">
        <v>74</v>
      </c>
      <c r="AL1" s="20" t="s">
        <v>1291</v>
      </c>
      <c r="AM1" s="20" t="s">
        <v>1292</v>
      </c>
      <c r="AN1" s="20" t="s">
        <v>752</v>
      </c>
      <c r="AO1" s="20" t="s">
        <v>753</v>
      </c>
      <c r="AP1" s="20" t="s">
        <v>75</v>
      </c>
      <c r="AQ1" s="20" t="s">
        <v>748</v>
      </c>
      <c r="AR1" s="20" t="s">
        <v>749</v>
      </c>
      <c r="AS1" s="20" t="s">
        <v>746</v>
      </c>
      <c r="AT1" s="20" t="s">
        <v>747</v>
      </c>
      <c r="AU1" s="21" t="s">
        <v>76</v>
      </c>
      <c r="AV1" s="21" t="s">
        <v>77</v>
      </c>
      <c r="AW1" s="21" t="s">
        <v>1293</v>
      </c>
      <c r="AX1" s="21" t="s">
        <v>1294</v>
      </c>
      <c r="AY1" s="21" t="s">
        <v>78</v>
      </c>
      <c r="AZ1" s="21" t="s">
        <v>765</v>
      </c>
      <c r="BA1" s="21" t="s">
        <v>1295</v>
      </c>
      <c r="BB1" s="21" t="s">
        <v>1296</v>
      </c>
      <c r="BD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1298</v>
      </c>
      <c r="P2" s="17" t="n">
        <v>6.2</v>
      </c>
      <c r="Q2" s="17" t="n">
        <v>4.8</v>
      </c>
      <c r="R2" s="17" t="n">
        <v>5.37</v>
      </c>
      <c r="S2" s="17"/>
      <c r="T2" s="17"/>
      <c r="U2" s="17"/>
      <c r="V2" s="17" t="n">
        <v>5.8</v>
      </c>
      <c r="W2" s="17"/>
      <c r="X2" s="17"/>
      <c r="Y2" s="17"/>
      <c r="Z2" s="17"/>
      <c r="AA2" s="17"/>
      <c r="AB2" s="17"/>
      <c r="AC2" s="17"/>
      <c r="AD2" s="17"/>
      <c r="AE2" s="17" t="n">
        <v>1</v>
      </c>
      <c r="AF2" s="17" t="n">
        <v>3</v>
      </c>
      <c r="AG2" s="17" t="n">
        <f aca="false">IF(AND(N(AE2)&gt;0,N(AF2)&gt;0),SQRT(2*AE2/AF2),"")</f>
        <v>0.816496580927726</v>
      </c>
      <c r="AH2" s="17"/>
      <c r="AI2" s="17"/>
      <c r="AJ2" s="17"/>
      <c r="AK2" s="17" t="n">
        <v>734</v>
      </c>
      <c r="AL2" s="17" t="n">
        <v>30.933</v>
      </c>
      <c r="AM2" s="17" t="n">
        <v>5</v>
      </c>
      <c r="AN2" s="17"/>
      <c r="AO2" s="17"/>
      <c r="AP2" s="17" t="n">
        <v>7.4</v>
      </c>
      <c r="AQ2" s="17"/>
      <c r="AR2" s="17"/>
      <c r="AS2" s="17"/>
      <c r="AT2" s="17"/>
      <c r="AU2" s="17" t="s">
        <v>647</v>
      </c>
      <c r="AV2" s="17" t="s">
        <v>1299</v>
      </c>
      <c r="AW2" s="17" t="s">
        <v>1300</v>
      </c>
      <c r="AX2" s="17" t="s">
        <v>1301</v>
      </c>
      <c r="AY2" s="17" t="s">
        <v>1729</v>
      </c>
      <c r="AZ2" s="29" t="s">
        <v>1730</v>
      </c>
      <c r="BA2" s="17" t="s">
        <v>852</v>
      </c>
      <c r="BB2" s="17" t="s">
        <v>1731</v>
      </c>
      <c r="BD2" s="30" t="s">
        <v>647</v>
      </c>
    </row>
    <row r="3" customFormat="false" ht="15" hidden="false" customHeight="true" outlineLevel="0" collapsed="false">
      <c r="A3" s="17" t="n">
        <v>168</v>
      </c>
      <c r="B3" s="17" t="n">
        <v>168</v>
      </c>
      <c r="C3" s="17" t="s">
        <v>837</v>
      </c>
      <c r="D3" s="17" t="n">
        <v>2020</v>
      </c>
      <c r="E3" s="17" t="s">
        <v>838</v>
      </c>
      <c r="F3" s="17" t="s">
        <v>841</v>
      </c>
      <c r="G3" s="17" t="s">
        <v>842</v>
      </c>
      <c r="H3" s="17" t="n">
        <v>30.933</v>
      </c>
      <c r="I3" s="17" t="n">
        <v>75.867</v>
      </c>
      <c r="J3" s="17" t="s">
        <v>845</v>
      </c>
      <c r="K3" s="17" t="n">
        <v>2016</v>
      </c>
      <c r="L3" s="17" t="s">
        <v>84</v>
      </c>
      <c r="M3" s="17" t="s">
        <v>85</v>
      </c>
      <c r="N3" s="17" t="s">
        <v>1305</v>
      </c>
      <c r="O3" s="17" t="s">
        <v>1306</v>
      </c>
      <c r="P3" s="17" t="n">
        <v>4</v>
      </c>
      <c r="Q3" s="17" t="n">
        <v>3.27</v>
      </c>
      <c r="R3" s="17" t="n">
        <v>3.67</v>
      </c>
      <c r="S3" s="17"/>
      <c r="T3" s="17"/>
      <c r="U3" s="17"/>
      <c r="V3" s="17" t="n">
        <v>2.87</v>
      </c>
      <c r="W3" s="17"/>
      <c r="X3" s="17"/>
      <c r="Y3" s="17"/>
      <c r="Z3" s="17"/>
      <c r="AA3" s="17"/>
      <c r="AB3" s="17"/>
      <c r="AC3" s="17"/>
      <c r="AD3" s="17"/>
      <c r="AE3" s="17" t="n">
        <v>1</v>
      </c>
      <c r="AF3" s="17" t="n">
        <v>3</v>
      </c>
      <c r="AG3" s="17" t="n">
        <f aca="false">IF(AND(N(AE3)&gt;0,N(AF3)&gt;0),SQRT(2*AE3/AF3),"")</f>
        <v>0.816496580927726</v>
      </c>
      <c r="AH3" s="17"/>
      <c r="AI3" s="17"/>
      <c r="AJ3" s="17"/>
      <c r="AK3" s="17" t="n">
        <v>734</v>
      </c>
      <c r="AL3" s="17" t="n">
        <v>30.933</v>
      </c>
      <c r="AM3" s="17" t="n">
        <v>5</v>
      </c>
      <c r="AN3" s="17"/>
      <c r="AO3" s="17"/>
      <c r="AP3" s="17" t="n">
        <v>7.4</v>
      </c>
      <c r="AQ3" s="17"/>
      <c r="AR3" s="17"/>
      <c r="AS3" s="17"/>
      <c r="AT3" s="17"/>
      <c r="AU3" s="17" t="s">
        <v>647</v>
      </c>
      <c r="AV3" s="17" t="s">
        <v>1299</v>
      </c>
      <c r="AW3" s="17" t="s">
        <v>1300</v>
      </c>
      <c r="AX3" s="17" t="s">
        <v>1301</v>
      </c>
      <c r="AY3" s="17" t="s">
        <v>1729</v>
      </c>
      <c r="AZ3" s="29" t="s">
        <v>1730</v>
      </c>
      <c r="BA3" s="17" t="s">
        <v>852</v>
      </c>
      <c r="BB3" s="17" t="s">
        <v>1731</v>
      </c>
    </row>
    <row r="4" customFormat="false" ht="15" hidden="false" customHeight="true" outlineLevel="0" collapsed="false">
      <c r="A4" s="5" t="n">
        <v>165</v>
      </c>
      <c r="B4" s="5" t="n">
        <v>165</v>
      </c>
      <c r="C4" s="5" t="s">
        <v>786</v>
      </c>
      <c r="D4" s="5" t="n">
        <v>2012</v>
      </c>
      <c r="E4" s="5" t="s">
        <v>787</v>
      </c>
      <c r="F4" s="5" t="s">
        <v>790</v>
      </c>
      <c r="G4" s="5" t="s">
        <v>791</v>
      </c>
      <c r="H4" s="5" t="n">
        <v>28.633</v>
      </c>
      <c r="I4" s="5" t="n">
        <v>77.183</v>
      </c>
      <c r="J4" s="5" t="s">
        <v>83</v>
      </c>
      <c r="K4" s="5" t="s">
        <v>1732</v>
      </c>
      <c r="L4" s="5" t="s">
        <v>796</v>
      </c>
      <c r="M4" s="5" t="s">
        <v>85</v>
      </c>
      <c r="N4" s="5" t="s">
        <v>86</v>
      </c>
      <c r="O4" s="5" t="s">
        <v>1733</v>
      </c>
      <c r="P4" s="5"/>
      <c r="Q4" s="5" t="n">
        <v>5.65</v>
      </c>
      <c r="R4" s="5"/>
      <c r="S4" s="5"/>
      <c r="T4" s="5"/>
      <c r="U4" s="5"/>
      <c r="V4" s="5" t="n">
        <v>6.28</v>
      </c>
      <c r="W4" s="5"/>
      <c r="X4" s="5"/>
      <c r="Y4" s="5"/>
      <c r="Z4" s="5"/>
      <c r="AA4" s="5"/>
      <c r="AB4" s="5"/>
      <c r="AC4" s="5"/>
      <c r="AD4" s="5"/>
      <c r="AE4" s="5" t="n">
        <v>1</v>
      </c>
      <c r="AF4" s="5" t="n">
        <v>3</v>
      </c>
      <c r="AG4" s="5" t="n">
        <f aca="false">IF(AND(N(AE4)&gt;0,N(AF4)&gt;0),SQRT(2*AE4/AF4),"")</f>
        <v>0.816496580927726</v>
      </c>
      <c r="AH4" s="5" t="n">
        <v>25.4</v>
      </c>
      <c r="AI4" s="5"/>
      <c r="AJ4" s="5"/>
      <c r="AK4" s="5"/>
      <c r="AL4" s="5" t="n">
        <v>28.633</v>
      </c>
      <c r="AM4" s="5" t="n">
        <v>1</v>
      </c>
      <c r="AN4" s="5"/>
      <c r="AO4" s="5"/>
      <c r="AP4" s="5" t="n">
        <v>8.16</v>
      </c>
      <c r="AQ4" s="5" t="n">
        <v>5.2</v>
      </c>
      <c r="AR4" s="5" t="n">
        <v>1.5</v>
      </c>
      <c r="AS4" s="5" t="n">
        <v>52.06</v>
      </c>
      <c r="AT4" s="5" t="n">
        <v>22.54</v>
      </c>
      <c r="AU4" s="5" t="s">
        <v>647</v>
      </c>
      <c r="AV4" s="5" t="s">
        <v>1308</v>
      </c>
      <c r="AW4" s="5" t="s">
        <v>1734</v>
      </c>
      <c r="AX4" s="5" t="s">
        <v>1310</v>
      </c>
      <c r="AY4" s="5" t="s">
        <v>1582</v>
      </c>
      <c r="AZ4" s="22" t="s">
        <v>1735</v>
      </c>
      <c r="BA4" s="5" t="s">
        <v>804</v>
      </c>
      <c r="BB4" s="5" t="s">
        <v>1736</v>
      </c>
    </row>
    <row r="5" customFormat="false" ht="15" hidden="false" customHeight="true" outlineLevel="0" collapsed="false">
      <c r="A5" s="5" t="n">
        <v>165</v>
      </c>
      <c r="B5" s="5" t="n">
        <v>165</v>
      </c>
      <c r="C5" s="5" t="s">
        <v>786</v>
      </c>
      <c r="D5" s="5" t="n">
        <v>2012</v>
      </c>
      <c r="E5" s="5" t="s">
        <v>787</v>
      </c>
      <c r="F5" s="5" t="s">
        <v>790</v>
      </c>
      <c r="G5" s="5" t="s">
        <v>791</v>
      </c>
      <c r="H5" s="5" t="n">
        <v>28.633</v>
      </c>
      <c r="I5" s="5" t="n">
        <v>77.183</v>
      </c>
      <c r="J5" s="5" t="s">
        <v>83</v>
      </c>
      <c r="K5" s="5" t="s">
        <v>1732</v>
      </c>
      <c r="L5" s="5" t="s">
        <v>796</v>
      </c>
      <c r="M5" s="5" t="s">
        <v>85</v>
      </c>
      <c r="N5" s="5" t="s">
        <v>86</v>
      </c>
      <c r="O5" s="5" t="s">
        <v>1733</v>
      </c>
      <c r="P5" s="5"/>
      <c r="Q5" s="5" t="n">
        <v>5.73</v>
      </c>
      <c r="R5" s="5"/>
      <c r="S5" s="5"/>
      <c r="T5" s="5"/>
      <c r="U5" s="5"/>
      <c r="V5" s="5" t="n">
        <v>6.45</v>
      </c>
      <c r="W5" s="5"/>
      <c r="X5" s="5"/>
      <c r="Y5" s="5"/>
      <c r="Z5" s="5"/>
      <c r="AA5" s="5"/>
      <c r="AB5" s="5"/>
      <c r="AC5" s="5"/>
      <c r="AD5" s="5"/>
      <c r="AE5" s="5" t="n">
        <v>1</v>
      </c>
      <c r="AF5" s="5" t="n">
        <v>3</v>
      </c>
      <c r="AG5" s="5" t="n">
        <f aca="false">IF(AND(N(AE5)&gt;0,N(AF5)&gt;0),SQRT(2*AE5/AF5),"")</f>
        <v>0.816496580927726</v>
      </c>
      <c r="AH5" s="5" t="n">
        <v>25.4</v>
      </c>
      <c r="AI5" s="5"/>
      <c r="AJ5" s="5"/>
      <c r="AK5" s="5"/>
      <c r="AL5" s="5" t="n">
        <v>28.633</v>
      </c>
      <c r="AM5" s="5" t="n">
        <v>1</v>
      </c>
      <c r="AN5" s="5"/>
      <c r="AO5" s="5"/>
      <c r="AP5" s="5" t="n">
        <v>8.16</v>
      </c>
      <c r="AQ5" s="5" t="n">
        <v>5.2</v>
      </c>
      <c r="AR5" s="5" t="n">
        <v>1.5</v>
      </c>
      <c r="AS5" s="5" t="n">
        <v>52.06</v>
      </c>
      <c r="AT5" s="5" t="n">
        <v>22.54</v>
      </c>
      <c r="AU5" s="5" t="s">
        <v>647</v>
      </c>
      <c r="AV5" s="5" t="s">
        <v>1314</v>
      </c>
      <c r="AW5" s="5" t="s">
        <v>1737</v>
      </c>
      <c r="AX5" s="5" t="s">
        <v>1310</v>
      </c>
      <c r="AY5" s="5" t="s">
        <v>1582</v>
      </c>
      <c r="AZ5" s="22" t="s">
        <v>1738</v>
      </c>
      <c r="BA5" s="5" t="s">
        <v>804</v>
      </c>
      <c r="BB5" s="5" t="s">
        <v>1736</v>
      </c>
    </row>
    <row r="6" customFormat="false" ht="15" hidden="false" customHeight="true" outlineLevel="0" collapsed="false">
      <c r="A6" s="5" t="n">
        <v>165</v>
      </c>
      <c r="B6" s="5" t="n">
        <v>165</v>
      </c>
      <c r="C6" s="5" t="s">
        <v>786</v>
      </c>
      <c r="D6" s="5" t="n">
        <v>2012</v>
      </c>
      <c r="E6" s="5" t="s">
        <v>787</v>
      </c>
      <c r="F6" s="5" t="s">
        <v>790</v>
      </c>
      <c r="G6" s="5" t="s">
        <v>791</v>
      </c>
      <c r="H6" s="5" t="n">
        <v>28.633</v>
      </c>
      <c r="I6" s="5" t="n">
        <v>77.183</v>
      </c>
      <c r="J6" s="5" t="s">
        <v>83</v>
      </c>
      <c r="K6" s="5" t="s">
        <v>1307</v>
      </c>
      <c r="L6" s="5" t="s">
        <v>796</v>
      </c>
      <c r="M6" s="5" t="s">
        <v>85</v>
      </c>
      <c r="N6" s="5" t="s">
        <v>86</v>
      </c>
      <c r="O6" s="5" t="s">
        <v>1733</v>
      </c>
      <c r="P6" s="5"/>
      <c r="Q6" s="5" t="n">
        <v>6.08</v>
      </c>
      <c r="R6" s="5"/>
      <c r="S6" s="5"/>
      <c r="T6" s="5"/>
      <c r="U6" s="5"/>
      <c r="V6" s="5" t="n">
        <v>6.75</v>
      </c>
      <c r="W6" s="5"/>
      <c r="X6" s="5"/>
      <c r="Y6" s="5"/>
      <c r="Z6" s="5"/>
      <c r="AA6" s="5"/>
      <c r="AB6" s="5"/>
      <c r="AC6" s="5"/>
      <c r="AD6" s="5"/>
      <c r="AE6" s="5" t="n">
        <v>1</v>
      </c>
      <c r="AF6" s="5" t="n">
        <v>3</v>
      </c>
      <c r="AG6" s="5" t="n">
        <f aca="false">IF(AND(N(AE6)&gt;0,N(AF6)&gt;0),SQRT(2*AE6/AF6),"")</f>
        <v>0.816496580927726</v>
      </c>
      <c r="AH6" s="5" t="n">
        <v>25.4</v>
      </c>
      <c r="AI6" s="5"/>
      <c r="AJ6" s="5"/>
      <c r="AK6" s="5"/>
      <c r="AL6" s="5" t="n">
        <v>28.633</v>
      </c>
      <c r="AM6" s="5" t="n">
        <v>2</v>
      </c>
      <c r="AN6" s="5"/>
      <c r="AO6" s="5"/>
      <c r="AP6" s="5" t="n">
        <v>8.16</v>
      </c>
      <c r="AQ6" s="5" t="n">
        <v>5.2</v>
      </c>
      <c r="AR6" s="5" t="n">
        <v>1.5</v>
      </c>
      <c r="AS6" s="5" t="n">
        <v>52.06</v>
      </c>
      <c r="AT6" s="5" t="n">
        <v>22.54</v>
      </c>
      <c r="AU6" s="5" t="s">
        <v>647</v>
      </c>
      <c r="AV6" s="5" t="s">
        <v>1308</v>
      </c>
      <c r="AW6" s="5" t="s">
        <v>1739</v>
      </c>
      <c r="AX6" s="5" t="s">
        <v>1310</v>
      </c>
      <c r="AY6" s="5" t="s">
        <v>1582</v>
      </c>
      <c r="AZ6" s="22" t="s">
        <v>1735</v>
      </c>
      <c r="BA6" s="5" t="s">
        <v>804</v>
      </c>
      <c r="BB6" s="5" t="s">
        <v>1736</v>
      </c>
    </row>
    <row r="7" customFormat="false" ht="15" hidden="false" customHeight="true" outlineLevel="0" collapsed="false">
      <c r="A7" s="5" t="n">
        <v>165</v>
      </c>
      <c r="B7" s="5" t="n">
        <v>165</v>
      </c>
      <c r="C7" s="5" t="s">
        <v>786</v>
      </c>
      <c r="D7" s="5" t="n">
        <v>2012</v>
      </c>
      <c r="E7" s="5" t="s">
        <v>787</v>
      </c>
      <c r="F7" s="5" t="s">
        <v>790</v>
      </c>
      <c r="G7" s="5" t="s">
        <v>791</v>
      </c>
      <c r="H7" s="5" t="n">
        <v>28.633</v>
      </c>
      <c r="I7" s="5" t="n">
        <v>77.183</v>
      </c>
      <c r="J7" s="5" t="s">
        <v>83</v>
      </c>
      <c r="K7" s="5" t="s">
        <v>1307</v>
      </c>
      <c r="L7" s="5" t="s">
        <v>796</v>
      </c>
      <c r="M7" s="5" t="s">
        <v>85</v>
      </c>
      <c r="N7" s="5" t="s">
        <v>86</v>
      </c>
      <c r="O7" s="5" t="s">
        <v>1733</v>
      </c>
      <c r="P7" s="5"/>
      <c r="Q7" s="5" t="n">
        <v>6.21</v>
      </c>
      <c r="R7" s="5"/>
      <c r="S7" s="5"/>
      <c r="T7" s="5"/>
      <c r="U7" s="5"/>
      <c r="V7" s="5" t="n">
        <v>6.93</v>
      </c>
      <c r="W7" s="5"/>
      <c r="X7" s="5"/>
      <c r="Y7" s="5"/>
      <c r="Z7" s="5"/>
      <c r="AA7" s="5"/>
      <c r="AB7" s="5"/>
      <c r="AC7" s="5"/>
      <c r="AD7" s="5"/>
      <c r="AE7" s="5" t="n">
        <v>1</v>
      </c>
      <c r="AF7" s="5" t="n">
        <v>3</v>
      </c>
      <c r="AG7" s="5" t="n">
        <f aca="false">IF(AND(N(AE7)&gt;0,N(AF7)&gt;0),SQRT(2*AE7/AF7),"")</f>
        <v>0.816496580927726</v>
      </c>
      <c r="AH7" s="5" t="n">
        <v>25.4</v>
      </c>
      <c r="AI7" s="5"/>
      <c r="AJ7" s="5"/>
      <c r="AK7" s="5"/>
      <c r="AL7" s="5" t="n">
        <v>28.633</v>
      </c>
      <c r="AM7" s="5" t="n">
        <v>2</v>
      </c>
      <c r="AN7" s="5"/>
      <c r="AO7" s="5"/>
      <c r="AP7" s="5" t="n">
        <v>8.16</v>
      </c>
      <c r="AQ7" s="5" t="n">
        <v>5.2</v>
      </c>
      <c r="AR7" s="5" t="n">
        <v>1.5</v>
      </c>
      <c r="AS7" s="5" t="n">
        <v>52.06</v>
      </c>
      <c r="AT7" s="5" t="n">
        <v>22.54</v>
      </c>
      <c r="AU7" s="5" t="s">
        <v>647</v>
      </c>
      <c r="AV7" s="5" t="s">
        <v>1314</v>
      </c>
      <c r="AW7" s="5" t="s">
        <v>1740</v>
      </c>
      <c r="AX7" s="5" t="s">
        <v>1310</v>
      </c>
      <c r="AY7" s="5" t="s">
        <v>1582</v>
      </c>
      <c r="AZ7" s="22" t="s">
        <v>1738</v>
      </c>
      <c r="BA7" s="5" t="s">
        <v>804</v>
      </c>
      <c r="BB7" s="5" t="s">
        <v>1736</v>
      </c>
    </row>
    <row r="8" customFormat="false" ht="15" hidden="false" customHeight="true" outlineLevel="0" collapsed="false">
      <c r="A8" s="5" t="n">
        <v>164</v>
      </c>
      <c r="B8" s="5" t="n">
        <v>164</v>
      </c>
      <c r="C8" s="5" t="s">
        <v>766</v>
      </c>
      <c r="D8" s="5" t="n">
        <v>2000</v>
      </c>
      <c r="E8" s="5" t="s">
        <v>767</v>
      </c>
      <c r="F8" s="5" t="s">
        <v>841</v>
      </c>
      <c r="G8" s="5" t="s">
        <v>1741</v>
      </c>
      <c r="H8" s="5" t="n">
        <v>30.933</v>
      </c>
      <c r="I8" s="5" t="n">
        <v>75.867</v>
      </c>
      <c r="J8" s="5" t="s">
        <v>845</v>
      </c>
      <c r="K8" s="5" t="s">
        <v>1742</v>
      </c>
      <c r="L8" s="5" t="s">
        <v>777</v>
      </c>
      <c r="M8" s="5" t="s">
        <v>85</v>
      </c>
      <c r="N8" s="5" t="s">
        <v>86</v>
      </c>
      <c r="O8" s="5" t="s">
        <v>1298</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647</v>
      </c>
      <c r="AV8" s="5" t="s">
        <v>1743</v>
      </c>
      <c r="AW8" s="5" t="s">
        <v>1744</v>
      </c>
      <c r="AX8" s="5" t="s">
        <v>1745</v>
      </c>
      <c r="AY8" s="5" t="s">
        <v>1746</v>
      </c>
      <c r="AZ8" s="22" t="s">
        <v>1747</v>
      </c>
      <c r="BA8" s="5" t="s">
        <v>782</v>
      </c>
      <c r="BB8" s="5" t="s">
        <v>1748</v>
      </c>
    </row>
    <row r="9" customFormat="false" ht="15" hidden="false" customHeight="true" outlineLevel="0" collapsed="false">
      <c r="A9" s="5" t="n">
        <v>164</v>
      </c>
      <c r="B9" s="5" t="n">
        <v>164</v>
      </c>
      <c r="C9" s="5" t="s">
        <v>766</v>
      </c>
      <c r="D9" s="5" t="n">
        <v>2000</v>
      </c>
      <c r="E9" s="5" t="s">
        <v>767</v>
      </c>
      <c r="F9" s="5" t="s">
        <v>1251</v>
      </c>
      <c r="G9" s="5" t="s">
        <v>1749</v>
      </c>
      <c r="H9" s="5" t="n">
        <v>29</v>
      </c>
      <c r="I9" s="5" t="n">
        <v>79.083</v>
      </c>
      <c r="J9" s="5" t="s">
        <v>83</v>
      </c>
      <c r="K9" s="5" t="s">
        <v>1742</v>
      </c>
      <c r="L9" s="5" t="s">
        <v>777</v>
      </c>
      <c r="M9" s="5" t="s">
        <v>85</v>
      </c>
      <c r="N9" s="5" t="s">
        <v>86</v>
      </c>
      <c r="O9" s="5" t="s">
        <v>1298</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647</v>
      </c>
      <c r="AV9" s="5" t="s">
        <v>1743</v>
      </c>
      <c r="AW9" s="5" t="s">
        <v>1744</v>
      </c>
      <c r="AX9" s="5" t="s">
        <v>1750</v>
      </c>
      <c r="AY9" s="5" t="s">
        <v>1746</v>
      </c>
      <c r="AZ9" s="22" t="s">
        <v>1751</v>
      </c>
      <c r="BA9" s="5" t="s">
        <v>782</v>
      </c>
      <c r="BB9" s="5" t="s">
        <v>1748</v>
      </c>
    </row>
    <row r="10" customFormat="false" ht="15" hidden="false" customHeight="true" outlineLevel="0" collapsed="false">
      <c r="A10" s="5" t="n">
        <v>164</v>
      </c>
      <c r="B10" s="5" t="n">
        <v>164</v>
      </c>
      <c r="C10" s="5" t="s">
        <v>766</v>
      </c>
      <c r="D10" s="5" t="n">
        <v>2000</v>
      </c>
      <c r="E10" s="5" t="s">
        <v>767</v>
      </c>
      <c r="F10" s="5" t="s">
        <v>811</v>
      </c>
      <c r="G10" s="5" t="s">
        <v>1752</v>
      </c>
      <c r="H10" s="5" t="n">
        <v>26.967</v>
      </c>
      <c r="I10" s="5" t="n">
        <v>80.567</v>
      </c>
      <c r="J10" s="5" t="s">
        <v>83</v>
      </c>
      <c r="K10" s="5" t="s">
        <v>1742</v>
      </c>
      <c r="L10" s="5" t="s">
        <v>777</v>
      </c>
      <c r="M10" s="5"/>
      <c r="N10" s="5" t="s">
        <v>86</v>
      </c>
      <c r="O10" s="5" t="s">
        <v>1298</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647</v>
      </c>
      <c r="AV10" s="5" t="s">
        <v>1743</v>
      </c>
      <c r="AW10" s="5" t="s">
        <v>1744</v>
      </c>
      <c r="AX10" s="5" t="s">
        <v>1753</v>
      </c>
      <c r="AY10" s="5" t="s">
        <v>1746</v>
      </c>
      <c r="AZ10" s="22" t="s">
        <v>1754</v>
      </c>
      <c r="BA10" s="5" t="s">
        <v>782</v>
      </c>
      <c r="BB10" s="5" t="s">
        <v>1748</v>
      </c>
    </row>
    <row r="11" customFormat="false" ht="15" hidden="false" customHeight="true" outlineLevel="0" collapsed="false">
      <c r="A11" s="5" t="n">
        <v>164</v>
      </c>
      <c r="B11" s="5" t="n">
        <v>164</v>
      </c>
      <c r="C11" s="5" t="s">
        <v>766</v>
      </c>
      <c r="D11" s="5" t="n">
        <v>2000</v>
      </c>
      <c r="E11" s="5" t="s">
        <v>767</v>
      </c>
      <c r="F11" s="5" t="s">
        <v>811</v>
      </c>
      <c r="G11" s="5" t="s">
        <v>1755</v>
      </c>
      <c r="H11" s="5" t="n">
        <v>26.067</v>
      </c>
      <c r="I11" s="5" t="n">
        <v>82.133</v>
      </c>
      <c r="J11" s="5" t="s">
        <v>83</v>
      </c>
      <c r="K11" s="5" t="s">
        <v>1742</v>
      </c>
      <c r="L11" s="5" t="s">
        <v>777</v>
      </c>
      <c r="M11" s="5" t="s">
        <v>85</v>
      </c>
      <c r="N11" s="5" t="s">
        <v>86</v>
      </c>
      <c r="O11" s="5" t="s">
        <v>1298</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647</v>
      </c>
      <c r="AV11" s="5" t="s">
        <v>1743</v>
      </c>
      <c r="AW11" s="5" t="s">
        <v>1744</v>
      </c>
      <c r="AX11" s="5" t="s">
        <v>1756</v>
      </c>
      <c r="AY11" s="5" t="s">
        <v>1746</v>
      </c>
      <c r="AZ11" s="22" t="s">
        <v>1757</v>
      </c>
      <c r="BA11" s="5" t="s">
        <v>782</v>
      </c>
      <c r="BB11" s="5" t="s">
        <v>1748</v>
      </c>
    </row>
    <row r="12" customFormat="false" ht="15" hidden="false" customHeight="true" outlineLevel="0" collapsed="false">
      <c r="A12" s="5" t="n">
        <v>164</v>
      </c>
      <c r="B12" s="5" t="n">
        <v>164</v>
      </c>
      <c r="C12" s="5" t="s">
        <v>766</v>
      </c>
      <c r="D12" s="5" t="n">
        <v>2000</v>
      </c>
      <c r="E12" s="5" t="s">
        <v>767</v>
      </c>
      <c r="F12" s="5" t="s">
        <v>1263</v>
      </c>
      <c r="G12" s="5" t="s">
        <v>1758</v>
      </c>
      <c r="H12" s="5" t="n">
        <v>25.233</v>
      </c>
      <c r="I12" s="5" t="n">
        <v>87.067</v>
      </c>
      <c r="J12" s="5" t="s">
        <v>83</v>
      </c>
      <c r="K12" s="5" t="s">
        <v>1742</v>
      </c>
      <c r="L12" s="5" t="s">
        <v>777</v>
      </c>
      <c r="M12" s="5" t="s">
        <v>1759</v>
      </c>
      <c r="N12" s="5" t="s">
        <v>86</v>
      </c>
      <c r="O12" s="5" t="s">
        <v>1298</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647</v>
      </c>
      <c r="AV12" s="5" t="s">
        <v>1743</v>
      </c>
      <c r="AW12" s="5" t="s">
        <v>1744</v>
      </c>
      <c r="AX12" s="5" t="s">
        <v>1760</v>
      </c>
      <c r="AY12" s="5" t="s">
        <v>1746</v>
      </c>
      <c r="AZ12" s="22" t="s">
        <v>1761</v>
      </c>
      <c r="BA12" s="5" t="s">
        <v>782</v>
      </c>
      <c r="BB12" s="5" t="s">
        <v>1748</v>
      </c>
    </row>
    <row r="13" customFormat="false" ht="15" hidden="false" customHeight="true" outlineLevel="0" collapsed="false">
      <c r="A13" s="5" t="n">
        <v>164</v>
      </c>
      <c r="B13" s="5" t="n">
        <v>164</v>
      </c>
      <c r="C13" s="5" t="s">
        <v>766</v>
      </c>
      <c r="D13" s="5" t="n">
        <v>2000</v>
      </c>
      <c r="E13" s="5" t="s">
        <v>767</v>
      </c>
      <c r="F13" s="5" t="s">
        <v>1267</v>
      </c>
      <c r="G13" s="5" t="s">
        <v>1762</v>
      </c>
      <c r="H13" s="5" t="n">
        <v>23</v>
      </c>
      <c r="I13" s="5" t="n">
        <v>89</v>
      </c>
      <c r="J13" s="5" t="s">
        <v>83</v>
      </c>
      <c r="K13" s="5" t="s">
        <v>1763</v>
      </c>
      <c r="L13" s="5" t="s">
        <v>777</v>
      </c>
      <c r="M13" s="5"/>
      <c r="N13" s="5" t="s">
        <v>86</v>
      </c>
      <c r="O13" s="5" t="s">
        <v>1298</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647</v>
      </c>
      <c r="AV13" s="5" t="s">
        <v>1743</v>
      </c>
      <c r="AW13" s="5" t="s">
        <v>1764</v>
      </c>
      <c r="AX13" s="5" t="s">
        <v>1765</v>
      </c>
      <c r="AY13" s="5" t="s">
        <v>1746</v>
      </c>
      <c r="AZ13" s="22" t="s">
        <v>1766</v>
      </c>
      <c r="BA13" s="5" t="s">
        <v>782</v>
      </c>
      <c r="BB13" s="5" t="s">
        <v>1748</v>
      </c>
    </row>
    <row r="14" customFormat="false" ht="15" hidden="false" customHeight="true" outlineLevel="0" collapsed="false">
      <c r="A14" s="5" t="n">
        <v>164</v>
      </c>
      <c r="B14" s="5" t="n">
        <v>164</v>
      </c>
      <c r="C14" s="5" t="s">
        <v>766</v>
      </c>
      <c r="D14" s="5" t="n">
        <v>2000</v>
      </c>
      <c r="E14" s="5" t="s">
        <v>767</v>
      </c>
      <c r="F14" s="5" t="s">
        <v>1272</v>
      </c>
      <c r="G14" s="5" t="s">
        <v>1767</v>
      </c>
      <c r="H14" s="5" t="n">
        <v>23.167</v>
      </c>
      <c r="I14" s="5" t="n">
        <v>79.95</v>
      </c>
      <c r="J14" s="5" t="s">
        <v>83</v>
      </c>
      <c r="K14" s="5" t="s">
        <v>1742</v>
      </c>
      <c r="L14" s="5" t="s">
        <v>777</v>
      </c>
      <c r="M14" s="5" t="s">
        <v>1759</v>
      </c>
      <c r="N14" s="5" t="s">
        <v>86</v>
      </c>
      <c r="O14" s="5" t="s">
        <v>1298</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647</v>
      </c>
      <c r="AV14" s="5" t="s">
        <v>1743</v>
      </c>
      <c r="AW14" s="5" t="s">
        <v>1744</v>
      </c>
      <c r="AX14" s="5" t="s">
        <v>1768</v>
      </c>
      <c r="AY14" s="5" t="s">
        <v>1746</v>
      </c>
      <c r="AZ14" s="22" t="s">
        <v>1769</v>
      </c>
      <c r="BA14" s="5" t="s">
        <v>782</v>
      </c>
      <c r="BB14" s="5" t="s">
        <v>1748</v>
      </c>
    </row>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1770</v>
      </c>
      <c r="Q1" s="24" t="s">
        <v>1771</v>
      </c>
      <c r="R1" s="24" t="s">
        <v>1772</v>
      </c>
      <c r="S1" s="24" t="s">
        <v>1773</v>
      </c>
      <c r="T1" s="24" t="s">
        <v>1774</v>
      </c>
      <c r="U1" s="24" t="s">
        <v>1775</v>
      </c>
      <c r="V1" s="24" t="s">
        <v>1776</v>
      </c>
      <c r="W1" s="24" t="s">
        <v>1777</v>
      </c>
      <c r="X1" s="27" t="s">
        <v>1778</v>
      </c>
      <c r="Y1" s="27" t="s">
        <v>1779</v>
      </c>
      <c r="Z1" s="27" t="s">
        <v>1780</v>
      </c>
      <c r="AA1" s="27" t="s">
        <v>1781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5" t="n">
        <v>166</v>
      </c>
      <c r="B2" s="5" t="n">
        <v>166</v>
      </c>
      <c r="C2" s="5" t="s">
        <v>807</v>
      </c>
      <c r="D2" s="5" t="n">
        <v>2014</v>
      </c>
      <c r="E2" s="5" t="s">
        <v>808</v>
      </c>
      <c r="F2" s="5" t="s">
        <v>811</v>
      </c>
      <c r="G2" s="5" t="s">
        <v>812</v>
      </c>
      <c r="H2" s="5" t="n">
        <v>29.067</v>
      </c>
      <c r="I2" s="5" t="n">
        <v>77.767</v>
      </c>
      <c r="J2" s="5" t="s">
        <v>83</v>
      </c>
      <c r="K2" s="5" t="n">
        <v>2011</v>
      </c>
      <c r="L2" s="5" t="s">
        <v>777</v>
      </c>
      <c r="M2" s="5" t="s">
        <v>85</v>
      </c>
      <c r="N2" s="5" t="s">
        <v>86</v>
      </c>
      <c r="O2" s="5" t="s">
        <v>1400</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1782</v>
      </c>
      <c r="AS2" s="5" t="s">
        <v>1402</v>
      </c>
      <c r="AT2" s="5" t="s">
        <v>1403</v>
      </c>
      <c r="AU2" s="5" t="s">
        <v>1404</v>
      </c>
      <c r="AV2" s="5" t="s">
        <v>1302</v>
      </c>
      <c r="AW2" s="22" t="s">
        <v>1783</v>
      </c>
      <c r="AX2" s="5" t="s">
        <v>823</v>
      </c>
      <c r="AY2" s="5" t="s">
        <v>1784</v>
      </c>
      <c r="BA2" s="30" t="s">
        <v>647</v>
      </c>
    </row>
    <row r="3" customFormat="false" ht="14.25" hidden="false" customHeight="true" outlineLevel="0" collapsed="false">
      <c r="A3" s="5" t="n">
        <v>166</v>
      </c>
      <c r="B3" s="5" t="n">
        <v>166</v>
      </c>
      <c r="C3" s="5" t="s">
        <v>807</v>
      </c>
      <c r="D3" s="5" t="n">
        <v>2014</v>
      </c>
      <c r="E3" s="5" t="s">
        <v>808</v>
      </c>
      <c r="F3" s="5" t="s">
        <v>811</v>
      </c>
      <c r="G3" s="5" t="s">
        <v>812</v>
      </c>
      <c r="H3" s="5" t="n">
        <v>29.067</v>
      </c>
      <c r="I3" s="5" t="n">
        <v>77.767</v>
      </c>
      <c r="J3" s="5" t="s">
        <v>83</v>
      </c>
      <c r="K3" s="5" t="n">
        <v>2011</v>
      </c>
      <c r="L3" s="5" t="s">
        <v>777</v>
      </c>
      <c r="M3" s="5" t="s">
        <v>85</v>
      </c>
      <c r="N3" s="5" t="s">
        <v>86</v>
      </c>
      <c r="O3" s="5" t="s">
        <v>1412</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1782</v>
      </c>
      <c r="AS3" s="5" t="s">
        <v>1402</v>
      </c>
      <c r="AT3" s="5" t="s">
        <v>1403</v>
      </c>
      <c r="AU3" s="5" t="s">
        <v>1404</v>
      </c>
      <c r="AV3" s="5" t="s">
        <v>1302</v>
      </c>
      <c r="AW3" s="22" t="s">
        <v>1783</v>
      </c>
      <c r="AX3" s="5" t="s">
        <v>823</v>
      </c>
      <c r="AY3" s="5" t="s">
        <v>1784</v>
      </c>
    </row>
    <row r="4" customFormat="false" ht="14.25" hidden="false" customHeight="true" outlineLevel="0" collapsed="false">
      <c r="A4" s="5" t="n">
        <v>166</v>
      </c>
      <c r="B4" s="5" t="n">
        <v>166</v>
      </c>
      <c r="C4" s="5" t="s">
        <v>807</v>
      </c>
      <c r="D4" s="5" t="n">
        <v>2014</v>
      </c>
      <c r="E4" s="5" t="s">
        <v>808</v>
      </c>
      <c r="F4" s="5" t="s">
        <v>811</v>
      </c>
      <c r="G4" s="5" t="s">
        <v>812</v>
      </c>
      <c r="H4" s="5" t="n">
        <v>29.067</v>
      </c>
      <c r="I4" s="5" t="n">
        <v>77.767</v>
      </c>
      <c r="J4" s="5" t="s">
        <v>83</v>
      </c>
      <c r="K4" s="5" t="n">
        <v>2011</v>
      </c>
      <c r="L4" s="5" t="s">
        <v>777</v>
      </c>
      <c r="M4" s="5" t="s">
        <v>85</v>
      </c>
      <c r="N4" s="5" t="s">
        <v>1305</v>
      </c>
      <c r="O4" s="5" t="s">
        <v>1306</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1782</v>
      </c>
      <c r="AS4" s="5" t="s">
        <v>1402</v>
      </c>
      <c r="AT4" s="5" t="s">
        <v>1403</v>
      </c>
      <c r="AU4" s="5" t="s">
        <v>1404</v>
      </c>
      <c r="AV4" s="5" t="s">
        <v>1302</v>
      </c>
      <c r="AW4" s="22" t="s">
        <v>1785</v>
      </c>
      <c r="AX4" s="5" t="s">
        <v>823</v>
      </c>
      <c r="AY4" s="5" t="s">
        <v>1784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1786</v>
      </c>
      <c r="Q1" s="24" t="s">
        <v>1787</v>
      </c>
      <c r="R1" s="24" t="s">
        <v>1788</v>
      </c>
      <c r="S1" s="24" t="s">
        <v>1789</v>
      </c>
      <c r="T1" s="24" t="s">
        <v>1790</v>
      </c>
      <c r="U1" s="24" t="s">
        <v>1791</v>
      </c>
      <c r="V1" s="24" t="s">
        <v>1792</v>
      </c>
      <c r="W1" s="24" t="s">
        <v>1793</v>
      </c>
      <c r="X1" s="27" t="s">
        <v>1794</v>
      </c>
      <c r="Y1" s="27" t="s">
        <v>1795</v>
      </c>
      <c r="Z1" s="27" t="s">
        <v>1796</v>
      </c>
      <c r="AA1" s="27" t="s">
        <v>1797</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647</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1798</v>
      </c>
      <c r="Q1" s="24" t="s">
        <v>1799</v>
      </c>
      <c r="R1" s="24" t="s">
        <v>1800</v>
      </c>
      <c r="S1" s="24" t="s">
        <v>1801</v>
      </c>
      <c r="T1" s="24" t="s">
        <v>1802</v>
      </c>
      <c r="U1" s="24" t="s">
        <v>1803</v>
      </c>
      <c r="V1" s="24" t="s">
        <v>1804</v>
      </c>
      <c r="W1" s="24" t="s">
        <v>1805</v>
      </c>
      <c r="X1" s="27" t="s">
        <v>1806</v>
      </c>
      <c r="Y1" s="27" t="s">
        <v>1807</v>
      </c>
      <c r="Z1" s="27" t="s">
        <v>1808</v>
      </c>
      <c r="AA1" s="27" t="s">
        <v>1809</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647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1810</v>
      </c>
      <c r="Q1" s="24" t="s">
        <v>1811</v>
      </c>
      <c r="R1" s="24" t="s">
        <v>1812</v>
      </c>
      <c r="S1" s="24" t="s">
        <v>1813</v>
      </c>
      <c r="T1" s="24" t="s">
        <v>1814</v>
      </c>
      <c r="U1" s="24" t="s">
        <v>1815</v>
      </c>
      <c r="V1" s="24" t="s">
        <v>1816</v>
      </c>
      <c r="W1" s="24" t="s">
        <v>1817</v>
      </c>
      <c r="X1" s="27" t="s">
        <v>1818</v>
      </c>
      <c r="Y1" s="27" t="s">
        <v>1819</v>
      </c>
      <c r="Z1" s="27" t="s">
        <v>1820</v>
      </c>
      <c r="AA1" s="27" t="s">
        <v>1821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929</v>
      </c>
    </row>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1822</v>
      </c>
      <c r="Q1" s="24" t="s">
        <v>1823</v>
      </c>
      <c r="R1" s="24" t="s">
        <v>1824</v>
      </c>
      <c r="S1" s="24" t="s">
        <v>1825</v>
      </c>
      <c r="T1" s="24" t="s">
        <v>1826</v>
      </c>
      <c r="U1" s="24" t="s">
        <v>1827</v>
      </c>
      <c r="V1" s="24" t="s">
        <v>1828</v>
      </c>
      <c r="W1" s="24" t="s">
        <v>1829</v>
      </c>
      <c r="X1" s="27" t="s">
        <v>1830</v>
      </c>
      <c r="Y1" s="27" t="s">
        <v>1831</v>
      </c>
      <c r="Z1" s="27" t="s">
        <v>1832</v>
      </c>
      <c r="AA1" s="27" t="s">
        <v>1833</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931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1834</v>
      </c>
      <c r="Q1" s="24" t="s">
        <v>1835</v>
      </c>
      <c r="R1" s="24" t="s">
        <v>1836</v>
      </c>
      <c r="S1" s="24" t="s">
        <v>1837</v>
      </c>
      <c r="T1" s="24" t="s">
        <v>1838</v>
      </c>
      <c r="U1" s="24" t="s">
        <v>1839</v>
      </c>
      <c r="V1" s="24" t="s">
        <v>1840</v>
      </c>
      <c r="W1" s="24" t="s">
        <v>1841</v>
      </c>
      <c r="X1" s="27" t="s">
        <v>1842</v>
      </c>
      <c r="Y1" s="27" t="s">
        <v>1843</v>
      </c>
      <c r="Z1" s="27" t="s">
        <v>1844</v>
      </c>
      <c r="AA1" s="27" t="s">
        <v>1845</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933</v>
      </c>
    </row>
    <row r="3" customFormat="false" ht="15" hidden="false" customHeight="true" outlineLevel="0" collapsed="false"/>
    <row r="4" customFormat="false" ht="15" hidden="false" customHeight="true" outlineLevel="0" collapsed="false">
      <c r="BA4" s="32" t="s">
        <v>1846</v>
      </c>
    </row>
    <row r="5" customFormat="false" ht="15" hidden="false" customHeight="true" outlineLevel="0" collapsed="false">
      <c r="BA5" s="33" t="s">
        <v>1847</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1848</v>
      </c>
      <c r="Q1" s="24" t="s">
        <v>1849</v>
      </c>
      <c r="R1" s="24" t="s">
        <v>1850</v>
      </c>
      <c r="S1" s="24" t="s">
        <v>1851</v>
      </c>
      <c r="T1" s="24" t="s">
        <v>1852</v>
      </c>
      <c r="U1" s="24" t="s">
        <v>1853</v>
      </c>
      <c r="V1" s="24" t="s">
        <v>1854</v>
      </c>
      <c r="W1" s="24" t="s">
        <v>1855</v>
      </c>
      <c r="X1" s="27" t="s">
        <v>1856</v>
      </c>
      <c r="Y1" s="27" t="s">
        <v>1857</v>
      </c>
      <c r="Z1" s="27" t="s">
        <v>1858</v>
      </c>
      <c r="AA1" s="27" t="s">
        <v>1859</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935</v>
      </c>
    </row>
    <row r="3" customFormat="false" ht="15" hidden="false" customHeight="true" outlineLevel="0" collapsed="false"/>
    <row r="4" customFormat="false" ht="15" hidden="false" customHeight="true" outlineLevel="0" collapsed="false">
      <c r="BA4" s="32" t="s">
        <v>1846</v>
      </c>
    </row>
    <row r="5" customFormat="false" ht="15" hidden="false" customHeight="true" outlineLevel="0" collapsed="false">
      <c r="BA5" s="33" t="s">
        <v>1847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1860</v>
      </c>
      <c r="Q1" s="24" t="s">
        <v>1861</v>
      </c>
      <c r="R1" s="24" t="s">
        <v>1862</v>
      </c>
      <c r="S1" s="24" t="s">
        <v>1863</v>
      </c>
      <c r="T1" s="24" t="s">
        <v>1864</v>
      </c>
      <c r="U1" s="24" t="s">
        <v>1865</v>
      </c>
      <c r="V1" s="24" t="s">
        <v>1866</v>
      </c>
      <c r="W1" s="24" t="s">
        <v>1867</v>
      </c>
      <c r="X1" s="27" t="s">
        <v>1868</v>
      </c>
      <c r="Y1" s="27" t="s">
        <v>1869</v>
      </c>
      <c r="Z1" s="27" t="s">
        <v>1870</v>
      </c>
      <c r="AA1" s="27" t="s">
        <v>1871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937</v>
      </c>
    </row>
    <row r="3" customFormat="false" ht="15" hidden="false" customHeight="true" outlineLevel="0" collapsed="false"/>
    <row r="4" customFormat="false" ht="15" hidden="false" customHeight="true" outlineLevel="0" collapsed="false">
      <c r="BA4" s="32" t="s">
        <v>1846</v>
      </c>
    </row>
    <row r="5" customFormat="false" ht="15" hidden="false" customHeight="true" outlineLevel="0" collapsed="false">
      <c r="BA5" s="33" t="s">
        <v>1872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1873</v>
      </c>
      <c r="Q1" s="24" t="s">
        <v>1874</v>
      </c>
      <c r="R1" s="24" t="s">
        <v>1875</v>
      </c>
      <c r="S1" s="24" t="s">
        <v>1876</v>
      </c>
      <c r="T1" s="24" t="s">
        <v>1877</v>
      </c>
      <c r="U1" s="24" t="s">
        <v>1878</v>
      </c>
      <c r="V1" s="24" t="s">
        <v>1879</v>
      </c>
      <c r="W1" s="24" t="s">
        <v>1880</v>
      </c>
      <c r="X1" s="27" t="s">
        <v>1881</v>
      </c>
      <c r="Y1" s="27" t="s">
        <v>1882</v>
      </c>
      <c r="Z1" s="27" t="s">
        <v>1883</v>
      </c>
      <c r="AA1" s="27" t="s">
        <v>1884</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939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1885</v>
      </c>
      <c r="Q1" s="24" t="s">
        <v>1886</v>
      </c>
      <c r="R1" s="24" t="s">
        <v>1887</v>
      </c>
      <c r="S1" s="24" t="s">
        <v>1888</v>
      </c>
      <c r="T1" s="24" t="s">
        <v>1889</v>
      </c>
      <c r="U1" s="24" t="s">
        <v>1890</v>
      </c>
      <c r="V1" s="24" t="s">
        <v>1891</v>
      </c>
      <c r="W1" s="24" t="s">
        <v>1892</v>
      </c>
      <c r="X1" s="27" t="s">
        <v>1893</v>
      </c>
      <c r="Y1" s="27" t="s">
        <v>1894</v>
      </c>
      <c r="Z1" s="27" t="s">
        <v>1895</v>
      </c>
      <c r="AA1" s="27" t="s">
        <v>1896</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941</v>
      </c>
    </row>
    <row r="3" customFormat="false" ht="15" hidden="false" customHeight="true" outlineLevel="0" collapsed="false"/>
    <row r="4" customFormat="false" ht="15" hidden="false" customHeight="true" outlineLevel="0" collapsed="false">
      <c r="BA4" s="32" t="s">
        <v>1846</v>
      </c>
    </row>
    <row r="5" customFormat="false" ht="15" hidden="false" customHeight="true" outlineLevel="0" collapsed="false">
      <c r="BA5" s="33" t="s">
        <v>1897</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1898</v>
      </c>
      <c r="Q1" s="24" t="s">
        <v>1899</v>
      </c>
      <c r="R1" s="24" t="s">
        <v>1900</v>
      </c>
      <c r="S1" s="24" t="s">
        <v>1901</v>
      </c>
      <c r="T1" s="24" t="s">
        <v>1902</v>
      </c>
      <c r="U1" s="24" t="s">
        <v>1903</v>
      </c>
      <c r="V1" s="24" t="s">
        <v>1904</v>
      </c>
      <c r="W1" s="24" t="s">
        <v>1905</v>
      </c>
      <c r="X1" s="27" t="s">
        <v>1906</v>
      </c>
      <c r="Y1" s="27" t="s">
        <v>1907</v>
      </c>
      <c r="Z1" s="27" t="s">
        <v>1908</v>
      </c>
      <c r="AA1" s="27" t="s">
        <v>1909</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943</v>
      </c>
    </row>
    <row r="3" customFormat="false" ht="15" hidden="false" customHeight="true" outlineLevel="0" collapsed="false"/>
    <row r="4" customFormat="false" ht="15" hidden="false" customHeight="true" outlineLevel="0" collapsed="false">
      <c r="BA4" s="32" t="s">
        <v>1846</v>
      </c>
    </row>
    <row r="5" customFormat="false" ht="15" hidden="false" customHeight="true" outlineLevel="0" collapsed="false">
      <c r="BA5" s="33" t="s">
        <v>1910</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1911</v>
      </c>
      <c r="Q1" s="24" t="s">
        <v>1912</v>
      </c>
      <c r="R1" s="24" t="s">
        <v>1913</v>
      </c>
      <c r="S1" s="24" t="s">
        <v>1914</v>
      </c>
      <c r="T1" s="24" t="s">
        <v>1915</v>
      </c>
      <c r="U1" s="24" t="s">
        <v>1916</v>
      </c>
      <c r="V1" s="24" t="s">
        <v>1917</v>
      </c>
      <c r="W1" s="24" t="s">
        <v>1918</v>
      </c>
      <c r="X1" s="27" t="s">
        <v>1919</v>
      </c>
      <c r="Y1" s="27" t="s">
        <v>1920</v>
      </c>
      <c r="Z1" s="27" t="s">
        <v>1921</v>
      </c>
      <c r="AA1" s="27" t="s">
        <v>1922</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5" t="n">
        <v>166</v>
      </c>
      <c r="B2" s="5" t="n">
        <v>166</v>
      </c>
      <c r="C2" s="5" t="s">
        <v>807</v>
      </c>
      <c r="D2" s="5" t="n">
        <v>2014</v>
      </c>
      <c r="E2" s="5" t="s">
        <v>808</v>
      </c>
      <c r="F2" s="5" t="s">
        <v>811</v>
      </c>
      <c r="G2" s="5" t="s">
        <v>812</v>
      </c>
      <c r="H2" s="5" t="n">
        <v>29.067</v>
      </c>
      <c r="I2" s="5" t="n">
        <v>77.767</v>
      </c>
      <c r="J2" s="5" t="s">
        <v>83</v>
      </c>
      <c r="K2" s="5" t="n">
        <v>2011</v>
      </c>
      <c r="L2" s="5" t="s">
        <v>777</v>
      </c>
      <c r="M2" s="5" t="s">
        <v>85</v>
      </c>
      <c r="N2" s="5" t="s">
        <v>86</v>
      </c>
      <c r="O2" s="5" t="s">
        <v>1400</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1923</v>
      </c>
      <c r="AS2" s="5" t="s">
        <v>1402</v>
      </c>
      <c r="AT2" s="5" t="s">
        <v>1403</v>
      </c>
      <c r="AU2" s="5" t="s">
        <v>1404</v>
      </c>
      <c r="AV2" s="5" t="s">
        <v>1302</v>
      </c>
      <c r="AW2" s="22" t="s">
        <v>1924</v>
      </c>
      <c r="AX2" s="5" t="s">
        <v>823</v>
      </c>
      <c r="AY2" s="5" t="s">
        <v>1925</v>
      </c>
      <c r="BA2" s="30" t="s">
        <v>945</v>
      </c>
    </row>
    <row r="3" customFormat="false" ht="15" hidden="false" customHeight="true" outlineLevel="0" collapsed="false">
      <c r="A3" s="5" t="n">
        <v>166</v>
      </c>
      <c r="B3" s="5" t="n">
        <v>166</v>
      </c>
      <c r="C3" s="5" t="s">
        <v>807</v>
      </c>
      <c r="D3" s="5" t="n">
        <v>2014</v>
      </c>
      <c r="E3" s="5" t="s">
        <v>808</v>
      </c>
      <c r="F3" s="5" t="s">
        <v>811</v>
      </c>
      <c r="G3" s="5" t="s">
        <v>812</v>
      </c>
      <c r="H3" s="5" t="n">
        <v>29.067</v>
      </c>
      <c r="I3" s="5" t="n">
        <v>77.767</v>
      </c>
      <c r="J3" s="5" t="s">
        <v>83</v>
      </c>
      <c r="K3" s="5" t="n">
        <v>2011</v>
      </c>
      <c r="L3" s="5" t="s">
        <v>777</v>
      </c>
      <c r="M3" s="5" t="s">
        <v>85</v>
      </c>
      <c r="N3" s="5" t="s">
        <v>86</v>
      </c>
      <c r="O3" s="5" t="s">
        <v>1412</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1923</v>
      </c>
      <c r="AS3" s="5" t="s">
        <v>1402</v>
      </c>
      <c r="AT3" s="5" t="s">
        <v>1403</v>
      </c>
      <c r="AU3" s="5" t="s">
        <v>1404</v>
      </c>
      <c r="AV3" s="5" t="s">
        <v>1302</v>
      </c>
      <c r="AW3" s="22" t="s">
        <v>1924</v>
      </c>
      <c r="AX3" s="5" t="s">
        <v>823</v>
      </c>
      <c r="AY3" s="5" t="s">
        <v>1925</v>
      </c>
    </row>
    <row r="4" customFormat="false" ht="15" hidden="false" customHeight="true" outlineLevel="0" collapsed="false">
      <c r="A4" s="5" t="n">
        <v>166</v>
      </c>
      <c r="B4" s="5" t="n">
        <v>166</v>
      </c>
      <c r="C4" s="5" t="s">
        <v>807</v>
      </c>
      <c r="D4" s="5" t="n">
        <v>2014</v>
      </c>
      <c r="E4" s="5" t="s">
        <v>808</v>
      </c>
      <c r="F4" s="5" t="s">
        <v>811</v>
      </c>
      <c r="G4" s="5" t="s">
        <v>812</v>
      </c>
      <c r="H4" s="5" t="n">
        <v>29.067</v>
      </c>
      <c r="I4" s="5" t="n">
        <v>77.767</v>
      </c>
      <c r="J4" s="5" t="s">
        <v>83</v>
      </c>
      <c r="K4" s="5" t="n">
        <v>2011</v>
      </c>
      <c r="L4" s="5" t="s">
        <v>777</v>
      </c>
      <c r="M4" s="5" t="s">
        <v>85</v>
      </c>
      <c r="N4" s="5" t="s">
        <v>1305</v>
      </c>
      <c r="O4" s="5" t="s">
        <v>1306</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1923</v>
      </c>
      <c r="AS4" s="5" t="s">
        <v>1402</v>
      </c>
      <c r="AT4" s="5" t="s">
        <v>1403</v>
      </c>
      <c r="AU4" s="5" t="s">
        <v>1404</v>
      </c>
      <c r="AV4" s="5" t="s">
        <v>1302</v>
      </c>
      <c r="AW4" s="22" t="s">
        <v>1926</v>
      </c>
      <c r="AX4" s="5" t="s">
        <v>823</v>
      </c>
      <c r="AY4" s="5" t="s">
        <v>1925</v>
      </c>
      <c r="BA4" s="32" t="s">
        <v>1846</v>
      </c>
    </row>
    <row r="5" customFormat="false" ht="15" hidden="false" customHeight="true" outlineLevel="0" collapsed="false">
      <c r="BA5" s="33" t="s">
        <v>1927</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1928</v>
      </c>
      <c r="Q1" s="24" t="s">
        <v>1929</v>
      </c>
      <c r="R1" s="24" t="s">
        <v>1930</v>
      </c>
      <c r="S1" s="24" t="s">
        <v>1931</v>
      </c>
      <c r="T1" s="24" t="s">
        <v>1932</v>
      </c>
      <c r="U1" s="24" t="s">
        <v>1933</v>
      </c>
      <c r="V1" s="24" t="s">
        <v>1934</v>
      </c>
      <c r="W1" s="24" t="s">
        <v>1935</v>
      </c>
      <c r="X1" s="27" t="s">
        <v>1936</v>
      </c>
      <c r="Y1" s="27" t="s">
        <v>1937</v>
      </c>
      <c r="Z1" s="27" t="s">
        <v>1938</v>
      </c>
      <c r="AA1" s="27" t="s">
        <v>1939</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947</v>
      </c>
    </row>
    <row r="3" customFormat="false" ht="15" hidden="false" customHeight="true" outlineLevel="0" collapsed="false"/>
    <row r="4" customFormat="false" ht="15" hidden="false" customHeight="true" outlineLevel="0" collapsed="false">
      <c r="BA4" s="32" t="s">
        <v>1846</v>
      </c>
    </row>
    <row r="5" customFormat="false" ht="15" hidden="false" customHeight="true" outlineLevel="0" collapsed="false">
      <c r="BA5" s="33" t="s">
        <v>1940</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1941</v>
      </c>
      <c r="Q1" s="24" t="s">
        <v>1942</v>
      </c>
      <c r="R1" s="24" t="s">
        <v>1943</v>
      </c>
      <c r="S1" s="24" t="s">
        <v>1944</v>
      </c>
      <c r="T1" s="24" t="s">
        <v>1945</v>
      </c>
      <c r="U1" s="24" t="s">
        <v>1946</v>
      </c>
      <c r="V1" s="24" t="s">
        <v>1947</v>
      </c>
      <c r="W1" s="24" t="s">
        <v>1948</v>
      </c>
      <c r="X1" s="27" t="s">
        <v>1949</v>
      </c>
      <c r="Y1" s="27" t="s">
        <v>1950</v>
      </c>
      <c r="Z1" s="27" t="s">
        <v>1951</v>
      </c>
      <c r="AA1" s="27" t="s">
        <v>1952</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948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1953</v>
      </c>
      <c r="Q1" s="24" t="s">
        <v>1954</v>
      </c>
      <c r="R1" s="24" t="s">
        <v>1955</v>
      </c>
      <c r="S1" s="24" t="s">
        <v>1956</v>
      </c>
      <c r="T1" s="24" t="s">
        <v>1957</v>
      </c>
      <c r="U1" s="24" t="s">
        <v>1958</v>
      </c>
      <c r="V1" s="24" t="s">
        <v>1959</v>
      </c>
      <c r="W1" s="24" t="s">
        <v>1960</v>
      </c>
      <c r="X1" s="27" t="s">
        <v>1961</v>
      </c>
      <c r="Y1" s="27" t="s">
        <v>1962</v>
      </c>
      <c r="Z1" s="27" t="s">
        <v>1963</v>
      </c>
      <c r="AA1" s="27" t="s">
        <v>1964</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950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1965</v>
      </c>
      <c r="Q1" s="24" t="s">
        <v>1966</v>
      </c>
      <c r="R1" s="24" t="s">
        <v>1967</v>
      </c>
      <c r="S1" s="24" t="s">
        <v>1968</v>
      </c>
      <c r="T1" s="24" t="s">
        <v>1969</v>
      </c>
      <c r="U1" s="24" t="s">
        <v>1970</v>
      </c>
      <c r="V1" s="24" t="s">
        <v>1971</v>
      </c>
      <c r="W1" s="24" t="s">
        <v>1972</v>
      </c>
      <c r="X1" s="27" t="s">
        <v>1973</v>
      </c>
      <c r="Y1" s="27" t="s">
        <v>1974</v>
      </c>
      <c r="Z1" s="27" t="s">
        <v>1975</v>
      </c>
      <c r="AA1" s="27" t="s">
        <v>1976</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952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1977</v>
      </c>
      <c r="Q1" s="24" t="s">
        <v>1978</v>
      </c>
      <c r="R1" s="24" t="s">
        <v>1979</v>
      </c>
      <c r="S1" s="24" t="s">
        <v>1980</v>
      </c>
      <c r="T1" s="24" t="s">
        <v>1981</v>
      </c>
      <c r="U1" s="24" t="s">
        <v>1982</v>
      </c>
      <c r="V1" s="24" t="s">
        <v>1983</v>
      </c>
      <c r="W1" s="24" t="s">
        <v>1984</v>
      </c>
      <c r="X1" s="27" t="s">
        <v>1985</v>
      </c>
      <c r="Y1" s="27" t="s">
        <v>1986</v>
      </c>
      <c r="Z1" s="27" t="s">
        <v>1987</v>
      </c>
      <c r="AA1" s="27" t="s">
        <v>1988</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954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1989</v>
      </c>
      <c r="Q1" s="24" t="s">
        <v>1990</v>
      </c>
      <c r="R1" s="24" t="s">
        <v>1991</v>
      </c>
      <c r="S1" s="24" t="s">
        <v>1992</v>
      </c>
      <c r="T1" s="24" t="s">
        <v>1993</v>
      </c>
      <c r="U1" s="24" t="s">
        <v>1994</v>
      </c>
      <c r="V1" s="24" t="s">
        <v>1995</v>
      </c>
      <c r="W1" s="24" t="s">
        <v>1996</v>
      </c>
      <c r="X1" s="27" t="s">
        <v>1997</v>
      </c>
      <c r="Y1" s="27" t="s">
        <v>1998</v>
      </c>
      <c r="Z1" s="27" t="s">
        <v>1999</v>
      </c>
      <c r="AA1" s="27" t="s">
        <v>2000</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956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2001</v>
      </c>
      <c r="Q1" s="24" t="s">
        <v>2002</v>
      </c>
      <c r="R1" s="24" t="s">
        <v>2003</v>
      </c>
      <c r="S1" s="24" t="s">
        <v>2004</v>
      </c>
      <c r="T1" s="24" t="s">
        <v>2005</v>
      </c>
      <c r="U1" s="24" t="s">
        <v>2006</v>
      </c>
      <c r="V1" s="24" t="s">
        <v>2007</v>
      </c>
      <c r="W1" s="24" t="s">
        <v>2008</v>
      </c>
      <c r="X1" s="27" t="s">
        <v>2009</v>
      </c>
      <c r="Y1" s="27" t="s">
        <v>2010</v>
      </c>
      <c r="Z1" s="27" t="s">
        <v>2011</v>
      </c>
      <c r="AA1" s="27" t="s">
        <v>2012</v>
      </c>
      <c r="AB1" s="24" t="s">
        <v>2013</v>
      </c>
      <c r="AC1" s="24" t="s">
        <v>2014</v>
      </c>
      <c r="AD1" s="24" t="s">
        <v>2015</v>
      </c>
      <c r="AE1" s="25" t="s">
        <v>35</v>
      </c>
      <c r="AF1" s="25" t="s">
        <v>33</v>
      </c>
      <c r="AG1" s="25" t="s">
        <v>37</v>
      </c>
      <c r="AH1" s="20" t="s">
        <v>73</v>
      </c>
      <c r="AI1" s="20" t="s">
        <v>750</v>
      </c>
      <c r="AJ1" s="20" t="s">
        <v>751</v>
      </c>
      <c r="AK1" s="20" t="s">
        <v>74</v>
      </c>
      <c r="AL1" s="20" t="s">
        <v>1291</v>
      </c>
      <c r="AM1" s="20" t="s">
        <v>1292</v>
      </c>
      <c r="AN1" s="20" t="s">
        <v>752</v>
      </c>
      <c r="AO1" s="20" t="s">
        <v>753</v>
      </c>
      <c r="AP1" s="20" t="s">
        <v>75</v>
      </c>
      <c r="AQ1" s="20" t="s">
        <v>748</v>
      </c>
      <c r="AR1" s="20" t="s">
        <v>749</v>
      </c>
      <c r="AS1" s="20" t="s">
        <v>746</v>
      </c>
      <c r="AT1" s="20" t="s">
        <v>747</v>
      </c>
      <c r="AU1" s="21" t="s">
        <v>76</v>
      </c>
      <c r="AV1" s="21" t="s">
        <v>77</v>
      </c>
      <c r="AW1" s="21" t="s">
        <v>1293</v>
      </c>
      <c r="AX1" s="21" t="s">
        <v>1294</v>
      </c>
      <c r="AY1" s="21" t="s">
        <v>78</v>
      </c>
      <c r="AZ1" s="21" t="s">
        <v>765</v>
      </c>
      <c r="BA1" s="21" t="s">
        <v>1295</v>
      </c>
      <c r="BB1" s="21" t="s">
        <v>1296</v>
      </c>
      <c r="BD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2016</v>
      </c>
      <c r="O2" s="17" t="s">
        <v>2017</v>
      </c>
      <c r="P2" s="17" t="n">
        <v>14.1</v>
      </c>
      <c r="Q2" s="17" t="n">
        <v>10.3</v>
      </c>
      <c r="R2" s="17" t="n">
        <v>11.9</v>
      </c>
      <c r="S2" s="17"/>
      <c r="T2" s="17"/>
      <c r="U2" s="17"/>
      <c r="V2" s="17" t="n">
        <v>12.2</v>
      </c>
      <c r="W2" s="17"/>
      <c r="X2" s="17"/>
      <c r="Y2" s="17"/>
      <c r="Z2" s="17"/>
      <c r="AA2" s="17"/>
      <c r="AB2" s="17"/>
      <c r="AC2" s="17"/>
      <c r="AD2" s="17"/>
      <c r="AE2" s="17" t="n">
        <v>1</v>
      </c>
      <c r="AF2" s="17" t="n">
        <v>3</v>
      </c>
      <c r="AG2" s="17" t="n">
        <f aca="false">IF(AND(N(AE2)&gt;0,N(AF2)&gt;0),SQRT(2*AE2/AF2),"")</f>
        <v>0.816496580927726</v>
      </c>
      <c r="AH2" s="17"/>
      <c r="AI2" s="17"/>
      <c r="AJ2" s="17"/>
      <c r="AK2" s="17" t="n">
        <v>734</v>
      </c>
      <c r="AL2" s="17" t="n">
        <v>30.933</v>
      </c>
      <c r="AM2" s="17" t="n">
        <v>5</v>
      </c>
      <c r="AN2" s="17"/>
      <c r="AO2" s="17"/>
      <c r="AP2" s="17" t="n">
        <v>7.4</v>
      </c>
      <c r="AQ2" s="17"/>
      <c r="AR2" s="17"/>
      <c r="AS2" s="17"/>
      <c r="AT2" s="17"/>
      <c r="AU2" s="17" t="s">
        <v>653</v>
      </c>
      <c r="AV2" s="17" t="s">
        <v>1299</v>
      </c>
      <c r="AW2" s="17" t="s">
        <v>1300</v>
      </c>
      <c r="AX2" s="17" t="s">
        <v>1301</v>
      </c>
      <c r="AY2" s="17" t="s">
        <v>1729</v>
      </c>
      <c r="AZ2" s="29" t="s">
        <v>2018</v>
      </c>
      <c r="BA2" s="17" t="s">
        <v>852</v>
      </c>
      <c r="BB2" s="17" t="s">
        <v>2019</v>
      </c>
      <c r="BD2" s="30" t="s">
        <v>957</v>
      </c>
    </row>
    <row r="3" customFormat="false" ht="15" hidden="false" customHeight="true" outlineLevel="0" collapsed="false">
      <c r="A3" s="17" t="n">
        <v>168</v>
      </c>
      <c r="B3" s="17" t="n">
        <v>168</v>
      </c>
      <c r="C3" s="17" t="s">
        <v>837</v>
      </c>
      <c r="D3" s="17" t="n">
        <v>2020</v>
      </c>
      <c r="E3" s="17" t="s">
        <v>838</v>
      </c>
      <c r="F3" s="17" t="s">
        <v>841</v>
      </c>
      <c r="G3" s="17" t="s">
        <v>842</v>
      </c>
      <c r="H3" s="17" t="n">
        <v>30.933</v>
      </c>
      <c r="I3" s="17" t="n">
        <v>75.867</v>
      </c>
      <c r="J3" s="17" t="s">
        <v>845</v>
      </c>
      <c r="K3" s="17" t="n">
        <v>2016</v>
      </c>
      <c r="L3" s="17" t="s">
        <v>84</v>
      </c>
      <c r="M3" s="17" t="s">
        <v>85</v>
      </c>
      <c r="N3" s="17" t="s">
        <v>2020</v>
      </c>
      <c r="O3" s="17" t="s">
        <v>2021</v>
      </c>
      <c r="P3" s="17" t="n">
        <f aca="false">ROUND('stock-SOC'!P2+9.6,2)</f>
        <v>23.7</v>
      </c>
      <c r="Q3" s="17" t="n">
        <f aca="false">ROUND('stock-SOC'!Q2+7.86,2)</f>
        <v>18.16</v>
      </c>
      <c r="R3" s="17" t="n">
        <f aca="false">ROUND('stock-SOC'!R2+8.8,2)</f>
        <v>20.7</v>
      </c>
      <c r="S3" s="17"/>
      <c r="T3" s="17"/>
      <c r="U3" s="17"/>
      <c r="V3" s="17" t="n">
        <f aca="false">ROUND('stock-SOC'!V2+6.88,2)</f>
        <v>19.08</v>
      </c>
      <c r="W3" s="17"/>
      <c r="X3" s="17"/>
      <c r="Y3" s="17"/>
      <c r="Z3" s="17"/>
      <c r="AA3" s="17"/>
      <c r="AB3" s="17"/>
      <c r="AC3" s="17"/>
      <c r="AD3" s="17"/>
      <c r="AE3" s="17" t="n">
        <v>1</v>
      </c>
      <c r="AF3" s="17" t="n">
        <v>3</v>
      </c>
      <c r="AG3" s="17" t="n">
        <f aca="false">IF(AND(N(AE3)&gt;0,N(AF3)&gt;0),SQRT(2*AE3/AF3),"")</f>
        <v>0.816496580927726</v>
      </c>
      <c r="AH3" s="17"/>
      <c r="AI3" s="17"/>
      <c r="AJ3" s="17"/>
      <c r="AK3" s="17" t="n">
        <v>734</v>
      </c>
      <c r="AL3" s="17" t="n">
        <v>30.933</v>
      </c>
      <c r="AM3" s="17" t="n">
        <v>5</v>
      </c>
      <c r="AN3" s="17"/>
      <c r="AO3" s="17"/>
      <c r="AP3" s="17" t="n">
        <v>7.4</v>
      </c>
      <c r="AQ3" s="17"/>
      <c r="AR3" s="17"/>
      <c r="AS3" s="17"/>
      <c r="AT3" s="17"/>
      <c r="AU3" s="17" t="s">
        <v>653</v>
      </c>
      <c r="AV3" s="17" t="s">
        <v>1299</v>
      </c>
      <c r="AW3" s="17" t="s">
        <v>1300</v>
      </c>
      <c r="AX3" s="17" t="s">
        <v>1301</v>
      </c>
      <c r="AY3" s="17" t="s">
        <v>2022</v>
      </c>
      <c r="AZ3" s="29" t="s">
        <v>2023</v>
      </c>
      <c r="BA3" s="17" t="s">
        <v>852</v>
      </c>
      <c r="BB3" s="17" t="s">
        <v>2024</v>
      </c>
    </row>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2025</v>
      </c>
      <c r="Q1" s="24" t="s">
        <v>2026</v>
      </c>
      <c r="R1" s="24" t="s">
        <v>2027</v>
      </c>
      <c r="S1" s="24" t="s">
        <v>2028</v>
      </c>
      <c r="T1" s="24" t="s">
        <v>2029</v>
      </c>
      <c r="U1" s="24" t="s">
        <v>2030</v>
      </c>
      <c r="V1" s="24" t="s">
        <v>2031</v>
      </c>
      <c r="W1" s="24" t="s">
        <v>2032</v>
      </c>
      <c r="X1" s="27" t="s">
        <v>2033</v>
      </c>
      <c r="Y1" s="27" t="s">
        <v>2034</v>
      </c>
      <c r="Z1" s="27" t="s">
        <v>2035</v>
      </c>
      <c r="AA1" s="27" t="s">
        <v>2036</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960</v>
      </c>
    </row>
    <row r="3" customFormat="false" ht="15" hidden="false" customHeight="true" outlineLevel="0" collapsed="false"/>
    <row r="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2037</v>
      </c>
      <c r="Q1" s="24" t="s">
        <v>2038</v>
      </c>
      <c r="R1" s="24" t="s">
        <v>2039</v>
      </c>
      <c r="S1" s="24" t="s">
        <v>2040</v>
      </c>
      <c r="T1" s="24" t="s">
        <v>2041</v>
      </c>
      <c r="U1" s="24" t="s">
        <v>2042</v>
      </c>
      <c r="V1" s="24" t="s">
        <v>2043</v>
      </c>
      <c r="W1" s="24" t="s">
        <v>2044</v>
      </c>
      <c r="X1" s="27" t="s">
        <v>2045</v>
      </c>
      <c r="Y1" s="27" t="s">
        <v>2046</v>
      </c>
      <c r="Z1" s="27" t="s">
        <v>2047</v>
      </c>
      <c r="AA1" s="27" t="s">
        <v>2048</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962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2049</v>
      </c>
      <c r="Q1" s="24" t="s">
        <v>2050</v>
      </c>
      <c r="R1" s="24" t="s">
        <v>2051</v>
      </c>
      <c r="S1" s="24" t="s">
        <v>2052</v>
      </c>
      <c r="T1" s="24" t="s">
        <v>2053</v>
      </c>
      <c r="U1" s="24" t="s">
        <v>2054</v>
      </c>
      <c r="V1" s="24" t="s">
        <v>2055</v>
      </c>
      <c r="W1" s="24" t="s">
        <v>2056</v>
      </c>
      <c r="X1" s="27" t="s">
        <v>2057</v>
      </c>
      <c r="Y1" s="27" t="s">
        <v>2058</v>
      </c>
      <c r="Z1" s="27" t="s">
        <v>2059</v>
      </c>
      <c r="AA1" s="27" t="s">
        <v>2060</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964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2061</v>
      </c>
      <c r="Q1" s="24" t="s">
        <v>2062</v>
      </c>
      <c r="R1" s="24" t="s">
        <v>2063</v>
      </c>
      <c r="S1" s="24" t="s">
        <v>2064</v>
      </c>
      <c r="T1" s="24" t="s">
        <v>2065</v>
      </c>
      <c r="U1" s="24" t="s">
        <v>2066</v>
      </c>
      <c r="V1" s="24" t="s">
        <v>2067</v>
      </c>
      <c r="W1" s="24" t="s">
        <v>2068</v>
      </c>
      <c r="X1" s="27" t="s">
        <v>2069</v>
      </c>
      <c r="Y1" s="27" t="s">
        <v>2070</v>
      </c>
      <c r="Z1" s="27" t="s">
        <v>2071</v>
      </c>
      <c r="AA1" s="27" t="s">
        <v>2072</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966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2073</v>
      </c>
      <c r="Q1" s="24" t="s">
        <v>2074</v>
      </c>
      <c r="R1" s="24" t="s">
        <v>2075</v>
      </c>
      <c r="S1" s="24" t="s">
        <v>2076</v>
      </c>
      <c r="T1" s="24" t="s">
        <v>2077</v>
      </c>
      <c r="U1" s="24" t="s">
        <v>2078</v>
      </c>
      <c r="V1" s="24" t="s">
        <v>2079</v>
      </c>
      <c r="W1" s="24" t="s">
        <v>2080</v>
      </c>
      <c r="X1" s="27" t="s">
        <v>2081</v>
      </c>
      <c r="Y1" s="27" t="s">
        <v>2082</v>
      </c>
      <c r="Z1" s="27" t="s">
        <v>2083</v>
      </c>
      <c r="AA1" s="27" t="s">
        <v>2084</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968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2085</v>
      </c>
      <c r="Q1" s="24" t="s">
        <v>2086</v>
      </c>
      <c r="R1" s="24" t="s">
        <v>2087</v>
      </c>
      <c r="S1" s="24" t="s">
        <v>2088</v>
      </c>
      <c r="T1" s="24" t="s">
        <v>2089</v>
      </c>
      <c r="U1" s="24" t="s">
        <v>2090</v>
      </c>
      <c r="V1" s="24" t="s">
        <v>2091</v>
      </c>
      <c r="W1" s="24" t="s">
        <v>2092</v>
      </c>
      <c r="X1" s="27" t="s">
        <v>2093</v>
      </c>
      <c r="Y1" s="27" t="s">
        <v>2094</v>
      </c>
      <c r="Z1" s="27" t="s">
        <v>2095</v>
      </c>
      <c r="AA1" s="27" t="s">
        <v>2096</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1400</v>
      </c>
      <c r="P2" s="17" t="n">
        <v>34.8</v>
      </c>
      <c r="Q2" s="17" t="n">
        <v>10.5</v>
      </c>
      <c r="R2" s="17" t="n">
        <v>22.3</v>
      </c>
      <c r="S2" s="17"/>
      <c r="T2" s="17"/>
      <c r="U2" s="17"/>
      <c r="V2" s="17" t="n">
        <v>24.1</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2097</v>
      </c>
      <c r="AS2" s="17" t="s">
        <v>1299</v>
      </c>
      <c r="AT2" s="17" t="s">
        <v>1300</v>
      </c>
      <c r="AU2" s="17" t="s">
        <v>1301</v>
      </c>
      <c r="AV2" s="17" t="s">
        <v>2098</v>
      </c>
      <c r="AW2" s="29" t="s">
        <v>2099</v>
      </c>
      <c r="AX2" s="17" t="s">
        <v>852</v>
      </c>
      <c r="AY2" s="17" t="s">
        <v>2100</v>
      </c>
      <c r="BA2" s="30" t="s">
        <v>970</v>
      </c>
    </row>
    <row r="3" customFormat="false" ht="15" hidden="false" customHeight="true" outlineLevel="0" collapsed="false">
      <c r="A3" s="5" t="n">
        <v>165</v>
      </c>
      <c r="B3" s="5" t="n">
        <v>165</v>
      </c>
      <c r="C3" s="5" t="s">
        <v>786</v>
      </c>
      <c r="D3" s="5" t="n">
        <v>2012</v>
      </c>
      <c r="E3" s="5" t="s">
        <v>787</v>
      </c>
      <c r="F3" s="5" t="s">
        <v>790</v>
      </c>
      <c r="G3" s="5" t="s">
        <v>791</v>
      </c>
      <c r="H3" s="5" t="n">
        <v>28.633</v>
      </c>
      <c r="I3" s="5" t="n">
        <v>77.183</v>
      </c>
      <c r="J3" s="5" t="s">
        <v>83</v>
      </c>
      <c r="K3" s="5" t="s">
        <v>1307</v>
      </c>
      <c r="L3" s="5" t="s">
        <v>796</v>
      </c>
      <c r="M3" s="5" t="s">
        <v>85</v>
      </c>
      <c r="N3" s="5" t="s">
        <v>86</v>
      </c>
      <c r="O3" s="5" t="s">
        <v>1733</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2101</v>
      </c>
      <c r="AS3" s="5" t="s">
        <v>1308</v>
      </c>
      <c r="AT3" s="5" t="s">
        <v>2102</v>
      </c>
      <c r="AU3" s="5" t="s">
        <v>1310</v>
      </c>
      <c r="AV3" s="5" t="s">
        <v>2098</v>
      </c>
      <c r="AW3" s="22" t="s">
        <v>2103</v>
      </c>
      <c r="AX3" s="5" t="s">
        <v>804</v>
      </c>
      <c r="AY3" s="5" t="s">
        <v>2104</v>
      </c>
    </row>
    <row r="4" customFormat="false" ht="15" hidden="false" customHeight="true" outlineLevel="0" collapsed="false">
      <c r="A4" s="5" t="n">
        <v>165</v>
      </c>
      <c r="B4" s="5" t="n">
        <v>165</v>
      </c>
      <c r="C4" s="5" t="s">
        <v>786</v>
      </c>
      <c r="D4" s="5" t="n">
        <v>2012</v>
      </c>
      <c r="E4" s="5" t="s">
        <v>787</v>
      </c>
      <c r="F4" s="5" t="s">
        <v>790</v>
      </c>
      <c r="G4" s="5" t="s">
        <v>791</v>
      </c>
      <c r="H4" s="5" t="n">
        <v>28.633</v>
      </c>
      <c r="I4" s="5" t="n">
        <v>77.183</v>
      </c>
      <c r="J4" s="5" t="s">
        <v>83</v>
      </c>
      <c r="K4" s="5" t="s">
        <v>1307</v>
      </c>
      <c r="L4" s="5" t="s">
        <v>796</v>
      </c>
      <c r="M4" s="5" t="s">
        <v>85</v>
      </c>
      <c r="N4" s="5" t="s">
        <v>86</v>
      </c>
      <c r="O4" s="5" t="s">
        <v>1733</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2101</v>
      </c>
      <c r="AS4" s="5" t="s">
        <v>1314</v>
      </c>
      <c r="AT4" s="5" t="s">
        <v>2102</v>
      </c>
      <c r="AU4" s="5" t="s">
        <v>1310</v>
      </c>
      <c r="AV4" s="5" t="s">
        <v>2098</v>
      </c>
      <c r="AW4" s="22" t="s">
        <v>2105</v>
      </c>
      <c r="AX4" s="5" t="s">
        <v>804</v>
      </c>
      <c r="AY4" s="5" t="s">
        <v>2104</v>
      </c>
    </row>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2106</v>
      </c>
      <c r="Q1" s="24" t="s">
        <v>2107</v>
      </c>
      <c r="R1" s="24" t="s">
        <v>2108</v>
      </c>
      <c r="S1" s="24" t="s">
        <v>2109</v>
      </c>
      <c r="T1" s="24" t="s">
        <v>2110</v>
      </c>
      <c r="U1" s="24" t="s">
        <v>2111</v>
      </c>
      <c r="V1" s="24" t="s">
        <v>2112</v>
      </c>
      <c r="W1" s="24" t="s">
        <v>2113</v>
      </c>
      <c r="X1" s="27" t="s">
        <v>2114</v>
      </c>
      <c r="Y1" s="27" t="s">
        <v>2115</v>
      </c>
      <c r="Z1" s="27" t="s">
        <v>2116</v>
      </c>
      <c r="AA1" s="27" t="s">
        <v>2117</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973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2118</v>
      </c>
      <c r="Q1" s="24" t="s">
        <v>2119</v>
      </c>
      <c r="R1" s="24" t="s">
        <v>2120</v>
      </c>
      <c r="S1" s="24" t="s">
        <v>2121</v>
      </c>
      <c r="T1" s="24" t="s">
        <v>2122</v>
      </c>
      <c r="U1" s="24" t="s">
        <v>2123</v>
      </c>
      <c r="V1" s="24" t="s">
        <v>2124</v>
      </c>
      <c r="W1" s="24" t="s">
        <v>2125</v>
      </c>
      <c r="X1" s="27" t="s">
        <v>2126</v>
      </c>
      <c r="Y1" s="27" t="s">
        <v>2127</v>
      </c>
      <c r="Z1" s="27" t="s">
        <v>2128</v>
      </c>
      <c r="AA1" s="27" t="s">
        <v>2129</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975</v>
      </c>
    </row>
    <row r="3" customFormat="false" ht="15" hidden="false" customHeight="true" outlineLevel="0" collapsed="false"/>
    <row r="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2130</v>
      </c>
      <c r="Q1" s="24" t="s">
        <v>2131</v>
      </c>
      <c r="R1" s="24" t="s">
        <v>2132</v>
      </c>
      <c r="S1" s="24" t="s">
        <v>2133</v>
      </c>
      <c r="T1" s="24" t="s">
        <v>2134</v>
      </c>
      <c r="U1" s="24" t="s">
        <v>2135</v>
      </c>
      <c r="V1" s="24" t="s">
        <v>2136</v>
      </c>
      <c r="W1" s="24" t="s">
        <v>2137</v>
      </c>
      <c r="X1" s="27" t="s">
        <v>2138</v>
      </c>
      <c r="Y1" s="27" t="s">
        <v>2139</v>
      </c>
      <c r="Z1" s="27" t="s">
        <v>2140</v>
      </c>
      <c r="AA1" s="27" t="s">
        <v>2141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977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2142</v>
      </c>
      <c r="Q1" s="24" t="s">
        <v>2143</v>
      </c>
      <c r="R1" s="24" t="s">
        <v>2144</v>
      </c>
      <c r="S1" s="24" t="s">
        <v>2145</v>
      </c>
      <c r="T1" s="24" t="s">
        <v>2146</v>
      </c>
      <c r="U1" s="24" t="s">
        <v>2147</v>
      </c>
      <c r="V1" s="24" t="s">
        <v>2148</v>
      </c>
      <c r="W1" s="24" t="s">
        <v>2149</v>
      </c>
      <c r="X1" s="27" t="s">
        <v>2150</v>
      </c>
      <c r="Y1" s="27" t="s">
        <v>2151</v>
      </c>
      <c r="Z1" s="27" t="s">
        <v>2152</v>
      </c>
      <c r="AA1" s="27" t="s">
        <v>2153</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5" t="n">
        <v>164</v>
      </c>
      <c r="B2" s="5" t="n">
        <v>164</v>
      </c>
      <c r="C2" s="5" t="s">
        <v>766</v>
      </c>
      <c r="D2" s="5" t="n">
        <v>2000</v>
      </c>
      <c r="E2" s="5" t="s">
        <v>767</v>
      </c>
      <c r="F2" s="5" t="s">
        <v>841</v>
      </c>
      <c r="G2" s="5" t="s">
        <v>1741</v>
      </c>
      <c r="H2" s="5" t="n">
        <v>30.933</v>
      </c>
      <c r="I2" s="5" t="n">
        <v>75.867</v>
      </c>
      <c r="J2" s="5" t="s">
        <v>845</v>
      </c>
      <c r="K2" s="5" t="s">
        <v>1742</v>
      </c>
      <c r="L2" s="5" t="s">
        <v>777</v>
      </c>
      <c r="M2" s="5" t="s">
        <v>85</v>
      </c>
      <c r="N2" s="5" t="s">
        <v>86</v>
      </c>
      <c r="O2" s="5" t="s">
        <v>1298</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2154</v>
      </c>
      <c r="AS2" s="5" t="s">
        <v>1743</v>
      </c>
      <c r="AT2" s="5" t="s">
        <v>1744</v>
      </c>
      <c r="AU2" s="5" t="s">
        <v>1745</v>
      </c>
      <c r="AV2" s="5" t="s">
        <v>2155</v>
      </c>
      <c r="AW2" s="22" t="s">
        <v>2156</v>
      </c>
      <c r="AX2" s="5" t="s">
        <v>782</v>
      </c>
      <c r="AY2" s="5" t="s">
        <v>2157</v>
      </c>
      <c r="BA2" s="30" t="s">
        <v>979</v>
      </c>
    </row>
    <row r="3" customFormat="false" ht="15" hidden="false" customHeight="true" outlineLevel="0" collapsed="false">
      <c r="A3" s="5" t="n">
        <v>164</v>
      </c>
      <c r="B3" s="5" t="n">
        <v>164</v>
      </c>
      <c r="C3" s="5" t="s">
        <v>766</v>
      </c>
      <c r="D3" s="5" t="n">
        <v>2000</v>
      </c>
      <c r="E3" s="5" t="s">
        <v>767</v>
      </c>
      <c r="F3" s="5" t="s">
        <v>811</v>
      </c>
      <c r="G3" s="5" t="s">
        <v>1755</v>
      </c>
      <c r="H3" s="5" t="n">
        <v>26.067</v>
      </c>
      <c r="I3" s="5" t="n">
        <v>82.133</v>
      </c>
      <c r="J3" s="5" t="s">
        <v>83</v>
      </c>
      <c r="K3" s="5" t="s">
        <v>1742</v>
      </c>
      <c r="L3" s="5" t="s">
        <v>777</v>
      </c>
      <c r="M3" s="5" t="s">
        <v>85</v>
      </c>
      <c r="N3" s="5" t="s">
        <v>86</v>
      </c>
      <c r="O3" s="5" t="s">
        <v>1298</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2154</v>
      </c>
      <c r="AS3" s="5" t="s">
        <v>1743</v>
      </c>
      <c r="AT3" s="5" t="s">
        <v>1744</v>
      </c>
      <c r="AU3" s="5" t="s">
        <v>1756</v>
      </c>
      <c r="AV3" s="5" t="s">
        <v>2155</v>
      </c>
      <c r="AW3" s="22" t="s">
        <v>2158</v>
      </c>
      <c r="AX3" s="5" t="s">
        <v>782</v>
      </c>
      <c r="AY3" s="5" t="s">
        <v>2157</v>
      </c>
    </row>
    <row r="4" customFormat="false" ht="15" hidden="false" customHeight="true" outlineLevel="0" collapsed="false">
      <c r="A4" s="5" t="n">
        <v>164</v>
      </c>
      <c r="B4" s="5" t="n">
        <v>164</v>
      </c>
      <c r="C4" s="5" t="s">
        <v>766</v>
      </c>
      <c r="D4" s="5" t="n">
        <v>2000</v>
      </c>
      <c r="E4" s="5" t="s">
        <v>767</v>
      </c>
      <c r="F4" s="5" t="s">
        <v>1267</v>
      </c>
      <c r="G4" s="5" t="s">
        <v>1762</v>
      </c>
      <c r="H4" s="5" t="n">
        <v>23</v>
      </c>
      <c r="I4" s="5" t="n">
        <v>89</v>
      </c>
      <c r="J4" s="5" t="s">
        <v>83</v>
      </c>
      <c r="K4" s="5" t="s">
        <v>1763</v>
      </c>
      <c r="L4" s="5" t="s">
        <v>777</v>
      </c>
      <c r="M4" s="5"/>
      <c r="N4" s="5" t="s">
        <v>86</v>
      </c>
      <c r="O4" s="5" t="s">
        <v>1298</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2154</v>
      </c>
      <c r="AS4" s="5" t="s">
        <v>1743</v>
      </c>
      <c r="AT4" s="5" t="s">
        <v>1764</v>
      </c>
      <c r="AU4" s="5" t="s">
        <v>1765</v>
      </c>
      <c r="AV4" s="5" t="s">
        <v>2155</v>
      </c>
      <c r="AW4" s="22" t="s">
        <v>2159</v>
      </c>
      <c r="AX4" s="5" t="s">
        <v>782</v>
      </c>
      <c r="AY4" s="5" t="s">
        <v>2157</v>
      </c>
    </row>
    <row r="5" customFormat="false" ht="14.25" hidden="false" customHeight="true" outlineLevel="0" collapsed="false">
      <c r="A5" s="5" t="n">
        <v>164</v>
      </c>
      <c r="B5" s="5" t="n">
        <v>164</v>
      </c>
      <c r="C5" s="5" t="s">
        <v>766</v>
      </c>
      <c r="D5" s="5" t="n">
        <v>2000</v>
      </c>
      <c r="E5" s="5" t="s">
        <v>767</v>
      </c>
      <c r="F5" s="5" t="s">
        <v>1272</v>
      </c>
      <c r="G5" s="5" t="s">
        <v>1767</v>
      </c>
      <c r="H5" s="5" t="n">
        <v>23.167</v>
      </c>
      <c r="I5" s="5" t="n">
        <v>79.95</v>
      </c>
      <c r="J5" s="5" t="s">
        <v>83</v>
      </c>
      <c r="K5" s="5" t="s">
        <v>1742</v>
      </c>
      <c r="L5" s="5" t="s">
        <v>777</v>
      </c>
      <c r="M5" s="5" t="s">
        <v>1759</v>
      </c>
      <c r="N5" s="5" t="s">
        <v>86</v>
      </c>
      <c r="O5" s="5" t="s">
        <v>1298</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2154</v>
      </c>
      <c r="AS5" s="5" t="s">
        <v>1743</v>
      </c>
      <c r="AT5" s="5" t="s">
        <v>1744</v>
      </c>
      <c r="AU5" s="5" t="s">
        <v>1768</v>
      </c>
      <c r="AV5" s="5" t="s">
        <v>2155</v>
      </c>
      <c r="AW5" s="22" t="s">
        <v>2160</v>
      </c>
      <c r="AX5" s="5" t="s">
        <v>782</v>
      </c>
      <c r="AY5" s="5" t="s">
        <v>2157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2161</v>
      </c>
      <c r="Q1" s="24" t="s">
        <v>2162</v>
      </c>
      <c r="R1" s="24" t="s">
        <v>2163</v>
      </c>
      <c r="S1" s="24" t="s">
        <v>2164</v>
      </c>
      <c r="T1" s="24" t="s">
        <v>2165</v>
      </c>
      <c r="U1" s="24" t="s">
        <v>2166</v>
      </c>
      <c r="V1" s="24" t="s">
        <v>2167</v>
      </c>
      <c r="W1" s="24" t="s">
        <v>2168</v>
      </c>
      <c r="X1" s="27" t="s">
        <v>2169</v>
      </c>
      <c r="Y1" s="27" t="s">
        <v>2170</v>
      </c>
      <c r="Z1" s="27" t="s">
        <v>2171</v>
      </c>
      <c r="AA1" s="27" t="s">
        <v>2172</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5" t="n">
        <v>165</v>
      </c>
      <c r="B2" s="5" t="n">
        <v>165</v>
      </c>
      <c r="C2" s="5" t="s">
        <v>786</v>
      </c>
      <c r="D2" s="5" t="n">
        <v>2012</v>
      </c>
      <c r="E2" s="5" t="s">
        <v>787</v>
      </c>
      <c r="F2" s="5" t="s">
        <v>790</v>
      </c>
      <c r="G2" s="5" t="s">
        <v>791</v>
      </c>
      <c r="H2" s="5" t="n">
        <v>28.633</v>
      </c>
      <c r="I2" s="5" t="n">
        <v>77.183</v>
      </c>
      <c r="J2" s="5" t="s">
        <v>83</v>
      </c>
      <c r="K2" s="5" t="s">
        <v>1732</v>
      </c>
      <c r="L2" s="5" t="s">
        <v>796</v>
      </c>
      <c r="M2" s="5" t="s">
        <v>85</v>
      </c>
      <c r="N2" s="5" t="s">
        <v>86</v>
      </c>
      <c r="O2" s="5" t="s">
        <v>1733</v>
      </c>
      <c r="P2" s="5"/>
      <c r="Q2" s="5" t="n">
        <f aca="false">ROUND(8.6*2.24,2)</f>
        <v>19.26</v>
      </c>
      <c r="R2" s="5"/>
      <c r="S2" s="5"/>
      <c r="T2" s="5"/>
      <c r="U2" s="5"/>
      <c r="V2" s="5" t="n">
        <f aca="false">ROUND(9.1*2.24,2)</f>
        <v>20.38</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2173</v>
      </c>
      <c r="AS2" s="5" t="s">
        <v>1308</v>
      </c>
      <c r="AT2" s="5" t="s">
        <v>1734</v>
      </c>
      <c r="AU2" s="5" t="s">
        <v>1310</v>
      </c>
      <c r="AV2" s="5" t="s">
        <v>1582</v>
      </c>
      <c r="AW2" s="22" t="s">
        <v>2174</v>
      </c>
      <c r="AX2" s="5" t="s">
        <v>804</v>
      </c>
      <c r="AY2" s="5" t="s">
        <v>2175</v>
      </c>
      <c r="BA2" s="31" t="s">
        <v>982</v>
      </c>
    </row>
    <row r="3" customFormat="false" ht="15" hidden="false" customHeight="true" outlineLevel="0" collapsed="false">
      <c r="A3" s="5" t="n">
        <v>165</v>
      </c>
      <c r="B3" s="5" t="n">
        <v>165</v>
      </c>
      <c r="C3" s="5" t="s">
        <v>786</v>
      </c>
      <c r="D3" s="5" t="n">
        <v>2012</v>
      </c>
      <c r="E3" s="5" t="s">
        <v>787</v>
      </c>
      <c r="F3" s="5" t="s">
        <v>790</v>
      </c>
      <c r="G3" s="5" t="s">
        <v>791</v>
      </c>
      <c r="H3" s="5" t="n">
        <v>28.633</v>
      </c>
      <c r="I3" s="5" t="n">
        <v>77.183</v>
      </c>
      <c r="J3" s="5" t="s">
        <v>83</v>
      </c>
      <c r="K3" s="5" t="s">
        <v>1732</v>
      </c>
      <c r="L3" s="5" t="s">
        <v>796</v>
      </c>
      <c r="M3" s="5" t="s">
        <v>85</v>
      </c>
      <c r="N3" s="5" t="s">
        <v>86</v>
      </c>
      <c r="O3" s="5" t="s">
        <v>1733</v>
      </c>
      <c r="P3" s="5"/>
      <c r="Q3" s="5" t="n">
        <f aca="false">ROUND(8.8*2.24,2)</f>
        <v>19.71</v>
      </c>
      <c r="R3" s="5"/>
      <c r="S3" s="5"/>
      <c r="T3" s="5"/>
      <c r="U3" s="5"/>
      <c r="V3" s="5" t="n">
        <f aca="false">ROUND(9.5*2.24,2)</f>
        <v>21.28</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2173</v>
      </c>
      <c r="AS3" s="5" t="s">
        <v>1314</v>
      </c>
      <c r="AT3" s="5" t="s">
        <v>1737</v>
      </c>
      <c r="AU3" s="5" t="s">
        <v>1310</v>
      </c>
      <c r="AV3" s="5" t="s">
        <v>1582</v>
      </c>
      <c r="AW3" s="22" t="s">
        <v>2176</v>
      </c>
      <c r="AX3" s="5" t="s">
        <v>804</v>
      </c>
      <c r="AY3" s="5" t="s">
        <v>2175</v>
      </c>
    </row>
    <row r="4" customFormat="false" ht="15" hidden="false" customHeight="true" outlineLevel="0" collapsed="false">
      <c r="A4" s="5" t="n">
        <v>165</v>
      </c>
      <c r="B4" s="5" t="n">
        <v>165</v>
      </c>
      <c r="C4" s="5" t="s">
        <v>786</v>
      </c>
      <c r="D4" s="5" t="n">
        <v>2012</v>
      </c>
      <c r="E4" s="5" t="s">
        <v>787</v>
      </c>
      <c r="F4" s="5" t="s">
        <v>790</v>
      </c>
      <c r="G4" s="5" t="s">
        <v>791</v>
      </c>
      <c r="H4" s="5" t="n">
        <v>28.633</v>
      </c>
      <c r="I4" s="5" t="n">
        <v>77.183</v>
      </c>
      <c r="J4" s="5" t="s">
        <v>83</v>
      </c>
      <c r="K4" s="5" t="s">
        <v>1307</v>
      </c>
      <c r="L4" s="5" t="s">
        <v>796</v>
      </c>
      <c r="M4" s="5" t="s">
        <v>85</v>
      </c>
      <c r="N4" s="5" t="s">
        <v>86</v>
      </c>
      <c r="O4" s="5" t="s">
        <v>1733</v>
      </c>
      <c r="P4" s="5"/>
      <c r="Q4" s="5" t="n">
        <f aca="false">ROUND(8.8*2.24,2)</f>
        <v>19.71</v>
      </c>
      <c r="R4" s="5"/>
      <c r="S4" s="5"/>
      <c r="T4" s="5"/>
      <c r="U4" s="5"/>
      <c r="V4" s="5" t="n">
        <f aca="false">ROUND(9.4*2.24,2)</f>
        <v>21.06</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2173</v>
      </c>
      <c r="AS4" s="5" t="s">
        <v>1308</v>
      </c>
      <c r="AT4" s="5" t="s">
        <v>1739</v>
      </c>
      <c r="AU4" s="5" t="s">
        <v>1310</v>
      </c>
      <c r="AV4" s="5" t="s">
        <v>1582</v>
      </c>
      <c r="AW4" s="22" t="s">
        <v>2177</v>
      </c>
      <c r="AX4" s="5" t="s">
        <v>804</v>
      </c>
      <c r="AY4" s="5" t="s">
        <v>2175</v>
      </c>
    </row>
    <row r="5" customFormat="false" ht="15" hidden="false" customHeight="true" outlineLevel="0" collapsed="false">
      <c r="A5" s="5" t="n">
        <v>165</v>
      </c>
      <c r="B5" s="5" t="n">
        <v>165</v>
      </c>
      <c r="C5" s="5" t="s">
        <v>786</v>
      </c>
      <c r="D5" s="5" t="n">
        <v>2012</v>
      </c>
      <c r="E5" s="5" t="s">
        <v>787</v>
      </c>
      <c r="F5" s="5" t="s">
        <v>790</v>
      </c>
      <c r="G5" s="5" t="s">
        <v>791</v>
      </c>
      <c r="H5" s="5" t="n">
        <v>28.633</v>
      </c>
      <c r="I5" s="5" t="n">
        <v>77.183</v>
      </c>
      <c r="J5" s="5" t="s">
        <v>83</v>
      </c>
      <c r="K5" s="5" t="s">
        <v>1307</v>
      </c>
      <c r="L5" s="5" t="s">
        <v>796</v>
      </c>
      <c r="M5" s="5" t="s">
        <v>85</v>
      </c>
      <c r="N5" s="5" t="s">
        <v>86</v>
      </c>
      <c r="O5" s="5" t="s">
        <v>1733</v>
      </c>
      <c r="P5" s="5"/>
      <c r="Q5" s="5" t="n">
        <f aca="false">ROUND(9.1*2.24,2)</f>
        <v>20.38</v>
      </c>
      <c r="R5" s="5"/>
      <c r="S5" s="5"/>
      <c r="T5" s="5"/>
      <c r="U5" s="5"/>
      <c r="V5" s="5" t="n">
        <f aca="false">ROUND(9.9*2.24,2)</f>
        <v>22.18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2173</v>
      </c>
      <c r="AS5" s="5" t="s">
        <v>1314</v>
      </c>
      <c r="AT5" s="5" t="s">
        <v>1740</v>
      </c>
      <c r="AU5" s="5" t="s">
        <v>1310</v>
      </c>
      <c r="AV5" s="5" t="s">
        <v>1582</v>
      </c>
      <c r="AW5" s="22" t="s">
        <v>2178</v>
      </c>
      <c r="AX5" s="5" t="s">
        <v>804</v>
      </c>
      <c r="AY5" s="5" t="s">
        <v>2175</v>
      </c>
    </row>
    <row r="6" customFormat="false" ht="14.25" hidden="false" customHeight="true" outlineLevel="0" collapsed="false">
      <c r="A6" s="5" t="n">
        <v>164</v>
      </c>
      <c r="B6" s="5" t="n">
        <v>164</v>
      </c>
      <c r="C6" s="5" t="s">
        <v>766</v>
      </c>
      <c r="D6" s="5" t="n">
        <v>2000</v>
      </c>
      <c r="E6" s="5" t="s">
        <v>767</v>
      </c>
      <c r="F6" s="5" t="s">
        <v>841</v>
      </c>
      <c r="G6" s="5" t="s">
        <v>1741</v>
      </c>
      <c r="H6" s="5" t="n">
        <v>30.933</v>
      </c>
      <c r="I6" s="5" t="n">
        <v>75.867</v>
      </c>
      <c r="J6" s="5" t="s">
        <v>845</v>
      </c>
      <c r="K6" s="5" t="s">
        <v>1742</v>
      </c>
      <c r="L6" s="5" t="s">
        <v>777</v>
      </c>
      <c r="M6" s="5" t="s">
        <v>85</v>
      </c>
      <c r="N6" s="5" t="s">
        <v>86</v>
      </c>
      <c r="O6" s="5" t="s">
        <v>1298</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2179</v>
      </c>
      <c r="AS6" s="5" t="s">
        <v>1743</v>
      </c>
      <c r="AT6" s="5" t="s">
        <v>1744</v>
      </c>
      <c r="AU6" s="5" t="s">
        <v>1745</v>
      </c>
      <c r="AV6" s="5" t="s">
        <v>2180</v>
      </c>
      <c r="AW6" s="22" t="s">
        <v>2181</v>
      </c>
      <c r="AX6" s="5" t="s">
        <v>782</v>
      </c>
      <c r="AY6" s="5" t="s">
        <v>2182</v>
      </c>
    </row>
    <row r="7" customFormat="false" ht="14.25" hidden="false" customHeight="true" outlineLevel="0" collapsed="false">
      <c r="A7" s="5" t="n">
        <v>164</v>
      </c>
      <c r="B7" s="5" t="n">
        <v>164</v>
      </c>
      <c r="C7" s="5" t="s">
        <v>766</v>
      </c>
      <c r="D7" s="5" t="n">
        <v>2000</v>
      </c>
      <c r="E7" s="5" t="s">
        <v>767</v>
      </c>
      <c r="F7" s="5" t="s">
        <v>1251</v>
      </c>
      <c r="G7" s="5" t="s">
        <v>1749</v>
      </c>
      <c r="H7" s="5" t="n">
        <v>29</v>
      </c>
      <c r="I7" s="5" t="n">
        <v>79.083</v>
      </c>
      <c r="J7" s="5" t="s">
        <v>83</v>
      </c>
      <c r="K7" s="5" t="s">
        <v>1742</v>
      </c>
      <c r="L7" s="5" t="s">
        <v>777</v>
      </c>
      <c r="M7" s="5" t="s">
        <v>85</v>
      </c>
      <c r="N7" s="5" t="s">
        <v>86</v>
      </c>
      <c r="O7" s="5" t="s">
        <v>1298</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2179</v>
      </c>
      <c r="AS7" s="5" t="s">
        <v>1743</v>
      </c>
      <c r="AT7" s="5" t="s">
        <v>1744</v>
      </c>
      <c r="AU7" s="5" t="s">
        <v>1750</v>
      </c>
      <c r="AV7" s="5" t="s">
        <v>2180</v>
      </c>
      <c r="AW7" s="22" t="s">
        <v>2183</v>
      </c>
      <c r="AX7" s="5" t="s">
        <v>782</v>
      </c>
      <c r="AY7" s="5" t="s">
        <v>2182</v>
      </c>
    </row>
    <row r="8" customFormat="false" ht="14.25" hidden="false" customHeight="true" outlineLevel="0" collapsed="false">
      <c r="A8" s="5" t="n">
        <v>164</v>
      </c>
      <c r="B8" s="5" t="n">
        <v>164</v>
      </c>
      <c r="C8" s="5" t="s">
        <v>766</v>
      </c>
      <c r="D8" s="5" t="n">
        <v>2000</v>
      </c>
      <c r="E8" s="5" t="s">
        <v>767</v>
      </c>
      <c r="F8" s="5" t="s">
        <v>811</v>
      </c>
      <c r="G8" s="5" t="s">
        <v>1752</v>
      </c>
      <c r="H8" s="5" t="n">
        <v>26.967</v>
      </c>
      <c r="I8" s="5" t="n">
        <v>80.567</v>
      </c>
      <c r="J8" s="5" t="s">
        <v>83</v>
      </c>
      <c r="K8" s="5" t="s">
        <v>1742</v>
      </c>
      <c r="L8" s="5" t="s">
        <v>777</v>
      </c>
      <c r="M8" s="5"/>
      <c r="N8" s="5" t="s">
        <v>86</v>
      </c>
      <c r="O8" s="5" t="s">
        <v>1298</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2179</v>
      </c>
      <c r="AS8" s="5" t="s">
        <v>1743</v>
      </c>
      <c r="AT8" s="5" t="s">
        <v>1744</v>
      </c>
      <c r="AU8" s="5" t="s">
        <v>1753</v>
      </c>
      <c r="AV8" s="5" t="s">
        <v>2180</v>
      </c>
      <c r="AW8" s="22" t="s">
        <v>2184</v>
      </c>
      <c r="AX8" s="5" t="s">
        <v>782</v>
      </c>
      <c r="AY8" s="5" t="s">
        <v>2182</v>
      </c>
    </row>
    <row r="9" customFormat="false" ht="14.25" hidden="false" customHeight="true" outlineLevel="0" collapsed="false">
      <c r="A9" s="5" t="n">
        <v>164</v>
      </c>
      <c r="B9" s="5" t="n">
        <v>164</v>
      </c>
      <c r="C9" s="5" t="s">
        <v>766</v>
      </c>
      <c r="D9" s="5" t="n">
        <v>2000</v>
      </c>
      <c r="E9" s="5" t="s">
        <v>767</v>
      </c>
      <c r="F9" s="5" t="s">
        <v>811</v>
      </c>
      <c r="G9" s="5" t="s">
        <v>1755</v>
      </c>
      <c r="H9" s="5" t="n">
        <v>26.067</v>
      </c>
      <c r="I9" s="5" t="n">
        <v>82.133</v>
      </c>
      <c r="J9" s="5" t="s">
        <v>83</v>
      </c>
      <c r="K9" s="5" t="s">
        <v>1742</v>
      </c>
      <c r="L9" s="5" t="s">
        <v>777</v>
      </c>
      <c r="M9" s="5" t="s">
        <v>85</v>
      </c>
      <c r="N9" s="5" t="s">
        <v>86</v>
      </c>
      <c r="O9" s="5" t="s">
        <v>1298</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2179</v>
      </c>
      <c r="AS9" s="5" t="s">
        <v>1743</v>
      </c>
      <c r="AT9" s="5" t="s">
        <v>1744</v>
      </c>
      <c r="AU9" s="5" t="s">
        <v>1756</v>
      </c>
      <c r="AV9" s="5" t="s">
        <v>2180</v>
      </c>
      <c r="AW9" s="22" t="s">
        <v>2185</v>
      </c>
      <c r="AX9" s="5" t="s">
        <v>782</v>
      </c>
      <c r="AY9" s="5" t="s">
        <v>2182</v>
      </c>
    </row>
    <row r="10" customFormat="false" ht="14.25" hidden="false" customHeight="true" outlineLevel="0" collapsed="false">
      <c r="A10" s="5" t="n">
        <v>164</v>
      </c>
      <c r="B10" s="5" t="n">
        <v>164</v>
      </c>
      <c r="C10" s="5" t="s">
        <v>766</v>
      </c>
      <c r="D10" s="5" t="n">
        <v>2000</v>
      </c>
      <c r="E10" s="5" t="s">
        <v>767</v>
      </c>
      <c r="F10" s="5" t="s">
        <v>1263</v>
      </c>
      <c r="G10" s="5" t="s">
        <v>1758</v>
      </c>
      <c r="H10" s="5" t="n">
        <v>25.233</v>
      </c>
      <c r="I10" s="5" t="n">
        <v>87.067</v>
      </c>
      <c r="J10" s="5" t="s">
        <v>83</v>
      </c>
      <c r="K10" s="5" t="s">
        <v>1742</v>
      </c>
      <c r="L10" s="5" t="s">
        <v>777</v>
      </c>
      <c r="M10" s="5" t="s">
        <v>1759</v>
      </c>
      <c r="N10" s="5" t="s">
        <v>86</v>
      </c>
      <c r="O10" s="5" t="s">
        <v>1298</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2179</v>
      </c>
      <c r="AS10" s="5" t="s">
        <v>1743</v>
      </c>
      <c r="AT10" s="5" t="s">
        <v>1744</v>
      </c>
      <c r="AU10" s="5" t="s">
        <v>1760</v>
      </c>
      <c r="AV10" s="5" t="s">
        <v>2180</v>
      </c>
      <c r="AW10" s="22" t="s">
        <v>2186</v>
      </c>
      <c r="AX10" s="5" t="s">
        <v>782</v>
      </c>
      <c r="AY10" s="5" t="s">
        <v>2182</v>
      </c>
    </row>
    <row r="11" customFormat="false" ht="14.25" hidden="false" customHeight="true" outlineLevel="0" collapsed="false">
      <c r="A11" s="5" t="n">
        <v>164</v>
      </c>
      <c r="B11" s="5" t="n">
        <v>164</v>
      </c>
      <c r="C11" s="5" t="s">
        <v>766</v>
      </c>
      <c r="D11" s="5" t="n">
        <v>2000</v>
      </c>
      <c r="E11" s="5" t="s">
        <v>767</v>
      </c>
      <c r="F11" s="5" t="s">
        <v>1267</v>
      </c>
      <c r="G11" s="5" t="s">
        <v>1762</v>
      </c>
      <c r="H11" s="5" t="n">
        <v>23</v>
      </c>
      <c r="I11" s="5" t="n">
        <v>89</v>
      </c>
      <c r="J11" s="5" t="s">
        <v>83</v>
      </c>
      <c r="K11" s="5" t="s">
        <v>1763</v>
      </c>
      <c r="L11" s="5" t="s">
        <v>777</v>
      </c>
      <c r="M11" s="5"/>
      <c r="N11" s="5" t="s">
        <v>86</v>
      </c>
      <c r="O11" s="5" t="s">
        <v>1298</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2179</v>
      </c>
      <c r="AS11" s="5" t="s">
        <v>1743</v>
      </c>
      <c r="AT11" s="5" t="s">
        <v>1764</v>
      </c>
      <c r="AU11" s="5" t="s">
        <v>1765</v>
      </c>
      <c r="AV11" s="5" t="s">
        <v>2180</v>
      </c>
      <c r="AW11" s="22" t="s">
        <v>2187</v>
      </c>
      <c r="AX11" s="5" t="s">
        <v>782</v>
      </c>
      <c r="AY11" s="5" t="s">
        <v>2182</v>
      </c>
    </row>
    <row r="12" customFormat="false" ht="14.25" hidden="false" customHeight="true" outlineLevel="0" collapsed="false">
      <c r="A12" s="5" t="n">
        <v>164</v>
      </c>
      <c r="B12" s="5" t="n">
        <v>164</v>
      </c>
      <c r="C12" s="5" t="s">
        <v>766</v>
      </c>
      <c r="D12" s="5" t="n">
        <v>2000</v>
      </c>
      <c r="E12" s="5" t="s">
        <v>767</v>
      </c>
      <c r="F12" s="5" t="s">
        <v>1272</v>
      </c>
      <c r="G12" s="5" t="s">
        <v>1767</v>
      </c>
      <c r="H12" s="5" t="n">
        <v>23.167</v>
      </c>
      <c r="I12" s="5" t="n">
        <v>79.95</v>
      </c>
      <c r="J12" s="5" t="s">
        <v>83</v>
      </c>
      <c r="K12" s="5" t="s">
        <v>1742</v>
      </c>
      <c r="L12" s="5" t="s">
        <v>777</v>
      </c>
      <c r="M12" s="5" t="s">
        <v>1759</v>
      </c>
      <c r="N12" s="5" t="s">
        <v>86</v>
      </c>
      <c r="O12" s="5" t="s">
        <v>1298</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2179</v>
      </c>
      <c r="AS12" s="5" t="s">
        <v>1743</v>
      </c>
      <c r="AT12" s="5" t="s">
        <v>1744</v>
      </c>
      <c r="AU12" s="5" t="s">
        <v>1768</v>
      </c>
      <c r="AV12" s="5" t="s">
        <v>2180</v>
      </c>
      <c r="AW12" s="22" t="s">
        <v>2188</v>
      </c>
      <c r="AX12" s="5" t="s">
        <v>782</v>
      </c>
      <c r="AY12" s="5" t="s">
        <v>2182</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2189</v>
      </c>
      <c r="Q1" s="24" t="s">
        <v>2190</v>
      </c>
      <c r="R1" s="24" t="s">
        <v>2191</v>
      </c>
      <c r="S1" s="24" t="s">
        <v>2192</v>
      </c>
      <c r="T1" s="24" t="s">
        <v>2193</v>
      </c>
      <c r="U1" s="24" t="s">
        <v>2194</v>
      </c>
      <c r="V1" s="24" t="s">
        <v>2195</v>
      </c>
      <c r="W1" s="24" t="s">
        <v>2196</v>
      </c>
      <c r="X1" s="27" t="s">
        <v>2197</v>
      </c>
      <c r="Y1" s="27" t="s">
        <v>2198</v>
      </c>
      <c r="Z1" s="27" t="s">
        <v>2199</v>
      </c>
      <c r="AA1" s="27" t="s">
        <v>2200</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5" t="n">
        <v>165</v>
      </c>
      <c r="B2" s="5" t="n">
        <v>165</v>
      </c>
      <c r="C2" s="5" t="s">
        <v>786</v>
      </c>
      <c r="D2" s="5" t="n">
        <v>2012</v>
      </c>
      <c r="E2" s="5" t="s">
        <v>787</v>
      </c>
      <c r="F2" s="5" t="s">
        <v>790</v>
      </c>
      <c r="G2" s="5" t="s">
        <v>791</v>
      </c>
      <c r="H2" s="5" t="n">
        <v>28.633</v>
      </c>
      <c r="I2" s="5" t="n">
        <v>77.183</v>
      </c>
      <c r="J2" s="5" t="s">
        <v>83</v>
      </c>
      <c r="K2" s="5" t="s">
        <v>1732</v>
      </c>
      <c r="L2" s="5" t="s">
        <v>796</v>
      </c>
      <c r="M2" s="5" t="s">
        <v>85</v>
      </c>
      <c r="N2" s="5" t="s">
        <v>86</v>
      </c>
      <c r="O2" s="5" t="s">
        <v>1733</v>
      </c>
      <c r="P2" s="5"/>
      <c r="Q2" s="5" t="n">
        <f aca="false">ROUND(195*2.24,1)</f>
        <v>436.8</v>
      </c>
      <c r="R2" s="5"/>
      <c r="S2" s="5"/>
      <c r="T2" s="5"/>
      <c r="U2" s="5"/>
      <c r="V2" s="5" t="n">
        <f aca="false">ROUND(223*2.24,1)</f>
        <v>499.5</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2201</v>
      </c>
      <c r="AS2" s="5" t="s">
        <v>1308</v>
      </c>
      <c r="AT2" s="5" t="s">
        <v>1734</v>
      </c>
      <c r="AU2" s="5" t="s">
        <v>1310</v>
      </c>
      <c r="AV2" s="5" t="s">
        <v>1582</v>
      </c>
      <c r="AW2" s="22" t="s">
        <v>2202</v>
      </c>
      <c r="AX2" s="5" t="s">
        <v>804</v>
      </c>
      <c r="AY2" s="5" t="s">
        <v>2203</v>
      </c>
      <c r="BA2" s="30" t="s">
        <v>985</v>
      </c>
    </row>
    <row r="3" customFormat="false" ht="15" hidden="false" customHeight="true" outlineLevel="0" collapsed="false">
      <c r="A3" s="5" t="n">
        <v>165</v>
      </c>
      <c r="B3" s="5" t="n">
        <v>165</v>
      </c>
      <c r="C3" s="5" t="s">
        <v>786</v>
      </c>
      <c r="D3" s="5" t="n">
        <v>2012</v>
      </c>
      <c r="E3" s="5" t="s">
        <v>787</v>
      </c>
      <c r="F3" s="5" t="s">
        <v>790</v>
      </c>
      <c r="G3" s="5" t="s">
        <v>791</v>
      </c>
      <c r="H3" s="5" t="n">
        <v>28.633</v>
      </c>
      <c r="I3" s="5" t="n">
        <v>77.183</v>
      </c>
      <c r="J3" s="5" t="s">
        <v>83</v>
      </c>
      <c r="K3" s="5" t="s">
        <v>1732</v>
      </c>
      <c r="L3" s="5" t="s">
        <v>796</v>
      </c>
      <c r="M3" s="5" t="s">
        <v>85</v>
      </c>
      <c r="N3" s="5" t="s">
        <v>86</v>
      </c>
      <c r="O3" s="5" t="s">
        <v>1733</v>
      </c>
      <c r="P3" s="5"/>
      <c r="Q3" s="5" t="n">
        <f aca="false">ROUND(204*2.24,1)</f>
        <v>457</v>
      </c>
      <c r="R3" s="5"/>
      <c r="S3" s="5"/>
      <c r="T3" s="5"/>
      <c r="U3" s="5"/>
      <c r="V3" s="5" t="n">
        <f aca="false">ROUND(234*2.24,1)</f>
        <v>524.2</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2201</v>
      </c>
      <c r="AS3" s="5" t="s">
        <v>1314</v>
      </c>
      <c r="AT3" s="5" t="s">
        <v>1737</v>
      </c>
      <c r="AU3" s="5" t="s">
        <v>1310</v>
      </c>
      <c r="AV3" s="5" t="s">
        <v>1582</v>
      </c>
      <c r="AW3" s="22" t="s">
        <v>2204</v>
      </c>
      <c r="AX3" s="5" t="s">
        <v>804</v>
      </c>
      <c r="AY3" s="5" t="s">
        <v>2203</v>
      </c>
    </row>
    <row r="4" customFormat="false" ht="14.25" hidden="false" customHeight="true" outlineLevel="0" collapsed="false">
      <c r="A4" s="5" t="n">
        <v>165</v>
      </c>
      <c r="B4" s="5" t="n">
        <v>165</v>
      </c>
      <c r="C4" s="5" t="s">
        <v>786</v>
      </c>
      <c r="D4" s="5" t="n">
        <v>2012</v>
      </c>
      <c r="E4" s="5" t="s">
        <v>787</v>
      </c>
      <c r="F4" s="5" t="s">
        <v>790</v>
      </c>
      <c r="G4" s="5" t="s">
        <v>791</v>
      </c>
      <c r="H4" s="5" t="n">
        <v>28.633</v>
      </c>
      <c r="I4" s="5" t="n">
        <v>77.183</v>
      </c>
      <c r="J4" s="5" t="s">
        <v>83</v>
      </c>
      <c r="K4" s="5" t="s">
        <v>1307</v>
      </c>
      <c r="L4" s="5" t="s">
        <v>796</v>
      </c>
      <c r="M4" s="5" t="s">
        <v>85</v>
      </c>
      <c r="N4" s="5" t="s">
        <v>86</v>
      </c>
      <c r="O4" s="5" t="s">
        <v>1733</v>
      </c>
      <c r="P4" s="5"/>
      <c r="Q4" s="5" t="n">
        <f aca="false">ROUND(197*2.24,1)</f>
        <v>441.3</v>
      </c>
      <c r="R4" s="5"/>
      <c r="S4" s="5"/>
      <c r="T4" s="5"/>
      <c r="U4" s="5"/>
      <c r="V4" s="5" t="n">
        <f aca="false">ROUND(227*2.24,1)</f>
        <v>508.5</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2201</v>
      </c>
      <c r="AS4" s="5" t="s">
        <v>1308</v>
      </c>
      <c r="AT4" s="5" t="s">
        <v>1739</v>
      </c>
      <c r="AU4" s="5" t="s">
        <v>1310</v>
      </c>
      <c r="AV4" s="5" t="s">
        <v>1582</v>
      </c>
      <c r="AW4" s="22" t="s">
        <v>2205</v>
      </c>
      <c r="AX4" s="5" t="s">
        <v>804</v>
      </c>
      <c r="AY4" s="5" t="s">
        <v>2203</v>
      </c>
    </row>
    <row r="5" customFormat="false" ht="14.25" hidden="false" customHeight="true" outlineLevel="0" collapsed="false">
      <c r="A5" s="5" t="n">
        <v>165</v>
      </c>
      <c r="B5" s="5" t="n">
        <v>165</v>
      </c>
      <c r="C5" s="5" t="s">
        <v>786</v>
      </c>
      <c r="D5" s="5" t="n">
        <v>2012</v>
      </c>
      <c r="E5" s="5" t="s">
        <v>787</v>
      </c>
      <c r="F5" s="5" t="s">
        <v>790</v>
      </c>
      <c r="G5" s="5" t="s">
        <v>791</v>
      </c>
      <c r="H5" s="5" t="n">
        <v>28.633</v>
      </c>
      <c r="I5" s="5" t="n">
        <v>77.183</v>
      </c>
      <c r="J5" s="5" t="s">
        <v>83</v>
      </c>
      <c r="K5" s="5" t="s">
        <v>1307</v>
      </c>
      <c r="L5" s="5" t="s">
        <v>796</v>
      </c>
      <c r="M5" s="5" t="s">
        <v>85</v>
      </c>
      <c r="N5" s="5" t="s">
        <v>86</v>
      </c>
      <c r="O5" s="5" t="s">
        <v>1733</v>
      </c>
      <c r="P5" s="5"/>
      <c r="Q5" s="5" t="n">
        <f aca="false">ROUND(207*2.24,1)</f>
        <v>463.7</v>
      </c>
      <c r="R5" s="5"/>
      <c r="S5" s="5"/>
      <c r="T5" s="5"/>
      <c r="U5" s="5"/>
      <c r="V5" s="5" t="n">
        <f aca="false">ROUND(241*2.24,1)</f>
        <v>539.8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2201</v>
      </c>
      <c r="AS5" s="5" t="s">
        <v>1314</v>
      </c>
      <c r="AT5" s="5" t="s">
        <v>1740</v>
      </c>
      <c r="AU5" s="5" t="s">
        <v>1310</v>
      </c>
      <c r="AV5" s="5" t="s">
        <v>1582</v>
      </c>
      <c r="AW5" s="22" t="s">
        <v>2206</v>
      </c>
      <c r="AX5" s="5" t="s">
        <v>804</v>
      </c>
      <c r="AY5" s="5" t="s">
        <v>2203</v>
      </c>
    </row>
    <row r="6" customFormat="false" ht="14.25" hidden="false" customHeight="true" outlineLevel="0" collapsed="false">
      <c r="A6" s="5" t="n">
        <v>164</v>
      </c>
      <c r="B6" s="5" t="n">
        <v>164</v>
      </c>
      <c r="C6" s="5" t="s">
        <v>766</v>
      </c>
      <c r="D6" s="5" t="n">
        <v>2000</v>
      </c>
      <c r="E6" s="5" t="s">
        <v>767</v>
      </c>
      <c r="F6" s="5" t="s">
        <v>841</v>
      </c>
      <c r="G6" s="5" t="s">
        <v>1741</v>
      </c>
      <c r="H6" s="5" t="n">
        <v>30.933</v>
      </c>
      <c r="I6" s="5" t="n">
        <v>75.867</v>
      </c>
      <c r="J6" s="5" t="s">
        <v>845</v>
      </c>
      <c r="K6" s="5" t="s">
        <v>1742</v>
      </c>
      <c r="L6" s="5" t="s">
        <v>777</v>
      </c>
      <c r="M6" s="5" t="s">
        <v>85</v>
      </c>
      <c r="N6" s="5" t="s">
        <v>86</v>
      </c>
      <c r="O6" s="5" t="s">
        <v>1298</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2207</v>
      </c>
      <c r="AS6" s="5" t="s">
        <v>1743</v>
      </c>
      <c r="AT6" s="5" t="s">
        <v>1744</v>
      </c>
      <c r="AU6" s="5" t="s">
        <v>1745</v>
      </c>
      <c r="AV6" s="5" t="s">
        <v>2208</v>
      </c>
      <c r="AW6" s="22" t="s">
        <v>2209</v>
      </c>
      <c r="AX6" s="5" t="s">
        <v>782</v>
      </c>
      <c r="AY6" s="5" t="s">
        <v>2210</v>
      </c>
    </row>
    <row r="7" customFormat="false" ht="14.25" hidden="false" customHeight="true" outlineLevel="0" collapsed="false">
      <c r="A7" s="5" t="n">
        <v>164</v>
      </c>
      <c r="B7" s="5" t="n">
        <v>164</v>
      </c>
      <c r="C7" s="5" t="s">
        <v>766</v>
      </c>
      <c r="D7" s="5" t="n">
        <v>2000</v>
      </c>
      <c r="E7" s="5" t="s">
        <v>767</v>
      </c>
      <c r="F7" s="5" t="s">
        <v>1251</v>
      </c>
      <c r="G7" s="5" t="s">
        <v>1749</v>
      </c>
      <c r="H7" s="5" t="n">
        <v>29</v>
      </c>
      <c r="I7" s="5" t="n">
        <v>79.083</v>
      </c>
      <c r="J7" s="5" t="s">
        <v>83</v>
      </c>
      <c r="K7" s="5" t="s">
        <v>1742</v>
      </c>
      <c r="L7" s="5" t="s">
        <v>777</v>
      </c>
      <c r="M7" s="5" t="s">
        <v>85</v>
      </c>
      <c r="N7" s="5" t="s">
        <v>86</v>
      </c>
      <c r="O7" s="5" t="s">
        <v>1298</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2207</v>
      </c>
      <c r="AS7" s="5" t="s">
        <v>1743</v>
      </c>
      <c r="AT7" s="5" t="s">
        <v>1744</v>
      </c>
      <c r="AU7" s="5" t="s">
        <v>1750</v>
      </c>
      <c r="AV7" s="5" t="s">
        <v>2208</v>
      </c>
      <c r="AW7" s="22" t="s">
        <v>2211</v>
      </c>
      <c r="AX7" s="5" t="s">
        <v>782</v>
      </c>
      <c r="AY7" s="5" t="s">
        <v>2210</v>
      </c>
    </row>
    <row r="8" customFormat="false" ht="14.25" hidden="false" customHeight="true" outlineLevel="0" collapsed="false">
      <c r="A8" s="5" t="n">
        <v>164</v>
      </c>
      <c r="B8" s="5" t="n">
        <v>164</v>
      </c>
      <c r="C8" s="5" t="s">
        <v>766</v>
      </c>
      <c r="D8" s="5" t="n">
        <v>2000</v>
      </c>
      <c r="E8" s="5" t="s">
        <v>767</v>
      </c>
      <c r="F8" s="5" t="s">
        <v>811</v>
      </c>
      <c r="G8" s="5" t="s">
        <v>1752</v>
      </c>
      <c r="H8" s="5" t="n">
        <v>26.967</v>
      </c>
      <c r="I8" s="5" t="n">
        <v>80.567</v>
      </c>
      <c r="J8" s="5" t="s">
        <v>83</v>
      </c>
      <c r="K8" s="5" t="s">
        <v>1742</v>
      </c>
      <c r="L8" s="5" t="s">
        <v>777</v>
      </c>
      <c r="M8" s="5"/>
      <c r="N8" s="5" t="s">
        <v>86</v>
      </c>
      <c r="O8" s="5" t="s">
        <v>1298</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2207</v>
      </c>
      <c r="AS8" s="5" t="s">
        <v>1743</v>
      </c>
      <c r="AT8" s="5" t="s">
        <v>1744</v>
      </c>
      <c r="AU8" s="5" t="s">
        <v>1753</v>
      </c>
      <c r="AV8" s="5" t="s">
        <v>2208</v>
      </c>
      <c r="AW8" s="22" t="s">
        <v>2212</v>
      </c>
      <c r="AX8" s="5" t="s">
        <v>782</v>
      </c>
      <c r="AY8" s="5" t="s">
        <v>2210</v>
      </c>
    </row>
    <row r="9" customFormat="false" ht="14.25" hidden="false" customHeight="true" outlineLevel="0" collapsed="false">
      <c r="A9" s="5" t="n">
        <v>164</v>
      </c>
      <c r="B9" s="5" t="n">
        <v>164</v>
      </c>
      <c r="C9" s="5" t="s">
        <v>766</v>
      </c>
      <c r="D9" s="5" t="n">
        <v>2000</v>
      </c>
      <c r="E9" s="5" t="s">
        <v>767</v>
      </c>
      <c r="F9" s="5" t="s">
        <v>811</v>
      </c>
      <c r="G9" s="5" t="s">
        <v>1755</v>
      </c>
      <c r="H9" s="5" t="n">
        <v>26.067</v>
      </c>
      <c r="I9" s="5" t="n">
        <v>82.133</v>
      </c>
      <c r="J9" s="5" t="s">
        <v>83</v>
      </c>
      <c r="K9" s="5" t="s">
        <v>1742</v>
      </c>
      <c r="L9" s="5" t="s">
        <v>777</v>
      </c>
      <c r="M9" s="5" t="s">
        <v>85</v>
      </c>
      <c r="N9" s="5" t="s">
        <v>86</v>
      </c>
      <c r="O9" s="5" t="s">
        <v>1298</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2207</v>
      </c>
      <c r="AS9" s="5" t="s">
        <v>1743</v>
      </c>
      <c r="AT9" s="5" t="s">
        <v>1744</v>
      </c>
      <c r="AU9" s="5" t="s">
        <v>1756</v>
      </c>
      <c r="AV9" s="5" t="s">
        <v>2208</v>
      </c>
      <c r="AW9" s="22" t="s">
        <v>2213</v>
      </c>
      <c r="AX9" s="5" t="s">
        <v>782</v>
      </c>
      <c r="AY9" s="5" t="s">
        <v>2210</v>
      </c>
    </row>
    <row r="10" customFormat="false" ht="14.25" hidden="false" customHeight="true" outlineLevel="0" collapsed="false">
      <c r="A10" s="5" t="n">
        <v>164</v>
      </c>
      <c r="B10" s="5" t="n">
        <v>164</v>
      </c>
      <c r="C10" s="5" t="s">
        <v>766</v>
      </c>
      <c r="D10" s="5" t="n">
        <v>2000</v>
      </c>
      <c r="E10" s="5" t="s">
        <v>767</v>
      </c>
      <c r="F10" s="5" t="s">
        <v>1263</v>
      </c>
      <c r="G10" s="5" t="s">
        <v>1758</v>
      </c>
      <c r="H10" s="5" t="n">
        <v>25.233</v>
      </c>
      <c r="I10" s="5" t="n">
        <v>87.067</v>
      </c>
      <c r="J10" s="5" t="s">
        <v>83</v>
      </c>
      <c r="K10" s="5" t="s">
        <v>1742</v>
      </c>
      <c r="L10" s="5" t="s">
        <v>777</v>
      </c>
      <c r="M10" s="5" t="s">
        <v>1759</v>
      </c>
      <c r="N10" s="5" t="s">
        <v>86</v>
      </c>
      <c r="O10" s="5" t="s">
        <v>1298</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2207</v>
      </c>
      <c r="AS10" s="5" t="s">
        <v>1743</v>
      </c>
      <c r="AT10" s="5" t="s">
        <v>1744</v>
      </c>
      <c r="AU10" s="5" t="s">
        <v>1760</v>
      </c>
      <c r="AV10" s="5" t="s">
        <v>2208</v>
      </c>
      <c r="AW10" s="22" t="s">
        <v>2214</v>
      </c>
      <c r="AX10" s="5" t="s">
        <v>782</v>
      </c>
      <c r="AY10" s="5" t="s">
        <v>2210</v>
      </c>
    </row>
    <row r="11" customFormat="false" ht="14.25" hidden="false" customHeight="true" outlineLevel="0" collapsed="false">
      <c r="A11" s="5" t="n">
        <v>164</v>
      </c>
      <c r="B11" s="5" t="n">
        <v>164</v>
      </c>
      <c r="C11" s="5" t="s">
        <v>766</v>
      </c>
      <c r="D11" s="5" t="n">
        <v>2000</v>
      </c>
      <c r="E11" s="5" t="s">
        <v>767</v>
      </c>
      <c r="F11" s="5" t="s">
        <v>1267</v>
      </c>
      <c r="G11" s="5" t="s">
        <v>1762</v>
      </c>
      <c r="H11" s="5" t="n">
        <v>23</v>
      </c>
      <c r="I11" s="5" t="n">
        <v>89</v>
      </c>
      <c r="J11" s="5" t="s">
        <v>83</v>
      </c>
      <c r="K11" s="5" t="s">
        <v>1763</v>
      </c>
      <c r="L11" s="5" t="s">
        <v>777</v>
      </c>
      <c r="M11" s="5"/>
      <c r="N11" s="5" t="s">
        <v>86</v>
      </c>
      <c r="O11" s="5" t="s">
        <v>1298</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2207</v>
      </c>
      <c r="AS11" s="5" t="s">
        <v>1743</v>
      </c>
      <c r="AT11" s="5" t="s">
        <v>1764</v>
      </c>
      <c r="AU11" s="5" t="s">
        <v>1765</v>
      </c>
      <c r="AV11" s="5" t="s">
        <v>2208</v>
      </c>
      <c r="AW11" s="22" t="s">
        <v>2215</v>
      </c>
      <c r="AX11" s="5" t="s">
        <v>782</v>
      </c>
      <c r="AY11" s="5" t="s">
        <v>2210</v>
      </c>
    </row>
    <row r="12" customFormat="false" ht="14.25" hidden="false" customHeight="true" outlineLevel="0" collapsed="false">
      <c r="A12" s="5" t="n">
        <v>164</v>
      </c>
      <c r="B12" s="5" t="n">
        <v>164</v>
      </c>
      <c r="C12" s="5" t="s">
        <v>766</v>
      </c>
      <c r="D12" s="5" t="n">
        <v>2000</v>
      </c>
      <c r="E12" s="5" t="s">
        <v>767</v>
      </c>
      <c r="F12" s="5" t="s">
        <v>1272</v>
      </c>
      <c r="G12" s="5" t="s">
        <v>1767</v>
      </c>
      <c r="H12" s="5" t="n">
        <v>23.167</v>
      </c>
      <c r="I12" s="5" t="n">
        <v>79.95</v>
      </c>
      <c r="J12" s="5" t="s">
        <v>83</v>
      </c>
      <c r="K12" s="5" t="s">
        <v>1742</v>
      </c>
      <c r="L12" s="5" t="s">
        <v>777</v>
      </c>
      <c r="M12" s="5" t="s">
        <v>1759</v>
      </c>
      <c r="N12" s="5" t="s">
        <v>86</v>
      </c>
      <c r="O12" s="5" t="s">
        <v>1298</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2207</v>
      </c>
      <c r="AS12" s="5" t="s">
        <v>1743</v>
      </c>
      <c r="AT12" s="5" t="s">
        <v>1744</v>
      </c>
      <c r="AU12" s="5" t="s">
        <v>1768</v>
      </c>
      <c r="AV12" s="5" t="s">
        <v>2208</v>
      </c>
      <c r="AW12" s="22" t="s">
        <v>2216</v>
      </c>
      <c r="AX12" s="5" t="s">
        <v>782</v>
      </c>
      <c r="AY12" s="5" t="s">
        <v>2210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2217</v>
      </c>
      <c r="Q1" s="24" t="s">
        <v>2218</v>
      </c>
      <c r="R1" s="24" t="s">
        <v>2219</v>
      </c>
      <c r="S1" s="24" t="s">
        <v>2220</v>
      </c>
      <c r="T1" s="24" t="s">
        <v>2221</v>
      </c>
      <c r="U1" s="24" t="s">
        <v>2222</v>
      </c>
      <c r="V1" s="24" t="s">
        <v>2223</v>
      </c>
      <c r="W1" s="24" t="s">
        <v>2224</v>
      </c>
      <c r="X1" s="27" t="s">
        <v>2225</v>
      </c>
      <c r="Y1" s="27" t="s">
        <v>2226</v>
      </c>
      <c r="Z1" s="27" t="s">
        <v>2227</v>
      </c>
      <c r="AA1" s="27" t="s">
        <v>2228</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987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2229</v>
      </c>
      <c r="Q1" s="24" t="s">
        <v>2230</v>
      </c>
      <c r="R1" s="24" t="s">
        <v>2231</v>
      </c>
      <c r="S1" s="24" t="s">
        <v>2232</v>
      </c>
      <c r="T1" s="24" t="s">
        <v>2233</v>
      </c>
      <c r="U1" s="24" t="s">
        <v>2234</v>
      </c>
      <c r="V1" s="24" t="s">
        <v>2235</v>
      </c>
      <c r="W1" s="24" t="s">
        <v>2236</v>
      </c>
      <c r="X1" s="27" t="s">
        <v>2237</v>
      </c>
      <c r="Y1" s="27" t="s">
        <v>2238</v>
      </c>
      <c r="Z1" s="27" t="s">
        <v>2239</v>
      </c>
      <c r="AA1" s="27" t="s">
        <v>2240</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5" t="n">
        <v>165</v>
      </c>
      <c r="B2" s="5" t="n">
        <v>165</v>
      </c>
      <c r="C2" s="5" t="s">
        <v>786</v>
      </c>
      <c r="D2" s="5" t="n">
        <v>2012</v>
      </c>
      <c r="E2" s="5" t="s">
        <v>787</v>
      </c>
      <c r="F2" s="5" t="s">
        <v>790</v>
      </c>
      <c r="G2" s="5" t="s">
        <v>791</v>
      </c>
      <c r="H2" s="5" t="n">
        <v>28.633</v>
      </c>
      <c r="I2" s="5" t="n">
        <v>77.183</v>
      </c>
      <c r="J2" s="5" t="s">
        <v>83</v>
      </c>
      <c r="K2" s="5" t="s">
        <v>1732</v>
      </c>
      <c r="L2" s="5" t="s">
        <v>796</v>
      </c>
      <c r="M2" s="5" t="s">
        <v>85</v>
      </c>
      <c r="N2" s="5" t="s">
        <v>86</v>
      </c>
      <c r="O2" s="5" t="s">
        <v>1733</v>
      </c>
      <c r="P2" s="5"/>
      <c r="Q2" s="5" t="n">
        <v>635</v>
      </c>
      <c r="R2" s="5"/>
      <c r="S2" s="5"/>
      <c r="T2" s="5"/>
      <c r="U2" s="5"/>
      <c r="V2" s="5" t="n">
        <v>702</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2241</v>
      </c>
      <c r="AS2" s="5" t="s">
        <v>1308</v>
      </c>
      <c r="AT2" s="5" t="s">
        <v>1734</v>
      </c>
      <c r="AU2" s="5" t="s">
        <v>1310</v>
      </c>
      <c r="AV2" s="5" t="s">
        <v>1582</v>
      </c>
      <c r="AW2" s="22" t="s">
        <v>2242</v>
      </c>
      <c r="AX2" s="5" t="s">
        <v>804</v>
      </c>
      <c r="AY2" s="5" t="s">
        <v>2243</v>
      </c>
      <c r="BA2" s="30" t="s">
        <v>702</v>
      </c>
    </row>
    <row r="3" customFormat="false" ht="15" hidden="false" customHeight="true" outlineLevel="0" collapsed="false">
      <c r="A3" s="5" t="n">
        <v>165</v>
      </c>
      <c r="B3" s="5" t="n">
        <v>165</v>
      </c>
      <c r="C3" s="5" t="s">
        <v>786</v>
      </c>
      <c r="D3" s="5" t="n">
        <v>2012</v>
      </c>
      <c r="E3" s="5" t="s">
        <v>787</v>
      </c>
      <c r="F3" s="5" t="s">
        <v>790</v>
      </c>
      <c r="G3" s="5" t="s">
        <v>791</v>
      </c>
      <c r="H3" s="5" t="n">
        <v>28.633</v>
      </c>
      <c r="I3" s="5" t="n">
        <v>77.183</v>
      </c>
      <c r="J3" s="5" t="s">
        <v>83</v>
      </c>
      <c r="K3" s="5" t="s">
        <v>1732</v>
      </c>
      <c r="L3" s="5" t="s">
        <v>796</v>
      </c>
      <c r="M3" s="5" t="s">
        <v>85</v>
      </c>
      <c r="N3" s="5" t="s">
        <v>86</v>
      </c>
      <c r="O3" s="5" t="s">
        <v>1733</v>
      </c>
      <c r="P3" s="5"/>
      <c r="Q3" s="5" t="n">
        <v>698</v>
      </c>
      <c r="R3" s="5"/>
      <c r="S3" s="5"/>
      <c r="T3" s="5"/>
      <c r="U3" s="5"/>
      <c r="V3" s="5" t="n">
        <v>780</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2241</v>
      </c>
      <c r="AS3" s="5" t="s">
        <v>1314</v>
      </c>
      <c r="AT3" s="5" t="s">
        <v>1737</v>
      </c>
      <c r="AU3" s="5" t="s">
        <v>1310</v>
      </c>
      <c r="AV3" s="5" t="s">
        <v>1582</v>
      </c>
      <c r="AW3" s="22" t="s">
        <v>2244</v>
      </c>
      <c r="AX3" s="5" t="s">
        <v>804</v>
      </c>
      <c r="AY3" s="5" t="s">
        <v>2243</v>
      </c>
    </row>
    <row r="4" customFormat="false" ht="15" hidden="false" customHeight="true" outlineLevel="0" collapsed="false">
      <c r="A4" s="5" t="n">
        <v>165</v>
      </c>
      <c r="B4" s="5" t="n">
        <v>165</v>
      </c>
      <c r="C4" s="5" t="s">
        <v>786</v>
      </c>
      <c r="D4" s="5" t="n">
        <v>2012</v>
      </c>
      <c r="E4" s="5" t="s">
        <v>787</v>
      </c>
      <c r="F4" s="5" t="s">
        <v>790</v>
      </c>
      <c r="G4" s="5" t="s">
        <v>791</v>
      </c>
      <c r="H4" s="5" t="n">
        <v>28.633</v>
      </c>
      <c r="I4" s="5" t="n">
        <v>77.183</v>
      </c>
      <c r="J4" s="5" t="s">
        <v>83</v>
      </c>
      <c r="K4" s="5" t="s">
        <v>1307</v>
      </c>
      <c r="L4" s="5" t="s">
        <v>796</v>
      </c>
      <c r="M4" s="5" t="s">
        <v>85</v>
      </c>
      <c r="N4" s="5" t="s">
        <v>86</v>
      </c>
      <c r="O4" s="5" t="s">
        <v>1733</v>
      </c>
      <c r="P4" s="5"/>
      <c r="Q4" s="5" t="n">
        <v>789</v>
      </c>
      <c r="R4" s="5"/>
      <c r="S4" s="5"/>
      <c r="T4" s="5"/>
      <c r="U4" s="5"/>
      <c r="V4" s="5" t="n">
        <v>911</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2241</v>
      </c>
      <c r="AS4" s="5" t="s">
        <v>1308</v>
      </c>
      <c r="AT4" s="5" t="s">
        <v>1739</v>
      </c>
      <c r="AU4" s="5" t="s">
        <v>1310</v>
      </c>
      <c r="AV4" s="5" t="s">
        <v>1582</v>
      </c>
      <c r="AW4" s="22" t="s">
        <v>2245</v>
      </c>
      <c r="AX4" s="5" t="s">
        <v>804</v>
      </c>
      <c r="AY4" s="5" t="s">
        <v>2243</v>
      </c>
    </row>
    <row r="5" customFormat="false" ht="15" hidden="false" customHeight="true" outlineLevel="0" collapsed="false">
      <c r="A5" s="5" t="n">
        <v>165</v>
      </c>
      <c r="B5" s="5" t="n">
        <v>165</v>
      </c>
      <c r="C5" s="5" t="s">
        <v>786</v>
      </c>
      <c r="D5" s="5" t="n">
        <v>2012</v>
      </c>
      <c r="E5" s="5" t="s">
        <v>787</v>
      </c>
      <c r="F5" s="5" t="s">
        <v>790</v>
      </c>
      <c r="G5" s="5" t="s">
        <v>791</v>
      </c>
      <c r="H5" s="5" t="n">
        <v>28.633</v>
      </c>
      <c r="I5" s="5" t="n">
        <v>77.183</v>
      </c>
      <c r="J5" s="5" t="s">
        <v>83</v>
      </c>
      <c r="K5" s="5" t="s">
        <v>1307</v>
      </c>
      <c r="L5" s="5" t="s">
        <v>796</v>
      </c>
      <c r="M5" s="5" t="s">
        <v>85</v>
      </c>
      <c r="N5" s="5" t="s">
        <v>86</v>
      </c>
      <c r="O5" s="5" t="s">
        <v>1733</v>
      </c>
      <c r="P5" s="5"/>
      <c r="Q5" s="5" t="n">
        <v>875</v>
      </c>
      <c r="R5" s="5"/>
      <c r="S5" s="5"/>
      <c r="T5" s="5"/>
      <c r="U5" s="5"/>
      <c r="V5" s="5" t="n">
        <v>998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2241</v>
      </c>
      <c r="AS5" s="5" t="s">
        <v>1314</v>
      </c>
      <c r="AT5" s="5" t="s">
        <v>1740</v>
      </c>
      <c r="AU5" s="5" t="s">
        <v>1310</v>
      </c>
      <c r="AV5" s="5" t="s">
        <v>1582</v>
      </c>
      <c r="AW5" s="22" t="s">
        <v>2244</v>
      </c>
      <c r="AX5" s="5" t="s">
        <v>804</v>
      </c>
      <c r="AY5" s="5" t="s">
        <v>2243</v>
      </c>
    </row>
    <row r="6" customFormat="false" ht="15" hidden="false" customHeight="true" outlineLevel="0" collapsed="false"/>
    <row r="7"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2246</v>
      </c>
      <c r="Q1" s="24" t="s">
        <v>2247</v>
      </c>
      <c r="R1" s="24" t="s">
        <v>2248</v>
      </c>
      <c r="S1" s="24" t="s">
        <v>2249</v>
      </c>
      <c r="T1" s="24" t="s">
        <v>2250</v>
      </c>
      <c r="U1" s="24" t="s">
        <v>2251</v>
      </c>
      <c r="V1" s="24" t="s">
        <v>2252</v>
      </c>
      <c r="W1" s="24" t="s">
        <v>2253</v>
      </c>
      <c r="X1" s="27" t="s">
        <v>2254</v>
      </c>
      <c r="Y1" s="27" t="s">
        <v>2255</v>
      </c>
      <c r="Z1" s="27" t="s">
        <v>2256</v>
      </c>
      <c r="AA1" s="27" t="s">
        <v>2257</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1" t="s">
        <v>991</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2258</v>
      </c>
      <c r="Q1" s="24" t="s">
        <v>2259</v>
      </c>
      <c r="R1" s="24" t="s">
        <v>2260</v>
      </c>
      <c r="S1" s="24" t="s">
        <v>2261</v>
      </c>
      <c r="T1" s="24" t="s">
        <v>2262</v>
      </c>
      <c r="U1" s="24" t="s">
        <v>2263</v>
      </c>
      <c r="V1" s="24" t="s">
        <v>2264</v>
      </c>
      <c r="W1" s="24" t="s">
        <v>2265</v>
      </c>
      <c r="X1" s="27" t="s">
        <v>2266</v>
      </c>
      <c r="Y1" s="27" t="s">
        <v>2267</v>
      </c>
      <c r="Z1" s="27" t="s">
        <v>2268</v>
      </c>
      <c r="AA1" s="27" t="s">
        <v>2269</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1" t="s">
        <v>993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2270</v>
      </c>
      <c r="Q1" s="24" t="s">
        <v>2271</v>
      </c>
      <c r="R1" s="24" t="s">
        <v>2272</v>
      </c>
      <c r="S1" s="24" t="s">
        <v>2273</v>
      </c>
      <c r="T1" s="24" t="s">
        <v>2274</v>
      </c>
      <c r="U1" s="24" t="s">
        <v>2275</v>
      </c>
      <c r="V1" s="24" t="s">
        <v>2276</v>
      </c>
      <c r="W1" s="24" t="s">
        <v>2277</v>
      </c>
      <c r="X1" s="27" t="s">
        <v>2278</v>
      </c>
      <c r="Y1" s="27" t="s">
        <v>2279</v>
      </c>
      <c r="Z1" s="27" t="s">
        <v>2280</v>
      </c>
      <c r="AA1" s="27" t="s">
        <v>2281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1" t="s">
        <v>995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2282</v>
      </c>
      <c r="Q1" s="24" t="s">
        <v>2283</v>
      </c>
      <c r="R1" s="24" t="s">
        <v>2284</v>
      </c>
      <c r="S1" s="24" t="s">
        <v>2285</v>
      </c>
      <c r="T1" s="24" t="s">
        <v>2286</v>
      </c>
      <c r="U1" s="24" t="s">
        <v>2287</v>
      </c>
      <c r="V1" s="24" t="s">
        <v>2288</v>
      </c>
      <c r="W1" s="24" t="s">
        <v>2289</v>
      </c>
      <c r="X1" s="27" t="s">
        <v>2290</v>
      </c>
      <c r="Y1" s="27" t="s">
        <v>2291</v>
      </c>
      <c r="Z1" s="27" t="s">
        <v>2292</v>
      </c>
      <c r="AA1" s="27" t="s">
        <v>2293</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1" t="s">
        <v>997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2294</v>
      </c>
      <c r="Q1" s="24" t="s">
        <v>2295</v>
      </c>
      <c r="R1" s="24" t="s">
        <v>2296</v>
      </c>
      <c r="S1" s="24" t="s">
        <v>2297</v>
      </c>
      <c r="T1" s="24" t="s">
        <v>2298</v>
      </c>
      <c r="U1" s="24" t="s">
        <v>2299</v>
      </c>
      <c r="V1" s="24" t="s">
        <v>2300</v>
      </c>
      <c r="W1" s="24" t="s">
        <v>2301</v>
      </c>
      <c r="X1" s="27" t="s">
        <v>2302</v>
      </c>
      <c r="Y1" s="27" t="s">
        <v>2303</v>
      </c>
      <c r="Z1" s="27" t="s">
        <v>2304</v>
      </c>
      <c r="AA1" s="27" t="s">
        <v>2305</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1" t="s">
        <v>999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2306</v>
      </c>
      <c r="Q1" s="24" t="s">
        <v>2307</v>
      </c>
      <c r="R1" s="24" t="s">
        <v>2308</v>
      </c>
      <c r="S1" s="24" t="s">
        <v>2309</v>
      </c>
      <c r="T1" s="24" t="s">
        <v>2310</v>
      </c>
      <c r="U1" s="24" t="s">
        <v>2311</v>
      </c>
      <c r="V1" s="24" t="s">
        <v>2312</v>
      </c>
      <c r="W1" s="24" t="s">
        <v>2313</v>
      </c>
      <c r="X1" s="27" t="s">
        <v>2314</v>
      </c>
      <c r="Y1" s="27" t="s">
        <v>2315</v>
      </c>
      <c r="Z1" s="27" t="s">
        <v>2316</v>
      </c>
      <c r="AA1" s="27" t="s">
        <v>2317</v>
      </c>
      <c r="AB1" s="24" t="s">
        <v>2318</v>
      </c>
      <c r="AC1" s="24" t="s">
        <v>2319</v>
      </c>
      <c r="AD1" s="24" t="s">
        <v>2320</v>
      </c>
      <c r="AE1" s="24" t="s">
        <v>2321</v>
      </c>
      <c r="AF1" s="24" t="s">
        <v>2322</v>
      </c>
      <c r="AG1" s="24" t="s">
        <v>2323</v>
      </c>
      <c r="AH1" s="24" t="s">
        <v>2324</v>
      </c>
      <c r="AI1" s="24" t="s">
        <v>2325</v>
      </c>
      <c r="AJ1" s="27" t="s">
        <v>2326</v>
      </c>
      <c r="AK1" s="27" t="s">
        <v>2327</v>
      </c>
      <c r="AL1" s="27" t="s">
        <v>2328</v>
      </c>
      <c r="AM1" s="27" t="s">
        <v>2329</v>
      </c>
      <c r="AN1" s="24" t="s">
        <v>2330</v>
      </c>
      <c r="AO1" s="24" t="s">
        <v>2331</v>
      </c>
      <c r="AP1" s="24" t="s">
        <v>2332</v>
      </c>
      <c r="AQ1" s="24" t="s">
        <v>2333</v>
      </c>
      <c r="AR1" s="24" t="s">
        <v>2334</v>
      </c>
      <c r="AS1" s="24" t="s">
        <v>2335</v>
      </c>
      <c r="AT1" s="24" t="s">
        <v>2336</v>
      </c>
      <c r="AU1" s="24" t="s">
        <v>2337</v>
      </c>
      <c r="AV1" s="27" t="s">
        <v>2338</v>
      </c>
      <c r="AW1" s="27" t="s">
        <v>2339</v>
      </c>
      <c r="AX1" s="27" t="s">
        <v>2340</v>
      </c>
      <c r="AY1" s="27" t="s">
        <v>2341</v>
      </c>
      <c r="AZ1" s="24" t="s">
        <v>2342</v>
      </c>
      <c r="BA1" s="24" t="s">
        <v>2343</v>
      </c>
      <c r="BB1" s="24" t="s">
        <v>2344</v>
      </c>
      <c r="BC1" s="24" t="s">
        <v>2345</v>
      </c>
      <c r="BD1" s="24" t="s">
        <v>2346</v>
      </c>
      <c r="BE1" s="24" t="s">
        <v>2347</v>
      </c>
      <c r="BF1" s="24" t="s">
        <v>2348</v>
      </c>
      <c r="BG1" s="24" t="s">
        <v>2349</v>
      </c>
      <c r="BH1" s="27" t="s">
        <v>2350</v>
      </c>
      <c r="BI1" s="27" t="s">
        <v>2351</v>
      </c>
      <c r="BJ1" s="27" t="s">
        <v>2352</v>
      </c>
      <c r="BK1" s="27" t="s">
        <v>2353</v>
      </c>
      <c r="BL1" s="25" t="s">
        <v>35</v>
      </c>
      <c r="BM1" s="25" t="s">
        <v>33</v>
      </c>
      <c r="BN1" s="25" t="s">
        <v>37</v>
      </c>
      <c r="BO1" s="20" t="s">
        <v>73</v>
      </c>
      <c r="BP1" s="20" t="s">
        <v>750</v>
      </c>
      <c r="BQ1" s="20" t="s">
        <v>751</v>
      </c>
      <c r="BR1" s="20" t="s">
        <v>74</v>
      </c>
      <c r="BS1" s="20" t="s">
        <v>1291</v>
      </c>
      <c r="BT1" s="20" t="s">
        <v>1292</v>
      </c>
      <c r="BU1" s="20" t="s">
        <v>752</v>
      </c>
      <c r="BV1" s="20" t="s">
        <v>753</v>
      </c>
      <c r="BW1" s="20" t="s">
        <v>75</v>
      </c>
      <c r="BX1" s="20" t="s">
        <v>748</v>
      </c>
      <c r="BY1" s="20" t="s">
        <v>749</v>
      </c>
      <c r="BZ1" s="20" t="s">
        <v>746</v>
      </c>
      <c r="CA1" s="20" t="s">
        <v>747</v>
      </c>
      <c r="CB1" s="21" t="s">
        <v>76</v>
      </c>
      <c r="CC1" s="21" t="s">
        <v>77</v>
      </c>
      <c r="CD1" s="21" t="s">
        <v>1293</v>
      </c>
      <c r="CE1" s="21" t="s">
        <v>1294</v>
      </c>
      <c r="CF1" s="21" t="s">
        <v>78</v>
      </c>
      <c r="CG1" s="21" t="s">
        <v>765</v>
      </c>
      <c r="CH1" s="21" t="s">
        <v>1295</v>
      </c>
      <c r="CI1" s="21" t="s">
        <v>1296</v>
      </c>
      <c r="CK1" s="28" t="s">
        <v>1297</v>
      </c>
    </row>
    <row r="2" customFormat="false" ht="15" hidden="false" customHeight="true" outlineLevel="0" collapsed="false">
      <c r="CK2" s="30" t="s">
        <v>1001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2354</v>
      </c>
      <c r="Q1" s="24" t="s">
        <v>2355</v>
      </c>
      <c r="R1" s="24" t="s">
        <v>2356</v>
      </c>
      <c r="S1" s="24" t="s">
        <v>2357</v>
      </c>
      <c r="T1" s="24" t="s">
        <v>2358</v>
      </c>
      <c r="U1" s="24" t="s">
        <v>2359</v>
      </c>
      <c r="V1" s="24" t="s">
        <v>2360</v>
      </c>
      <c r="W1" s="24" t="s">
        <v>2361</v>
      </c>
      <c r="X1" s="27" t="s">
        <v>2362</v>
      </c>
      <c r="Y1" s="27" t="s">
        <v>2363</v>
      </c>
      <c r="Z1" s="27" t="s">
        <v>2364</v>
      </c>
      <c r="AA1" s="27" t="s">
        <v>2365</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1003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2366</v>
      </c>
      <c r="Q1" s="24" t="s">
        <v>2367</v>
      </c>
      <c r="R1" s="24" t="s">
        <v>2368</v>
      </c>
      <c r="S1" s="24" t="s">
        <v>2369</v>
      </c>
      <c r="T1" s="24" t="s">
        <v>2370</v>
      </c>
      <c r="U1" s="24" t="s">
        <v>2371</v>
      </c>
      <c r="V1" s="24" t="s">
        <v>2372</v>
      </c>
      <c r="W1" s="24" t="s">
        <v>2373</v>
      </c>
      <c r="X1" s="27" t="s">
        <v>2374</v>
      </c>
      <c r="Y1" s="27" t="s">
        <v>2375</v>
      </c>
      <c r="Z1" s="27" t="s">
        <v>2376</v>
      </c>
      <c r="AA1" s="27" t="s">
        <v>2377</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1005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2378</v>
      </c>
      <c r="Q1" s="24" t="s">
        <v>2379</v>
      </c>
      <c r="R1" s="24" t="s">
        <v>2380</v>
      </c>
      <c r="S1" s="24" t="s">
        <v>2381</v>
      </c>
      <c r="T1" s="24" t="s">
        <v>2382</v>
      </c>
      <c r="U1" s="24" t="s">
        <v>2383</v>
      </c>
      <c r="V1" s="24" t="s">
        <v>2384</v>
      </c>
      <c r="W1" s="24" t="s">
        <v>2385</v>
      </c>
      <c r="X1" s="27" t="s">
        <v>2386</v>
      </c>
      <c r="Y1" s="27" t="s">
        <v>2387</v>
      </c>
      <c r="Z1" s="27" t="s">
        <v>2388</v>
      </c>
      <c r="AA1" s="27" t="s">
        <v>2389</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1007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2390</v>
      </c>
      <c r="Q1" s="24" t="s">
        <v>2391</v>
      </c>
      <c r="R1" s="24" t="s">
        <v>2392</v>
      </c>
      <c r="S1" s="24" t="s">
        <v>2393</v>
      </c>
      <c r="T1" s="24" t="s">
        <v>2394</v>
      </c>
      <c r="U1" s="24" t="s">
        <v>2395</v>
      </c>
      <c r="V1" s="24" t="s">
        <v>2396</v>
      </c>
      <c r="W1" s="24" t="s">
        <v>2397</v>
      </c>
      <c r="X1" s="27" t="s">
        <v>2398</v>
      </c>
      <c r="Y1" s="27" t="s">
        <v>2399</v>
      </c>
      <c r="Z1" s="27" t="s">
        <v>2400</v>
      </c>
      <c r="AA1" s="27" t="s">
        <v>2401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1007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2402</v>
      </c>
      <c r="Q1" s="24" t="s">
        <v>2403</v>
      </c>
      <c r="R1" s="24" t="s">
        <v>2404</v>
      </c>
      <c r="S1" s="24" t="s">
        <v>2405</v>
      </c>
      <c r="T1" s="24" t="s">
        <v>2406</v>
      </c>
      <c r="U1" s="24" t="s">
        <v>2407</v>
      </c>
      <c r="V1" s="24" t="s">
        <v>2408</v>
      </c>
      <c r="W1" s="24" t="s">
        <v>2409</v>
      </c>
      <c r="X1" s="27" t="s">
        <v>2410</v>
      </c>
      <c r="Y1" s="27" t="s">
        <v>2411</v>
      </c>
      <c r="Z1" s="27" t="s">
        <v>2412</v>
      </c>
      <c r="AA1" s="27" t="s">
        <v>2413</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1007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2414</v>
      </c>
      <c r="Q1" s="24" t="s">
        <v>2415</v>
      </c>
      <c r="R1" s="24" t="s">
        <v>2416</v>
      </c>
      <c r="S1" s="24" t="s">
        <v>2417</v>
      </c>
      <c r="T1" s="24" t="s">
        <v>2418</v>
      </c>
      <c r="U1" s="24" t="s">
        <v>2419</v>
      </c>
      <c r="V1" s="24" t="s">
        <v>2420</v>
      </c>
      <c r="W1" s="24" t="s">
        <v>2421</v>
      </c>
      <c r="X1" s="27" t="s">
        <v>2422</v>
      </c>
      <c r="Y1" s="27" t="s">
        <v>2423</v>
      </c>
      <c r="Z1" s="27" t="s">
        <v>2424</v>
      </c>
      <c r="AA1" s="27" t="s">
        <v>2425</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1007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2426</v>
      </c>
      <c r="Q1" s="24" t="s">
        <v>2427</v>
      </c>
      <c r="R1" s="24" t="s">
        <v>2428</v>
      </c>
      <c r="S1" s="24" t="s">
        <v>2429</v>
      </c>
      <c r="T1" s="24" t="s">
        <v>2430</v>
      </c>
      <c r="U1" s="24" t="s">
        <v>2431</v>
      </c>
      <c r="V1" s="24" t="s">
        <v>2432</v>
      </c>
      <c r="W1" s="24" t="s">
        <v>2433</v>
      </c>
      <c r="X1" s="27" t="s">
        <v>2434</v>
      </c>
      <c r="Y1" s="27" t="s">
        <v>2435</v>
      </c>
      <c r="Z1" s="27" t="s">
        <v>2436</v>
      </c>
      <c r="AA1" s="27" t="s">
        <v>2437</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1007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2438</v>
      </c>
      <c r="Q1" s="24" t="s">
        <v>2439</v>
      </c>
      <c r="R1" s="24" t="s">
        <v>2440</v>
      </c>
      <c r="S1" s="24" t="s">
        <v>2441</v>
      </c>
      <c r="T1" s="24" t="s">
        <v>2442</v>
      </c>
      <c r="U1" s="24" t="s">
        <v>2443</v>
      </c>
      <c r="V1" s="24" t="s">
        <v>2444</v>
      </c>
      <c r="W1" s="24" t="s">
        <v>2445</v>
      </c>
      <c r="X1" s="27" t="s">
        <v>2446</v>
      </c>
      <c r="Y1" s="27" t="s">
        <v>2447</v>
      </c>
      <c r="Z1" s="27" t="s">
        <v>2448</v>
      </c>
      <c r="AA1" s="27" t="s">
        <v>2449</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1400</v>
      </c>
      <c r="P2" s="17" t="n">
        <v>332.9</v>
      </c>
      <c r="Q2" s="17" t="n">
        <v>83.6</v>
      </c>
      <c r="R2" s="17" t="n">
        <v>138.3</v>
      </c>
      <c r="S2" s="17"/>
      <c r="T2" s="17"/>
      <c r="U2" s="17"/>
      <c r="V2" s="17" t="n">
        <v>211.3</v>
      </c>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2450</v>
      </c>
      <c r="AS2" s="17" t="s">
        <v>1299</v>
      </c>
      <c r="AT2" s="17" t="s">
        <v>1300</v>
      </c>
      <c r="AU2" s="17" t="s">
        <v>1301</v>
      </c>
      <c r="AV2" s="17" t="s">
        <v>2098</v>
      </c>
      <c r="AW2" s="29" t="s">
        <v>2451</v>
      </c>
      <c r="AX2" s="17" t="s">
        <v>852</v>
      </c>
      <c r="AY2" s="17" t="s">
        <v>2452</v>
      </c>
      <c r="BA2" s="30" t="s">
        <v>1013</v>
      </c>
    </row>
    <row r="3" customFormat="false" ht="15" hidden="false" customHeight="true" outlineLevel="0" collapsed="false">
      <c r="A3" s="5" t="n">
        <v>165</v>
      </c>
      <c r="B3" s="5" t="n">
        <v>165</v>
      </c>
      <c r="C3" s="5" t="s">
        <v>786</v>
      </c>
      <c r="D3" s="5" t="n">
        <v>2012</v>
      </c>
      <c r="E3" s="5" t="s">
        <v>787</v>
      </c>
      <c r="F3" s="5" t="s">
        <v>790</v>
      </c>
      <c r="G3" s="5" t="s">
        <v>791</v>
      </c>
      <c r="H3" s="5" t="n">
        <v>28.633</v>
      </c>
      <c r="I3" s="5" t="n">
        <v>77.183</v>
      </c>
      <c r="J3" s="5" t="s">
        <v>83</v>
      </c>
      <c r="K3" s="5" t="s">
        <v>1307</v>
      </c>
      <c r="L3" s="5" t="s">
        <v>796</v>
      </c>
      <c r="M3" s="5" t="s">
        <v>85</v>
      </c>
      <c r="N3" s="5" t="s">
        <v>86</v>
      </c>
      <c r="O3" s="5" t="s">
        <v>1733</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2453</v>
      </c>
      <c r="AS3" s="5" t="s">
        <v>1308</v>
      </c>
      <c r="AT3" s="5" t="s">
        <v>2102</v>
      </c>
      <c r="AU3" s="5" t="s">
        <v>1310</v>
      </c>
      <c r="AV3" s="5" t="s">
        <v>2098</v>
      </c>
      <c r="AW3" s="22" t="s">
        <v>2454</v>
      </c>
      <c r="AX3" s="5" t="s">
        <v>804</v>
      </c>
      <c r="AY3" s="5" t="s">
        <v>2455</v>
      </c>
    </row>
    <row r="4" customFormat="false" ht="15" hidden="false" customHeight="true" outlineLevel="0" collapsed="false">
      <c r="A4" s="5" t="n">
        <v>165</v>
      </c>
      <c r="B4" s="5" t="n">
        <v>165</v>
      </c>
      <c r="C4" s="5" t="s">
        <v>786</v>
      </c>
      <c r="D4" s="5" t="n">
        <v>2012</v>
      </c>
      <c r="E4" s="5" t="s">
        <v>787</v>
      </c>
      <c r="F4" s="5" t="s">
        <v>790</v>
      </c>
      <c r="G4" s="5" t="s">
        <v>791</v>
      </c>
      <c r="H4" s="5" t="n">
        <v>28.633</v>
      </c>
      <c r="I4" s="5" t="n">
        <v>77.183</v>
      </c>
      <c r="J4" s="5" t="s">
        <v>83</v>
      </c>
      <c r="K4" s="5" t="s">
        <v>1307</v>
      </c>
      <c r="L4" s="5" t="s">
        <v>796</v>
      </c>
      <c r="M4" s="5" t="s">
        <v>85</v>
      </c>
      <c r="N4" s="5" t="s">
        <v>86</v>
      </c>
      <c r="O4" s="5" t="s">
        <v>1733</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2453</v>
      </c>
      <c r="AS4" s="5" t="s">
        <v>1314</v>
      </c>
      <c r="AT4" s="5" t="s">
        <v>2102</v>
      </c>
      <c r="AU4" s="5" t="s">
        <v>1310</v>
      </c>
      <c r="AV4" s="5" t="s">
        <v>2098</v>
      </c>
      <c r="AW4" s="22" t="s">
        <v>2456</v>
      </c>
      <c r="AX4" s="5" t="s">
        <v>804</v>
      </c>
      <c r="AY4" s="5" t="s">
        <v>2455</v>
      </c>
    </row>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2457</v>
      </c>
      <c r="Q1" s="24" t="s">
        <v>2458</v>
      </c>
      <c r="R1" s="24" t="s">
        <v>2459</v>
      </c>
      <c r="S1" s="24" t="s">
        <v>2460</v>
      </c>
      <c r="T1" s="24" t="s">
        <v>2461</v>
      </c>
      <c r="U1" s="24" t="s">
        <v>2462</v>
      </c>
      <c r="V1" s="24" t="s">
        <v>2463</v>
      </c>
      <c r="W1" s="24" t="s">
        <v>2464</v>
      </c>
      <c r="X1" s="27" t="s">
        <v>2465</v>
      </c>
      <c r="Y1" s="27" t="s">
        <v>2466</v>
      </c>
      <c r="Z1" s="27" t="s">
        <v>2467</v>
      </c>
      <c r="AA1" s="27" t="s">
        <v>2468</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1015</v>
      </c>
    </row>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2469</v>
      </c>
      <c r="Q1" s="24" t="s">
        <v>2470</v>
      </c>
      <c r="R1" s="24" t="s">
        <v>2471</v>
      </c>
      <c r="S1" s="24" t="s">
        <v>2472</v>
      </c>
      <c r="T1" s="24" t="s">
        <v>2473</v>
      </c>
      <c r="U1" s="24" t="s">
        <v>2474</v>
      </c>
      <c r="V1" s="24" t="s">
        <v>2475</v>
      </c>
      <c r="W1" s="24" t="s">
        <v>2476</v>
      </c>
      <c r="X1" s="27" t="s">
        <v>2477</v>
      </c>
      <c r="Y1" s="27" t="s">
        <v>2478</v>
      </c>
      <c r="Z1" s="27" t="s">
        <v>2479</v>
      </c>
      <c r="AA1" s="27" t="s">
        <v>2480</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1017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2481</v>
      </c>
      <c r="Q1" s="24" t="s">
        <v>2482</v>
      </c>
      <c r="R1" s="24" t="s">
        <v>2483</v>
      </c>
      <c r="S1" s="24" t="s">
        <v>2484</v>
      </c>
      <c r="T1" s="24" t="s">
        <v>2485</v>
      </c>
      <c r="U1" s="24" t="s">
        <v>2486</v>
      </c>
      <c r="V1" s="24" t="s">
        <v>2487</v>
      </c>
      <c r="W1" s="24" t="s">
        <v>2488</v>
      </c>
      <c r="X1" s="27" t="s">
        <v>2489</v>
      </c>
      <c r="Y1" s="27" t="s">
        <v>2490</v>
      </c>
      <c r="Z1" s="27" t="s">
        <v>2491</v>
      </c>
      <c r="AA1" s="27" t="s">
        <v>2492</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1019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2493</v>
      </c>
      <c r="Q1" s="24" t="s">
        <v>2494</v>
      </c>
      <c r="R1" s="24" t="s">
        <v>2495</v>
      </c>
      <c r="S1" s="24" t="s">
        <v>2496</v>
      </c>
      <c r="T1" s="24" t="s">
        <v>2497</v>
      </c>
      <c r="U1" s="24" t="s">
        <v>2498</v>
      </c>
      <c r="V1" s="24" t="s">
        <v>2499</v>
      </c>
      <c r="W1" s="24" t="s">
        <v>2500</v>
      </c>
      <c r="X1" s="27" t="s">
        <v>2501</v>
      </c>
      <c r="Y1" s="27" t="s">
        <v>2502</v>
      </c>
      <c r="Z1" s="27" t="s">
        <v>2503</v>
      </c>
      <c r="AA1" s="27" t="s">
        <v>2504</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1400</v>
      </c>
      <c r="P2" s="17"/>
      <c r="Q2" s="17" t="n">
        <v>7.11</v>
      </c>
      <c r="R2" s="17" t="n">
        <v>7.76</v>
      </c>
      <c r="S2" s="17"/>
      <c r="T2" s="17"/>
      <c r="U2" s="17"/>
      <c r="V2" s="17"/>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1021</v>
      </c>
      <c r="AS2" s="17" t="s">
        <v>2505</v>
      </c>
      <c r="AT2" s="17" t="s">
        <v>1300</v>
      </c>
      <c r="AU2" s="17" t="s">
        <v>1301</v>
      </c>
      <c r="AV2" s="17" t="s">
        <v>2506</v>
      </c>
      <c r="AW2" s="29" t="s">
        <v>2507</v>
      </c>
      <c r="AX2" s="17" t="s">
        <v>852</v>
      </c>
      <c r="AY2" s="17" t="s">
        <v>2508</v>
      </c>
      <c r="BA2" s="30" t="s">
        <v>1021</v>
      </c>
    </row>
    <row r="3" customFormat="false" ht="15" hidden="false" customHeight="true" outlineLevel="0" collapsed="false">
      <c r="A3" s="5" t="n">
        <v>165</v>
      </c>
      <c r="B3" s="5" t="n">
        <v>165</v>
      </c>
      <c r="C3" s="5" t="s">
        <v>786</v>
      </c>
      <c r="D3" s="5" t="n">
        <v>2012</v>
      </c>
      <c r="E3" s="5" t="s">
        <v>787</v>
      </c>
      <c r="F3" s="5" t="s">
        <v>790</v>
      </c>
      <c r="G3" s="5" t="s">
        <v>791</v>
      </c>
      <c r="H3" s="5" t="n">
        <v>28.633</v>
      </c>
      <c r="I3" s="5" t="n">
        <v>77.183</v>
      </c>
      <c r="J3" s="5" t="s">
        <v>83</v>
      </c>
      <c r="K3" s="5" t="s">
        <v>1307</v>
      </c>
      <c r="L3" s="5" t="s">
        <v>796</v>
      </c>
      <c r="M3" s="5" t="s">
        <v>85</v>
      </c>
      <c r="N3" s="5" t="s">
        <v>86</v>
      </c>
      <c r="O3" s="5" t="s">
        <v>1733</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2509</v>
      </c>
      <c r="AS3" s="5" t="s">
        <v>1308</v>
      </c>
      <c r="AT3" s="5" t="s">
        <v>2102</v>
      </c>
      <c r="AU3" s="5" t="s">
        <v>1310</v>
      </c>
      <c r="AV3" s="5" t="s">
        <v>2510</v>
      </c>
      <c r="AW3" s="22" t="s">
        <v>2511</v>
      </c>
      <c r="AX3" s="5" t="s">
        <v>804</v>
      </c>
      <c r="AY3" s="5" t="s">
        <v>2512</v>
      </c>
    </row>
    <row r="4" customFormat="false" ht="15" hidden="false" customHeight="true" outlineLevel="0" collapsed="false">
      <c r="A4" s="5" t="n">
        <v>165</v>
      </c>
      <c r="B4" s="5" t="n">
        <v>165</v>
      </c>
      <c r="C4" s="5" t="s">
        <v>786</v>
      </c>
      <c r="D4" s="5" t="n">
        <v>2012</v>
      </c>
      <c r="E4" s="5" t="s">
        <v>787</v>
      </c>
      <c r="F4" s="5" t="s">
        <v>790</v>
      </c>
      <c r="G4" s="5" t="s">
        <v>791</v>
      </c>
      <c r="H4" s="5" t="n">
        <v>28.633</v>
      </c>
      <c r="I4" s="5" t="n">
        <v>77.183</v>
      </c>
      <c r="J4" s="5" t="s">
        <v>83</v>
      </c>
      <c r="K4" s="5" t="s">
        <v>1307</v>
      </c>
      <c r="L4" s="5" t="s">
        <v>796</v>
      </c>
      <c r="M4" s="5" t="s">
        <v>85</v>
      </c>
      <c r="N4" s="5" t="s">
        <v>86</v>
      </c>
      <c r="O4" s="5" t="s">
        <v>1733</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2509</v>
      </c>
      <c r="AS4" s="5" t="s">
        <v>1314</v>
      </c>
      <c r="AT4" s="5" t="s">
        <v>2102</v>
      </c>
      <c r="AU4" s="5" t="s">
        <v>1310</v>
      </c>
      <c r="AV4" s="5" t="s">
        <v>2510</v>
      </c>
      <c r="AW4" s="22" t="s">
        <v>2513</v>
      </c>
      <c r="AX4" s="5" t="s">
        <v>804</v>
      </c>
      <c r="AY4" s="5" t="s">
        <v>2512</v>
      </c>
    </row>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2514</v>
      </c>
      <c r="Q1" s="24" t="s">
        <v>2515</v>
      </c>
      <c r="R1" s="24" t="s">
        <v>2516</v>
      </c>
      <c r="S1" s="24" t="s">
        <v>2517</v>
      </c>
      <c r="T1" s="24" t="s">
        <v>2518</v>
      </c>
      <c r="U1" s="24" t="s">
        <v>2519</v>
      </c>
      <c r="V1" s="24" t="s">
        <v>2520</v>
      </c>
      <c r="W1" s="24" t="s">
        <v>2521</v>
      </c>
      <c r="X1" s="27" t="s">
        <v>2522</v>
      </c>
      <c r="Y1" s="27" t="s">
        <v>2523</v>
      </c>
      <c r="Z1" s="27" t="s">
        <v>2524</v>
      </c>
      <c r="AA1" s="27" t="s">
        <v>2525</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1023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2526</v>
      </c>
      <c r="Q1" s="24" t="s">
        <v>2527</v>
      </c>
      <c r="R1" s="24" t="s">
        <v>2528</v>
      </c>
      <c r="S1" s="24" t="s">
        <v>2529</v>
      </c>
      <c r="T1" s="24" t="s">
        <v>2530</v>
      </c>
      <c r="U1" s="24" t="s">
        <v>2531</v>
      </c>
      <c r="V1" s="24" t="s">
        <v>2532</v>
      </c>
      <c r="W1" s="24" t="s">
        <v>2533</v>
      </c>
      <c r="X1" s="27" t="s">
        <v>2534</v>
      </c>
      <c r="Y1" s="27" t="s">
        <v>2535</v>
      </c>
      <c r="Z1" s="27" t="s">
        <v>2536</v>
      </c>
      <c r="AA1" s="27" t="s">
        <v>2537</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1400</v>
      </c>
      <c r="P2" s="17"/>
      <c r="Q2" s="17" t="n">
        <v>18.09</v>
      </c>
      <c r="R2" s="17" t="n">
        <v>22.57</v>
      </c>
      <c r="S2" s="17"/>
      <c r="T2" s="17"/>
      <c r="U2" s="17"/>
      <c r="V2" s="17"/>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1023</v>
      </c>
      <c r="AS2" s="17" t="s">
        <v>2505</v>
      </c>
      <c r="AT2" s="17" t="s">
        <v>1300</v>
      </c>
      <c r="AU2" s="17" t="s">
        <v>1301</v>
      </c>
      <c r="AV2" s="17" t="s">
        <v>1409</v>
      </c>
      <c r="AW2" s="29" t="s">
        <v>2538</v>
      </c>
      <c r="AX2" s="17" t="s">
        <v>852</v>
      </c>
      <c r="AY2" s="17" t="s">
        <v>2539</v>
      </c>
      <c r="BA2" s="30" t="s">
        <v>1025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2540</v>
      </c>
      <c r="Q1" s="24" t="s">
        <v>2541</v>
      </c>
      <c r="R1" s="24" t="s">
        <v>2542</v>
      </c>
      <c r="S1" s="24" t="s">
        <v>2543</v>
      </c>
      <c r="T1" s="24" t="s">
        <v>2544</v>
      </c>
      <c r="U1" s="24" t="s">
        <v>2545</v>
      </c>
      <c r="V1" s="24" t="s">
        <v>2546</v>
      </c>
      <c r="W1" s="24" t="s">
        <v>2547</v>
      </c>
      <c r="X1" s="27" t="s">
        <v>2548</v>
      </c>
      <c r="Y1" s="27" t="s">
        <v>2549</v>
      </c>
      <c r="Z1" s="27" t="s">
        <v>2550</v>
      </c>
      <c r="AA1" s="27" t="s">
        <v>2551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1400</v>
      </c>
      <c r="P2" s="17"/>
      <c r="Q2" s="17" t="n">
        <v>22.92</v>
      </c>
      <c r="R2" s="17" t="n">
        <v>26.71</v>
      </c>
      <c r="S2" s="17"/>
      <c r="T2" s="17"/>
      <c r="U2" s="17"/>
      <c r="V2" s="17"/>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1023</v>
      </c>
      <c r="AS2" s="17" t="s">
        <v>2505</v>
      </c>
      <c r="AT2" s="17" t="s">
        <v>1300</v>
      </c>
      <c r="AU2" s="17" t="s">
        <v>1301</v>
      </c>
      <c r="AV2" s="17" t="s">
        <v>1405</v>
      </c>
      <c r="AW2" s="29" t="s">
        <v>2552</v>
      </c>
      <c r="AX2" s="17" t="s">
        <v>852</v>
      </c>
      <c r="AY2" s="17" t="s">
        <v>2553</v>
      </c>
      <c r="BA2" s="31" t="s">
        <v>1027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2554</v>
      </c>
      <c r="Q1" s="24" t="s">
        <v>2555</v>
      </c>
      <c r="R1" s="24" t="s">
        <v>2556</v>
      </c>
      <c r="S1" s="24" t="s">
        <v>2557</v>
      </c>
      <c r="T1" s="24" t="s">
        <v>2558</v>
      </c>
      <c r="U1" s="24" t="s">
        <v>2559</v>
      </c>
      <c r="V1" s="24" t="s">
        <v>2560</v>
      </c>
      <c r="W1" s="24" t="s">
        <v>2561</v>
      </c>
      <c r="X1" s="27" t="s">
        <v>2562</v>
      </c>
      <c r="Y1" s="27" t="s">
        <v>2563</v>
      </c>
      <c r="Z1" s="27" t="s">
        <v>2564</v>
      </c>
      <c r="AA1" s="27" t="s">
        <v>2565</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1" t="s">
        <v>1029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2566</v>
      </c>
      <c r="Q1" s="24" t="s">
        <v>2567</v>
      </c>
      <c r="R1" s="24" t="s">
        <v>2568</v>
      </c>
      <c r="S1" s="24" t="s">
        <v>2569</v>
      </c>
      <c r="T1" s="24" t="s">
        <v>2570</v>
      </c>
      <c r="U1" s="24" t="s">
        <v>2571</v>
      </c>
      <c r="V1" s="24" t="s">
        <v>2572</v>
      </c>
      <c r="W1" s="24" t="s">
        <v>2573</v>
      </c>
      <c r="X1" s="27" t="s">
        <v>2574</v>
      </c>
      <c r="Y1" s="27" t="s">
        <v>2575</v>
      </c>
      <c r="Z1" s="27" t="s">
        <v>2576</v>
      </c>
      <c r="AA1" s="27" t="s">
        <v>2577</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1031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2578</v>
      </c>
      <c r="Q1" s="24" t="s">
        <v>2579</v>
      </c>
      <c r="R1" s="24" t="s">
        <v>2580</v>
      </c>
      <c r="S1" s="24" t="s">
        <v>2581</v>
      </c>
      <c r="T1" s="24" t="s">
        <v>2582</v>
      </c>
      <c r="U1" s="24" t="s">
        <v>2583</v>
      </c>
      <c r="V1" s="24" t="s">
        <v>2584</v>
      </c>
      <c r="W1" s="24" t="s">
        <v>2585</v>
      </c>
      <c r="X1" s="27" t="s">
        <v>2586</v>
      </c>
      <c r="Y1" s="27" t="s">
        <v>2587</v>
      </c>
      <c r="Z1" s="27" t="s">
        <v>2588</v>
      </c>
      <c r="AA1" s="27" t="s">
        <v>2589</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1033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2590</v>
      </c>
      <c r="Q1" s="24" t="s">
        <v>2591</v>
      </c>
      <c r="R1" s="24" t="s">
        <v>2592</v>
      </c>
      <c r="S1" s="24" t="s">
        <v>2593</v>
      </c>
      <c r="T1" s="24" t="s">
        <v>2594</v>
      </c>
      <c r="U1" s="24" t="s">
        <v>2595</v>
      </c>
      <c r="V1" s="24" t="s">
        <v>2596</v>
      </c>
      <c r="W1" s="24" t="s">
        <v>2597</v>
      </c>
      <c r="X1" s="27" t="s">
        <v>2598</v>
      </c>
      <c r="Y1" s="27" t="s">
        <v>2599</v>
      </c>
      <c r="Z1" s="27" t="s">
        <v>2600</v>
      </c>
      <c r="AA1" s="27" t="s">
        <v>2601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1035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2602</v>
      </c>
      <c r="Q1" s="24" t="s">
        <v>2603</v>
      </c>
      <c r="R1" s="24" t="s">
        <v>2604</v>
      </c>
      <c r="S1" s="24" t="s">
        <v>2605</v>
      </c>
      <c r="T1" s="24" t="s">
        <v>2606</v>
      </c>
      <c r="U1" s="24" t="s">
        <v>2607</v>
      </c>
      <c r="V1" s="24" t="s">
        <v>2608</v>
      </c>
      <c r="W1" s="24" t="s">
        <v>2609</v>
      </c>
      <c r="X1" s="27" t="s">
        <v>2610</v>
      </c>
      <c r="Y1" s="27" t="s">
        <v>2611</v>
      </c>
      <c r="Z1" s="27" t="s">
        <v>2612</v>
      </c>
      <c r="AA1" s="27" t="s">
        <v>2613</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1037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2614</v>
      </c>
      <c r="Q1" s="24" t="s">
        <v>2615</v>
      </c>
      <c r="R1" s="24" t="s">
        <v>2616</v>
      </c>
      <c r="S1" s="24" t="s">
        <v>2617</v>
      </c>
      <c r="T1" s="24" t="s">
        <v>2618</v>
      </c>
      <c r="U1" s="24" t="s">
        <v>2619</v>
      </c>
      <c r="V1" s="24" t="s">
        <v>2620</v>
      </c>
      <c r="W1" s="24" t="s">
        <v>2621</v>
      </c>
      <c r="X1" s="27" t="s">
        <v>2622</v>
      </c>
      <c r="Y1" s="27" t="s">
        <v>2623</v>
      </c>
      <c r="Z1" s="27" t="s">
        <v>2624</v>
      </c>
      <c r="AA1" s="27" t="s">
        <v>2625</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17" t="n">
        <v>168</v>
      </c>
      <c r="B2" s="17" t="n">
        <v>168</v>
      </c>
      <c r="C2" s="17" t="s">
        <v>837</v>
      </c>
      <c r="D2" s="17" t="n">
        <v>2020</v>
      </c>
      <c r="E2" s="17" t="s">
        <v>838</v>
      </c>
      <c r="F2" s="17" t="s">
        <v>841</v>
      </c>
      <c r="G2" s="17" t="s">
        <v>842</v>
      </c>
      <c r="H2" s="17" t="n">
        <v>30.933</v>
      </c>
      <c r="I2" s="17" t="n">
        <v>75.867</v>
      </c>
      <c r="J2" s="17" t="s">
        <v>845</v>
      </c>
      <c r="K2" s="17" t="n">
        <v>2016</v>
      </c>
      <c r="L2" s="17" t="s">
        <v>84</v>
      </c>
      <c r="M2" s="17" t="s">
        <v>85</v>
      </c>
      <c r="N2" s="17" t="s">
        <v>86</v>
      </c>
      <c r="O2" s="17" t="s">
        <v>1400</v>
      </c>
      <c r="P2" s="17"/>
      <c r="Q2" s="17" t="n">
        <f aca="false">ROUND(4.8*60,1)</f>
        <v>288</v>
      </c>
      <c r="R2" s="17" t="n">
        <f aca="false">ROUND(5.04*60,1)</f>
        <v>302.4</v>
      </c>
      <c r="S2" s="17"/>
      <c r="T2" s="17"/>
      <c r="U2" s="17"/>
      <c r="V2" s="17"/>
      <c r="W2" s="17"/>
      <c r="X2" s="17"/>
      <c r="Y2" s="17"/>
      <c r="Z2" s="17"/>
      <c r="AA2" s="17"/>
      <c r="AB2" s="17" t="n">
        <v>1</v>
      </c>
      <c r="AC2" s="17" t="n">
        <v>3</v>
      </c>
      <c r="AD2" s="17" t="n">
        <f aca="false">IF(AND(N(AB2)&gt;0,N(AC2)&gt;0),SQRT(2*AB2/AC2),"")</f>
        <v>0.816496580927726</v>
      </c>
      <c r="AE2" s="17"/>
      <c r="AF2" s="17"/>
      <c r="AG2" s="17"/>
      <c r="AH2" s="17" t="n">
        <v>734</v>
      </c>
      <c r="AI2" s="17" t="n">
        <v>30.933</v>
      </c>
      <c r="AJ2" s="17" t="n">
        <v>5</v>
      </c>
      <c r="AK2" s="17"/>
      <c r="AL2" s="17"/>
      <c r="AM2" s="17" t="n">
        <v>7.4</v>
      </c>
      <c r="AN2" s="17"/>
      <c r="AO2" s="17"/>
      <c r="AP2" s="17"/>
      <c r="AQ2" s="17"/>
      <c r="AR2" s="17" t="s">
        <v>2626</v>
      </c>
      <c r="AS2" s="17" t="s">
        <v>2505</v>
      </c>
      <c r="AT2" s="17" t="s">
        <v>1300</v>
      </c>
      <c r="AU2" s="17" t="s">
        <v>1301</v>
      </c>
      <c r="AV2" s="17" t="s">
        <v>2627</v>
      </c>
      <c r="AW2" s="29" t="s">
        <v>2628</v>
      </c>
      <c r="AX2" s="17" t="s">
        <v>852</v>
      </c>
      <c r="AY2" s="17" t="s">
        <v>2629</v>
      </c>
      <c r="BA2" s="30" t="s">
        <v>1039</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2630</v>
      </c>
      <c r="Q1" s="24" t="s">
        <v>2631</v>
      </c>
      <c r="R1" s="24" t="s">
        <v>2632</v>
      </c>
      <c r="S1" s="24" t="s">
        <v>2633</v>
      </c>
      <c r="T1" s="24" t="s">
        <v>2634</v>
      </c>
      <c r="U1" s="24" t="s">
        <v>2635</v>
      </c>
      <c r="V1" s="24" t="s">
        <v>2636</v>
      </c>
      <c r="W1" s="24" t="s">
        <v>2637</v>
      </c>
      <c r="X1" s="27" t="s">
        <v>2638</v>
      </c>
      <c r="Y1" s="27" t="s">
        <v>2639</v>
      </c>
      <c r="Z1" s="27" t="s">
        <v>2640</v>
      </c>
      <c r="AA1" s="27" t="s">
        <v>2641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1035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2642</v>
      </c>
      <c r="Q1" s="24" t="s">
        <v>2643</v>
      </c>
      <c r="R1" s="24" t="s">
        <v>2644</v>
      </c>
      <c r="S1" s="24" t="s">
        <v>2645</v>
      </c>
      <c r="T1" s="24" t="s">
        <v>2646</v>
      </c>
      <c r="U1" s="24" t="s">
        <v>2647</v>
      </c>
      <c r="V1" s="24" t="s">
        <v>2648</v>
      </c>
      <c r="W1" s="24" t="s">
        <v>2649</v>
      </c>
      <c r="X1" s="27" t="s">
        <v>2650</v>
      </c>
      <c r="Y1" s="27" t="s">
        <v>2651</v>
      </c>
      <c r="Z1" s="27" t="s">
        <v>2652</v>
      </c>
      <c r="AA1" s="27" t="s">
        <v>2653</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1042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2654</v>
      </c>
      <c r="Q1" s="24" t="s">
        <v>2655</v>
      </c>
      <c r="R1" s="24" t="s">
        <v>2656</v>
      </c>
      <c r="S1" s="24" t="s">
        <v>2657</v>
      </c>
      <c r="T1" s="24" t="s">
        <v>2658</v>
      </c>
      <c r="U1" s="24" t="s">
        <v>2659</v>
      </c>
      <c r="V1" s="24" t="s">
        <v>2660</v>
      </c>
      <c r="W1" s="24" t="s">
        <v>2661</v>
      </c>
      <c r="X1" s="27" t="s">
        <v>2662</v>
      </c>
      <c r="Y1" s="27" t="s">
        <v>2663</v>
      </c>
      <c r="Z1" s="27" t="s">
        <v>2664</v>
      </c>
      <c r="AA1" s="27" t="s">
        <v>2665</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1044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2666</v>
      </c>
      <c r="Q1" s="24" t="s">
        <v>2667</v>
      </c>
      <c r="R1" s="24" t="s">
        <v>2668</v>
      </c>
      <c r="S1" s="24" t="s">
        <v>2669</v>
      </c>
      <c r="T1" s="24" t="s">
        <v>2670</v>
      </c>
      <c r="U1" s="24" t="s">
        <v>2671</v>
      </c>
      <c r="V1" s="24" t="s">
        <v>2672</v>
      </c>
      <c r="W1" s="24" t="s">
        <v>2673</v>
      </c>
      <c r="X1" s="27" t="s">
        <v>2674</v>
      </c>
      <c r="Y1" s="27" t="s">
        <v>2675</v>
      </c>
      <c r="Z1" s="27" t="s">
        <v>2676</v>
      </c>
      <c r="AA1" s="27" t="s">
        <v>2677</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1046</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2678</v>
      </c>
      <c r="Q1" s="24" t="s">
        <v>2679</v>
      </c>
      <c r="R1" s="24" t="s">
        <v>2680</v>
      </c>
      <c r="S1" s="24" t="s">
        <v>2681</v>
      </c>
      <c r="T1" s="24" t="s">
        <v>2682</v>
      </c>
      <c r="U1" s="24" t="s">
        <v>2683</v>
      </c>
      <c r="V1" s="24" t="s">
        <v>2684</v>
      </c>
      <c r="W1" s="24" t="s">
        <v>2685</v>
      </c>
      <c r="X1" s="27" t="s">
        <v>2686</v>
      </c>
      <c r="Y1" s="27" t="s">
        <v>2687</v>
      </c>
      <c r="Z1" s="27" t="s">
        <v>2688</v>
      </c>
      <c r="AA1" s="27" t="s">
        <v>2689</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1048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2690</v>
      </c>
      <c r="Q1" s="24" t="s">
        <v>2691</v>
      </c>
      <c r="R1" s="24" t="s">
        <v>2692</v>
      </c>
      <c r="S1" s="24" t="s">
        <v>2693</v>
      </c>
      <c r="T1" s="24" t="s">
        <v>2694</v>
      </c>
      <c r="U1" s="24" t="s">
        <v>2695</v>
      </c>
      <c r="V1" s="24" t="s">
        <v>2696</v>
      </c>
      <c r="W1" s="24" t="s">
        <v>2697</v>
      </c>
      <c r="X1" s="27" t="s">
        <v>2698</v>
      </c>
      <c r="Y1" s="27" t="s">
        <v>2699</v>
      </c>
      <c r="Z1" s="27" t="s">
        <v>2700</v>
      </c>
      <c r="AA1" s="27" t="s">
        <v>2701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1050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2702</v>
      </c>
      <c r="Q1" s="24" t="s">
        <v>2703</v>
      </c>
      <c r="R1" s="24" t="s">
        <v>2704</v>
      </c>
      <c r="S1" s="24" t="s">
        <v>2705</v>
      </c>
      <c r="T1" s="24" t="s">
        <v>2706</v>
      </c>
      <c r="U1" s="24" t="s">
        <v>2707</v>
      </c>
      <c r="V1" s="24" t="s">
        <v>2708</v>
      </c>
      <c r="W1" s="24" t="s">
        <v>2709</v>
      </c>
      <c r="X1" s="27" t="s">
        <v>2710</v>
      </c>
      <c r="Y1" s="27" t="s">
        <v>2711</v>
      </c>
      <c r="Z1" s="27" t="s">
        <v>2712</v>
      </c>
      <c r="AA1" s="27" t="s">
        <v>2713</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1052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2714</v>
      </c>
      <c r="Q1" s="24" t="s">
        <v>2715</v>
      </c>
      <c r="R1" s="24" t="s">
        <v>2716</v>
      </c>
      <c r="S1" s="24" t="s">
        <v>2717</v>
      </c>
      <c r="T1" s="24" t="s">
        <v>2718</v>
      </c>
      <c r="U1" s="24" t="s">
        <v>2719</v>
      </c>
      <c r="V1" s="24" t="s">
        <v>2720</v>
      </c>
      <c r="W1" s="24" t="s">
        <v>2721</v>
      </c>
      <c r="X1" s="27" t="s">
        <v>2722</v>
      </c>
      <c r="Y1" s="27" t="s">
        <v>2723</v>
      </c>
      <c r="Z1" s="27" t="s">
        <v>2724</v>
      </c>
      <c r="AA1" s="27" t="s">
        <v>2725</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1054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2726</v>
      </c>
      <c r="Q1" s="24" t="s">
        <v>2727</v>
      </c>
      <c r="R1" s="24" t="s">
        <v>2728</v>
      </c>
      <c r="S1" s="24" t="s">
        <v>2729</v>
      </c>
      <c r="T1" s="24" t="s">
        <v>2730</v>
      </c>
      <c r="U1" s="24" t="s">
        <v>2731</v>
      </c>
      <c r="V1" s="24" t="s">
        <v>2732</v>
      </c>
      <c r="W1" s="24" t="s">
        <v>2733</v>
      </c>
      <c r="X1" s="27" t="s">
        <v>2734</v>
      </c>
      <c r="Y1" s="27" t="s">
        <v>2735</v>
      </c>
      <c r="Z1" s="27" t="s">
        <v>2736</v>
      </c>
      <c r="AA1" s="27" t="s">
        <v>2737</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1056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2738</v>
      </c>
      <c r="Q1" s="24" t="s">
        <v>2739</v>
      </c>
      <c r="R1" s="24" t="s">
        <v>2740</v>
      </c>
      <c r="S1" s="24" t="s">
        <v>2741</v>
      </c>
      <c r="T1" s="24" t="s">
        <v>2742</v>
      </c>
      <c r="U1" s="24" t="s">
        <v>2743</v>
      </c>
      <c r="V1" s="24" t="s">
        <v>2744</v>
      </c>
      <c r="W1" s="24" t="s">
        <v>2745</v>
      </c>
      <c r="X1" s="27" t="s">
        <v>2746</v>
      </c>
      <c r="Y1" s="27" t="s">
        <v>2747</v>
      </c>
      <c r="Z1" s="27" t="s">
        <v>2748</v>
      </c>
      <c r="AA1" s="27" t="s">
        <v>2749</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1058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2750</v>
      </c>
      <c r="Q1" s="24" t="s">
        <v>2751</v>
      </c>
      <c r="R1" s="24" t="s">
        <v>2752</v>
      </c>
      <c r="S1" s="24" t="s">
        <v>2753</v>
      </c>
      <c r="T1" s="24" t="s">
        <v>2754</v>
      </c>
      <c r="U1" s="24" t="s">
        <v>2755</v>
      </c>
      <c r="V1" s="24" t="s">
        <v>2756</v>
      </c>
      <c r="W1" s="24" t="s">
        <v>2757</v>
      </c>
      <c r="X1" s="27" t="s">
        <v>2758</v>
      </c>
      <c r="Y1" s="27" t="s">
        <v>2759</v>
      </c>
      <c r="Z1" s="27" t="s">
        <v>2760</v>
      </c>
      <c r="AA1" s="27" t="s">
        <v>2761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5" t="n">
        <v>165</v>
      </c>
      <c r="B2" s="5" t="n">
        <v>165</v>
      </c>
      <c r="C2" s="5" t="s">
        <v>786</v>
      </c>
      <c r="D2" s="5" t="n">
        <v>2012</v>
      </c>
      <c r="E2" s="5" t="s">
        <v>787</v>
      </c>
      <c r="F2" s="5" t="s">
        <v>790</v>
      </c>
      <c r="G2" s="5" t="s">
        <v>791</v>
      </c>
      <c r="H2" s="5" t="n">
        <v>28.633</v>
      </c>
      <c r="I2" s="5" t="n">
        <v>77.183</v>
      </c>
      <c r="J2" s="5" t="s">
        <v>83</v>
      </c>
      <c r="K2" s="5" t="s">
        <v>1307</v>
      </c>
      <c r="L2" s="5" t="s">
        <v>796</v>
      </c>
      <c r="M2" s="5" t="s">
        <v>85</v>
      </c>
      <c r="N2" s="5" t="s">
        <v>86</v>
      </c>
      <c r="O2" s="5" t="s">
        <v>1733</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2762</v>
      </c>
      <c r="AS2" s="5" t="s">
        <v>1308</v>
      </c>
      <c r="AT2" s="5" t="s">
        <v>2102</v>
      </c>
      <c r="AU2" s="5" t="s">
        <v>1310</v>
      </c>
      <c r="AV2" s="5" t="s">
        <v>1655</v>
      </c>
      <c r="AW2" s="22" t="s">
        <v>2763</v>
      </c>
      <c r="AX2" s="5" t="s">
        <v>804</v>
      </c>
      <c r="AY2" s="5" t="s">
        <v>2764</v>
      </c>
      <c r="BA2" s="30" t="s">
        <v>1060</v>
      </c>
    </row>
    <row r="3" customFormat="false" ht="14.25" hidden="false" customHeight="true" outlineLevel="0" collapsed="false">
      <c r="A3" s="5" t="n">
        <v>165</v>
      </c>
      <c r="B3" s="5" t="n">
        <v>165</v>
      </c>
      <c r="C3" s="5" t="s">
        <v>786</v>
      </c>
      <c r="D3" s="5" t="n">
        <v>2012</v>
      </c>
      <c r="E3" s="5" t="s">
        <v>787</v>
      </c>
      <c r="F3" s="5" t="s">
        <v>790</v>
      </c>
      <c r="G3" s="5" t="s">
        <v>791</v>
      </c>
      <c r="H3" s="5" t="n">
        <v>28.633</v>
      </c>
      <c r="I3" s="5" t="n">
        <v>77.183</v>
      </c>
      <c r="J3" s="5" t="s">
        <v>83</v>
      </c>
      <c r="K3" s="5" t="s">
        <v>1307</v>
      </c>
      <c r="L3" s="5" t="s">
        <v>796</v>
      </c>
      <c r="M3" s="5" t="s">
        <v>85</v>
      </c>
      <c r="N3" s="5" t="s">
        <v>86</v>
      </c>
      <c r="O3" s="5" t="s">
        <v>1733</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2762</v>
      </c>
      <c r="AS3" s="5" t="s">
        <v>1314</v>
      </c>
      <c r="AT3" s="5" t="s">
        <v>2102</v>
      </c>
      <c r="AU3" s="5" t="s">
        <v>1310</v>
      </c>
      <c r="AV3" s="5" t="s">
        <v>1655</v>
      </c>
      <c r="AW3" s="22" t="s">
        <v>2765</v>
      </c>
      <c r="AX3" s="5" t="s">
        <v>804</v>
      </c>
      <c r="AY3" s="5" t="s">
        <v>2764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2766</v>
      </c>
      <c r="Q1" s="24" t="s">
        <v>2767</v>
      </c>
      <c r="R1" s="24" t="s">
        <v>2768</v>
      </c>
      <c r="S1" s="24" t="s">
        <v>2769</v>
      </c>
      <c r="T1" s="24" t="s">
        <v>2770</v>
      </c>
      <c r="U1" s="24" t="s">
        <v>2771</v>
      </c>
      <c r="V1" s="24" t="s">
        <v>2772</v>
      </c>
      <c r="W1" s="24" t="s">
        <v>2773</v>
      </c>
      <c r="X1" s="27" t="s">
        <v>2774</v>
      </c>
      <c r="Y1" s="27" t="s">
        <v>2775</v>
      </c>
      <c r="Z1" s="27" t="s">
        <v>2776</v>
      </c>
      <c r="AA1" s="27" t="s">
        <v>2777</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5" t="n">
        <v>165</v>
      </c>
      <c r="B2" s="5" t="n">
        <v>165</v>
      </c>
      <c r="C2" s="5" t="s">
        <v>786</v>
      </c>
      <c r="D2" s="5" t="n">
        <v>2012</v>
      </c>
      <c r="E2" s="5" t="s">
        <v>787</v>
      </c>
      <c r="F2" s="5" t="s">
        <v>790</v>
      </c>
      <c r="G2" s="5" t="s">
        <v>791</v>
      </c>
      <c r="H2" s="5" t="n">
        <v>28.633</v>
      </c>
      <c r="I2" s="5" t="n">
        <v>77.183</v>
      </c>
      <c r="J2" s="5" t="s">
        <v>83</v>
      </c>
      <c r="K2" s="5" t="s">
        <v>1307</v>
      </c>
      <c r="L2" s="5" t="s">
        <v>796</v>
      </c>
      <c r="M2" s="5" t="s">
        <v>85</v>
      </c>
      <c r="N2" s="5" t="s">
        <v>86</v>
      </c>
      <c r="O2" s="5" t="s">
        <v>1733</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2778</v>
      </c>
      <c r="AS2" s="5" t="s">
        <v>1308</v>
      </c>
      <c r="AT2" s="5" t="s">
        <v>2102</v>
      </c>
      <c r="AU2" s="5" t="s">
        <v>1310</v>
      </c>
      <c r="AV2" s="5" t="s">
        <v>1655</v>
      </c>
      <c r="AW2" s="22" t="s">
        <v>2779</v>
      </c>
      <c r="AX2" s="5" t="s">
        <v>804</v>
      </c>
      <c r="AY2" s="5" t="s">
        <v>2780</v>
      </c>
      <c r="BA2" s="30" t="s">
        <v>1062</v>
      </c>
    </row>
    <row r="3" customFormat="false" ht="14.25" hidden="false" customHeight="true" outlineLevel="0" collapsed="false">
      <c r="A3" s="5" t="n">
        <v>165</v>
      </c>
      <c r="B3" s="5" t="n">
        <v>165</v>
      </c>
      <c r="C3" s="5" t="s">
        <v>786</v>
      </c>
      <c r="D3" s="5" t="n">
        <v>2012</v>
      </c>
      <c r="E3" s="5" t="s">
        <v>787</v>
      </c>
      <c r="F3" s="5" t="s">
        <v>790</v>
      </c>
      <c r="G3" s="5" t="s">
        <v>791</v>
      </c>
      <c r="H3" s="5" t="n">
        <v>28.633</v>
      </c>
      <c r="I3" s="5" t="n">
        <v>77.183</v>
      </c>
      <c r="J3" s="5" t="s">
        <v>83</v>
      </c>
      <c r="K3" s="5" t="s">
        <v>1307</v>
      </c>
      <c r="L3" s="5" t="s">
        <v>796</v>
      </c>
      <c r="M3" s="5" t="s">
        <v>85</v>
      </c>
      <c r="N3" s="5" t="s">
        <v>86</v>
      </c>
      <c r="O3" s="5" t="s">
        <v>1733</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2778</v>
      </c>
      <c r="AS3" s="5" t="s">
        <v>1314</v>
      </c>
      <c r="AT3" s="5" t="s">
        <v>2102</v>
      </c>
      <c r="AU3" s="5" t="s">
        <v>1310</v>
      </c>
      <c r="AV3" s="5" t="s">
        <v>1655</v>
      </c>
      <c r="AW3" s="22" t="s">
        <v>2781</v>
      </c>
      <c r="AX3" s="5" t="s">
        <v>804</v>
      </c>
      <c r="AY3" s="5" t="s">
        <v>2780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2782</v>
      </c>
      <c r="Q1" s="24" t="s">
        <v>2783</v>
      </c>
      <c r="R1" s="24" t="s">
        <v>2784</v>
      </c>
      <c r="S1" s="24" t="s">
        <v>2785</v>
      </c>
      <c r="T1" s="24" t="s">
        <v>2786</v>
      </c>
      <c r="U1" s="24" t="s">
        <v>2787</v>
      </c>
      <c r="V1" s="24" t="s">
        <v>2788</v>
      </c>
      <c r="W1" s="24" t="s">
        <v>2789</v>
      </c>
      <c r="X1" s="27" t="s">
        <v>2790</v>
      </c>
      <c r="Y1" s="27" t="s">
        <v>2791</v>
      </c>
      <c r="Z1" s="27" t="s">
        <v>2792</v>
      </c>
      <c r="AA1" s="27" t="s">
        <v>2793</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A2" s="5" t="n">
        <v>165</v>
      </c>
      <c r="B2" s="5" t="n">
        <v>165</v>
      </c>
      <c r="C2" s="5" t="s">
        <v>786</v>
      </c>
      <c r="D2" s="5" t="n">
        <v>2012</v>
      </c>
      <c r="E2" s="5" t="s">
        <v>787</v>
      </c>
      <c r="F2" s="5" t="s">
        <v>790</v>
      </c>
      <c r="G2" s="5" t="s">
        <v>791</v>
      </c>
      <c r="H2" s="5" t="n">
        <v>28.633</v>
      </c>
      <c r="I2" s="5" t="n">
        <v>77.183</v>
      </c>
      <c r="J2" s="5" t="s">
        <v>83</v>
      </c>
      <c r="K2" s="5" t="s">
        <v>1307</v>
      </c>
      <c r="L2" s="5" t="s">
        <v>796</v>
      </c>
      <c r="M2" s="5" t="s">
        <v>85</v>
      </c>
      <c r="N2" s="5" t="s">
        <v>86</v>
      </c>
      <c r="O2" s="5" t="s">
        <v>1733</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2794</v>
      </c>
      <c r="AS2" s="5" t="s">
        <v>1308</v>
      </c>
      <c r="AT2" s="5" t="s">
        <v>2102</v>
      </c>
      <c r="AU2" s="5" t="s">
        <v>1310</v>
      </c>
      <c r="AV2" s="5" t="s">
        <v>2795</v>
      </c>
      <c r="AW2" s="22" t="s">
        <v>2796</v>
      </c>
      <c r="AX2" s="5" t="s">
        <v>804</v>
      </c>
      <c r="AY2" s="5" t="s">
        <v>2797</v>
      </c>
      <c r="BA2" s="30" t="s">
        <v>1064</v>
      </c>
    </row>
    <row r="3" customFormat="false" ht="14.25" hidden="false" customHeight="true" outlineLevel="0" collapsed="false">
      <c r="A3" s="5" t="n">
        <v>165</v>
      </c>
      <c r="B3" s="5" t="n">
        <v>165</v>
      </c>
      <c r="C3" s="5" t="s">
        <v>786</v>
      </c>
      <c r="D3" s="5" t="n">
        <v>2012</v>
      </c>
      <c r="E3" s="5" t="s">
        <v>787</v>
      </c>
      <c r="F3" s="5" t="s">
        <v>790</v>
      </c>
      <c r="G3" s="5" t="s">
        <v>791</v>
      </c>
      <c r="H3" s="5" t="n">
        <v>28.633</v>
      </c>
      <c r="I3" s="5" t="n">
        <v>77.183</v>
      </c>
      <c r="J3" s="5" t="s">
        <v>83</v>
      </c>
      <c r="K3" s="5" t="s">
        <v>1307</v>
      </c>
      <c r="L3" s="5" t="s">
        <v>796</v>
      </c>
      <c r="M3" s="5" t="s">
        <v>85</v>
      </c>
      <c r="N3" s="5" t="s">
        <v>86</v>
      </c>
      <c r="O3" s="5" t="s">
        <v>1733</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2794</v>
      </c>
      <c r="AS3" s="5" t="s">
        <v>1314</v>
      </c>
      <c r="AT3" s="5" t="s">
        <v>2102</v>
      </c>
      <c r="AU3" s="5" t="s">
        <v>1310</v>
      </c>
      <c r="AV3" s="5" t="s">
        <v>2795</v>
      </c>
      <c r="AW3" s="22" t="s">
        <v>2798</v>
      </c>
      <c r="AX3" s="5" t="s">
        <v>804</v>
      </c>
      <c r="AY3" s="5" t="s">
        <v>2797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2799</v>
      </c>
      <c r="Q1" s="24" t="s">
        <v>2800</v>
      </c>
      <c r="R1" s="24" t="s">
        <v>2801</v>
      </c>
      <c r="S1" s="24" t="s">
        <v>2802</v>
      </c>
      <c r="T1" s="24" t="s">
        <v>2803</v>
      </c>
      <c r="U1" s="24" t="s">
        <v>2804</v>
      </c>
      <c r="V1" s="24" t="s">
        <v>2805</v>
      </c>
      <c r="W1" s="24" t="s">
        <v>2806</v>
      </c>
      <c r="X1" s="27" t="s">
        <v>2807</v>
      </c>
      <c r="Y1" s="27" t="s">
        <v>2808</v>
      </c>
      <c r="Z1" s="27" t="s">
        <v>2809</v>
      </c>
      <c r="AA1" s="27" t="s">
        <v>2810</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1066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2811</v>
      </c>
      <c r="Q1" s="24" t="s">
        <v>2812</v>
      </c>
      <c r="R1" s="24" t="s">
        <v>2813</v>
      </c>
      <c r="S1" s="24" t="s">
        <v>2814</v>
      </c>
      <c r="T1" s="24" t="s">
        <v>2815</v>
      </c>
      <c r="U1" s="24" t="s">
        <v>2816</v>
      </c>
      <c r="V1" s="24" t="s">
        <v>2817</v>
      </c>
      <c r="W1" s="24" t="s">
        <v>2818</v>
      </c>
      <c r="X1" s="27" t="s">
        <v>2819</v>
      </c>
      <c r="Y1" s="27" t="s">
        <v>2820</v>
      </c>
      <c r="Z1" s="27" t="s">
        <v>2821</v>
      </c>
      <c r="AA1" s="27" t="s">
        <v>2822</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0" t="s">
        <v>1068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2823</v>
      </c>
      <c r="Q1" s="24" t="s">
        <v>2824</v>
      </c>
      <c r="R1" s="24" t="s">
        <v>2825</v>
      </c>
      <c r="S1" s="24" t="s">
        <v>2826</v>
      </c>
      <c r="T1" s="24" t="s">
        <v>2827</v>
      </c>
      <c r="U1" s="24" t="s">
        <v>2828</v>
      </c>
      <c r="V1" s="24" t="s">
        <v>2829</v>
      </c>
      <c r="W1" s="24" t="s">
        <v>2830</v>
      </c>
      <c r="X1" s="27" t="s">
        <v>2831</v>
      </c>
      <c r="Y1" s="27" t="s">
        <v>2832</v>
      </c>
      <c r="Z1" s="27" t="s">
        <v>2833</v>
      </c>
      <c r="AA1" s="27" t="s">
        <v>2834</v>
      </c>
      <c r="AB1" s="24" t="s">
        <v>2835</v>
      </c>
      <c r="AC1" s="24" t="s">
        <v>2836</v>
      </c>
      <c r="AD1" s="24" t="s">
        <v>2837</v>
      </c>
      <c r="AE1" s="24" t="s">
        <v>2838</v>
      </c>
      <c r="AF1" s="24" t="s">
        <v>2839</v>
      </c>
      <c r="AG1" s="24" t="s">
        <v>2840</v>
      </c>
      <c r="AH1" s="24" t="s">
        <v>2841</v>
      </c>
      <c r="AI1" s="24" t="s">
        <v>2842</v>
      </c>
      <c r="AJ1" s="27" t="s">
        <v>2843</v>
      </c>
      <c r="AK1" s="27" t="s">
        <v>2844</v>
      </c>
      <c r="AL1" s="27" t="s">
        <v>2845</v>
      </c>
      <c r="AM1" s="27" t="s">
        <v>2846</v>
      </c>
      <c r="AN1" s="25" t="s">
        <v>35</v>
      </c>
      <c r="AO1" s="25" t="s">
        <v>33</v>
      </c>
      <c r="AP1" s="25" t="s">
        <v>37</v>
      </c>
      <c r="AQ1" s="20" t="s">
        <v>73</v>
      </c>
      <c r="AR1" s="20" t="s">
        <v>750</v>
      </c>
      <c r="AS1" s="20" t="s">
        <v>751</v>
      </c>
      <c r="AT1" s="20" t="s">
        <v>74</v>
      </c>
      <c r="AU1" s="20" t="s">
        <v>1291</v>
      </c>
      <c r="AV1" s="20" t="s">
        <v>1292</v>
      </c>
      <c r="AW1" s="20" t="s">
        <v>752</v>
      </c>
      <c r="AX1" s="20" t="s">
        <v>753</v>
      </c>
      <c r="AY1" s="20" t="s">
        <v>75</v>
      </c>
      <c r="AZ1" s="20" t="s">
        <v>748</v>
      </c>
      <c r="BA1" s="20" t="s">
        <v>749</v>
      </c>
      <c r="BB1" s="20" t="s">
        <v>746</v>
      </c>
      <c r="BC1" s="20" t="s">
        <v>747</v>
      </c>
      <c r="BD1" s="21" t="s">
        <v>76</v>
      </c>
      <c r="BE1" s="21" t="s">
        <v>77</v>
      </c>
      <c r="BF1" s="21" t="s">
        <v>1293</v>
      </c>
      <c r="BG1" s="21" t="s">
        <v>1294</v>
      </c>
      <c r="BH1" s="21" t="s">
        <v>78</v>
      </c>
      <c r="BI1" s="21" t="s">
        <v>765</v>
      </c>
      <c r="BJ1" s="21" t="s">
        <v>1295</v>
      </c>
      <c r="BK1" s="21" t="s">
        <v>1296</v>
      </c>
      <c r="BM1" s="28" t="s">
        <v>1297</v>
      </c>
    </row>
    <row r="2" customFormat="false" ht="15" hidden="false" customHeight="true" outlineLevel="0" collapsed="false">
      <c r="BM2" s="30" t="s">
        <v>1070</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2847</v>
      </c>
      <c r="Q1" s="24" t="s">
        <v>2848</v>
      </c>
      <c r="R1" s="24" t="s">
        <v>2849</v>
      </c>
      <c r="S1" s="24" t="s">
        <v>2850</v>
      </c>
      <c r="T1" s="24" t="s">
        <v>2851</v>
      </c>
      <c r="U1" s="24" t="s">
        <v>2852</v>
      </c>
      <c r="V1" s="24" t="s">
        <v>2853</v>
      </c>
      <c r="W1" s="24" t="s">
        <v>2854</v>
      </c>
      <c r="X1" s="27" t="s">
        <v>2855</v>
      </c>
      <c r="Y1" s="27" t="s">
        <v>2856</v>
      </c>
      <c r="Z1" s="27" t="s">
        <v>2857</v>
      </c>
      <c r="AA1" s="27" t="s">
        <v>2858</v>
      </c>
      <c r="AB1" s="24" t="s">
        <v>2859</v>
      </c>
      <c r="AC1" s="24" t="s">
        <v>2860</v>
      </c>
      <c r="AD1" s="24" t="s">
        <v>2861</v>
      </c>
      <c r="AE1" s="24" t="s">
        <v>2862</v>
      </c>
      <c r="AF1" s="24" t="s">
        <v>2863</v>
      </c>
      <c r="AG1" s="24" t="s">
        <v>2864</v>
      </c>
      <c r="AH1" s="24" t="s">
        <v>2865</v>
      </c>
      <c r="AI1" s="24" t="s">
        <v>2866</v>
      </c>
      <c r="AJ1" s="27" t="s">
        <v>2867</v>
      </c>
      <c r="AK1" s="27" t="s">
        <v>2868</v>
      </c>
      <c r="AL1" s="27" t="s">
        <v>2869</v>
      </c>
      <c r="AM1" s="27" t="s">
        <v>2870</v>
      </c>
      <c r="AN1" s="25" t="s">
        <v>35</v>
      </c>
      <c r="AO1" s="25" t="s">
        <v>33</v>
      </c>
      <c r="AP1" s="25" t="s">
        <v>37</v>
      </c>
      <c r="AQ1" s="20" t="s">
        <v>73</v>
      </c>
      <c r="AR1" s="20" t="s">
        <v>750</v>
      </c>
      <c r="AS1" s="20" t="s">
        <v>751</v>
      </c>
      <c r="AT1" s="20" t="s">
        <v>74</v>
      </c>
      <c r="AU1" s="20" t="s">
        <v>1291</v>
      </c>
      <c r="AV1" s="20" t="s">
        <v>1292</v>
      </c>
      <c r="AW1" s="20" t="s">
        <v>752</v>
      </c>
      <c r="AX1" s="20" t="s">
        <v>753</v>
      </c>
      <c r="AY1" s="20" t="s">
        <v>75</v>
      </c>
      <c r="AZ1" s="20" t="s">
        <v>748</v>
      </c>
      <c r="BA1" s="20" t="s">
        <v>749</v>
      </c>
      <c r="BB1" s="20" t="s">
        <v>746</v>
      </c>
      <c r="BC1" s="20" t="s">
        <v>747</v>
      </c>
      <c r="BD1" s="21" t="s">
        <v>76</v>
      </c>
      <c r="BE1" s="21" t="s">
        <v>77</v>
      </c>
      <c r="BF1" s="21" t="s">
        <v>1293</v>
      </c>
      <c r="BG1" s="21" t="s">
        <v>1294</v>
      </c>
      <c r="BH1" s="21" t="s">
        <v>78</v>
      </c>
      <c r="BI1" s="21" t="s">
        <v>765</v>
      </c>
      <c r="BJ1" s="21" t="s">
        <v>1295</v>
      </c>
      <c r="BK1" s="21" t="s">
        <v>1296</v>
      </c>
      <c r="BM1" s="28" t="s">
        <v>1297</v>
      </c>
    </row>
    <row r="2" customFormat="false" ht="15" hidden="false" customHeight="true" outlineLevel="0" collapsed="false">
      <c r="BM2" s="30" t="s">
        <v>1072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2871</v>
      </c>
      <c r="Q1" s="24" t="s">
        <v>2872</v>
      </c>
      <c r="R1" s="24" t="s">
        <v>2873</v>
      </c>
      <c r="S1" s="24" t="s">
        <v>2874</v>
      </c>
      <c r="T1" s="24" t="s">
        <v>2875</v>
      </c>
      <c r="U1" s="24" t="s">
        <v>2876</v>
      </c>
      <c r="V1" s="24" t="s">
        <v>2877</v>
      </c>
      <c r="W1" s="24" t="s">
        <v>2878</v>
      </c>
      <c r="X1" s="27" t="s">
        <v>2879</v>
      </c>
      <c r="Y1" s="27" t="s">
        <v>2880</v>
      </c>
      <c r="Z1" s="27" t="s">
        <v>2881</v>
      </c>
      <c r="AA1" s="27" t="s">
        <v>2882</v>
      </c>
      <c r="AB1" s="24" t="s">
        <v>2883</v>
      </c>
      <c r="AC1" s="24" t="s">
        <v>2884</v>
      </c>
      <c r="AD1" s="24" t="s">
        <v>2885</v>
      </c>
      <c r="AE1" s="24" t="s">
        <v>2886</v>
      </c>
      <c r="AF1" s="24" t="s">
        <v>2887</v>
      </c>
      <c r="AG1" s="24" t="s">
        <v>2888</v>
      </c>
      <c r="AH1" s="24" t="s">
        <v>2889</v>
      </c>
      <c r="AI1" s="24" t="s">
        <v>2890</v>
      </c>
      <c r="AJ1" s="27" t="s">
        <v>2891</v>
      </c>
      <c r="AK1" s="27" t="s">
        <v>2892</v>
      </c>
      <c r="AL1" s="27" t="s">
        <v>2893</v>
      </c>
      <c r="AM1" s="27" t="s">
        <v>2894</v>
      </c>
      <c r="AN1" s="25" t="s">
        <v>35</v>
      </c>
      <c r="AO1" s="25" t="s">
        <v>33</v>
      </c>
      <c r="AP1" s="25" t="s">
        <v>37</v>
      </c>
      <c r="AQ1" s="20" t="s">
        <v>73</v>
      </c>
      <c r="AR1" s="20" t="s">
        <v>750</v>
      </c>
      <c r="AS1" s="20" t="s">
        <v>751</v>
      </c>
      <c r="AT1" s="20" t="s">
        <v>74</v>
      </c>
      <c r="AU1" s="20" t="s">
        <v>1291</v>
      </c>
      <c r="AV1" s="20" t="s">
        <v>1292</v>
      </c>
      <c r="AW1" s="20" t="s">
        <v>752</v>
      </c>
      <c r="AX1" s="20" t="s">
        <v>753</v>
      </c>
      <c r="AY1" s="20" t="s">
        <v>75</v>
      </c>
      <c r="AZ1" s="20" t="s">
        <v>748</v>
      </c>
      <c r="BA1" s="20" t="s">
        <v>749</v>
      </c>
      <c r="BB1" s="20" t="s">
        <v>746</v>
      </c>
      <c r="BC1" s="20" t="s">
        <v>747</v>
      </c>
      <c r="BD1" s="21" t="s">
        <v>76</v>
      </c>
      <c r="BE1" s="21" t="s">
        <v>77</v>
      </c>
      <c r="BF1" s="21" t="s">
        <v>1293</v>
      </c>
      <c r="BG1" s="21" t="s">
        <v>1294</v>
      </c>
      <c r="BH1" s="21" t="s">
        <v>78</v>
      </c>
      <c r="BI1" s="21" t="s">
        <v>765</v>
      </c>
      <c r="BJ1" s="21" t="s">
        <v>1295</v>
      </c>
      <c r="BK1" s="21" t="s">
        <v>1296</v>
      </c>
      <c r="BM1" s="28" t="s">
        <v>1297</v>
      </c>
    </row>
    <row r="2" customFormat="false" ht="15" hidden="false" customHeight="true" outlineLevel="0" collapsed="false">
      <c r="BM2" s="30" t="s">
        <v>1074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2895</v>
      </c>
      <c r="Q1" s="24" t="s">
        <v>2896</v>
      </c>
      <c r="R1" s="24" t="s">
        <v>2897</v>
      </c>
      <c r="S1" s="24" t="s">
        <v>2898</v>
      </c>
      <c r="T1" s="24" t="s">
        <v>2899</v>
      </c>
      <c r="U1" s="24" t="s">
        <v>2900</v>
      </c>
      <c r="V1" s="24" t="s">
        <v>2901</v>
      </c>
      <c r="W1" s="24" t="s">
        <v>2902</v>
      </c>
      <c r="X1" s="27" t="s">
        <v>2903</v>
      </c>
      <c r="Y1" s="27" t="s">
        <v>2904</v>
      </c>
      <c r="Z1" s="27" t="s">
        <v>2905</v>
      </c>
      <c r="AA1" s="27" t="s">
        <v>2906</v>
      </c>
      <c r="AB1" s="24" t="s">
        <v>2907</v>
      </c>
      <c r="AC1" s="24" t="s">
        <v>2908</v>
      </c>
      <c r="AD1" s="24" t="s">
        <v>2909</v>
      </c>
      <c r="AE1" s="24" t="s">
        <v>2910</v>
      </c>
      <c r="AF1" s="24" t="s">
        <v>2911</v>
      </c>
      <c r="AG1" s="24" t="s">
        <v>2912</v>
      </c>
      <c r="AH1" s="24" t="s">
        <v>2913</v>
      </c>
      <c r="AI1" s="24" t="s">
        <v>2914</v>
      </c>
      <c r="AJ1" s="27" t="s">
        <v>2915</v>
      </c>
      <c r="AK1" s="27" t="s">
        <v>2916</v>
      </c>
      <c r="AL1" s="27" t="s">
        <v>2917</v>
      </c>
      <c r="AM1" s="27" t="s">
        <v>2918</v>
      </c>
      <c r="AN1" s="25" t="s">
        <v>35</v>
      </c>
      <c r="AO1" s="25" t="s">
        <v>33</v>
      </c>
      <c r="AP1" s="25" t="s">
        <v>37</v>
      </c>
      <c r="AQ1" s="20" t="s">
        <v>73</v>
      </c>
      <c r="AR1" s="20" t="s">
        <v>750</v>
      </c>
      <c r="AS1" s="20" t="s">
        <v>751</v>
      </c>
      <c r="AT1" s="20" t="s">
        <v>74</v>
      </c>
      <c r="AU1" s="20" t="s">
        <v>1291</v>
      </c>
      <c r="AV1" s="20" t="s">
        <v>1292</v>
      </c>
      <c r="AW1" s="20" t="s">
        <v>752</v>
      </c>
      <c r="AX1" s="20" t="s">
        <v>753</v>
      </c>
      <c r="AY1" s="20" t="s">
        <v>75</v>
      </c>
      <c r="AZ1" s="20" t="s">
        <v>748</v>
      </c>
      <c r="BA1" s="20" t="s">
        <v>749</v>
      </c>
      <c r="BB1" s="20" t="s">
        <v>746</v>
      </c>
      <c r="BC1" s="20" t="s">
        <v>747</v>
      </c>
      <c r="BD1" s="21" t="s">
        <v>76</v>
      </c>
      <c r="BE1" s="21" t="s">
        <v>77</v>
      </c>
      <c r="BF1" s="21" t="s">
        <v>1293</v>
      </c>
      <c r="BG1" s="21" t="s">
        <v>1294</v>
      </c>
      <c r="BH1" s="21" t="s">
        <v>78</v>
      </c>
      <c r="BI1" s="21" t="s">
        <v>765</v>
      </c>
      <c r="BJ1" s="21" t="s">
        <v>1295</v>
      </c>
      <c r="BK1" s="21" t="s">
        <v>1296</v>
      </c>
      <c r="BM1" s="28" t="s">
        <v>1297</v>
      </c>
    </row>
    <row r="2" customFormat="false" ht="15" hidden="false" customHeight="true" outlineLevel="0" collapsed="false">
      <c r="BM2" s="30" t="s">
        <v>1076</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2919</v>
      </c>
      <c r="Q1" s="24" t="s">
        <v>2920</v>
      </c>
      <c r="R1" s="24" t="s">
        <v>2921</v>
      </c>
      <c r="S1" s="24" t="s">
        <v>2922</v>
      </c>
      <c r="T1" s="24" t="s">
        <v>2923</v>
      </c>
      <c r="U1" s="24" t="s">
        <v>2924</v>
      </c>
      <c r="V1" s="24" t="s">
        <v>2925</v>
      </c>
      <c r="W1" s="24" t="s">
        <v>2926</v>
      </c>
      <c r="X1" s="27" t="s">
        <v>2927</v>
      </c>
      <c r="Y1" s="27" t="s">
        <v>2928</v>
      </c>
      <c r="Z1" s="27" t="s">
        <v>2929</v>
      </c>
      <c r="AA1" s="27" t="s">
        <v>2930</v>
      </c>
      <c r="AB1" s="24" t="s">
        <v>2931</v>
      </c>
      <c r="AC1" s="24" t="s">
        <v>2932</v>
      </c>
      <c r="AD1" s="24" t="s">
        <v>2933</v>
      </c>
      <c r="AE1" s="24" t="s">
        <v>2934</v>
      </c>
      <c r="AF1" s="24" t="s">
        <v>2935</v>
      </c>
      <c r="AG1" s="24" t="s">
        <v>2936</v>
      </c>
      <c r="AH1" s="24" t="s">
        <v>2937</v>
      </c>
      <c r="AI1" s="24" t="s">
        <v>2938</v>
      </c>
      <c r="AJ1" s="27" t="s">
        <v>2939</v>
      </c>
      <c r="AK1" s="27" t="s">
        <v>2940</v>
      </c>
      <c r="AL1" s="27" t="s">
        <v>2941</v>
      </c>
      <c r="AM1" s="27" t="s">
        <v>2942</v>
      </c>
      <c r="AN1" s="25" t="s">
        <v>35</v>
      </c>
      <c r="AO1" s="25" t="s">
        <v>33</v>
      </c>
      <c r="AP1" s="25" t="s">
        <v>37</v>
      </c>
      <c r="AQ1" s="20" t="s">
        <v>73</v>
      </c>
      <c r="AR1" s="20" t="s">
        <v>750</v>
      </c>
      <c r="AS1" s="20" t="s">
        <v>751</v>
      </c>
      <c r="AT1" s="20" t="s">
        <v>74</v>
      </c>
      <c r="AU1" s="20" t="s">
        <v>1291</v>
      </c>
      <c r="AV1" s="20" t="s">
        <v>1292</v>
      </c>
      <c r="AW1" s="20" t="s">
        <v>752</v>
      </c>
      <c r="AX1" s="20" t="s">
        <v>753</v>
      </c>
      <c r="AY1" s="20" t="s">
        <v>75</v>
      </c>
      <c r="AZ1" s="20" t="s">
        <v>748</v>
      </c>
      <c r="BA1" s="20" t="s">
        <v>749</v>
      </c>
      <c r="BB1" s="20" t="s">
        <v>746</v>
      </c>
      <c r="BC1" s="20" t="s">
        <v>747</v>
      </c>
      <c r="BD1" s="21" t="s">
        <v>76</v>
      </c>
      <c r="BE1" s="21" t="s">
        <v>77</v>
      </c>
      <c r="BF1" s="21" t="s">
        <v>1293</v>
      </c>
      <c r="BG1" s="21" t="s">
        <v>1294</v>
      </c>
      <c r="BH1" s="21" t="s">
        <v>78</v>
      </c>
      <c r="BI1" s="21" t="s">
        <v>765</v>
      </c>
      <c r="BJ1" s="21" t="s">
        <v>1295</v>
      </c>
      <c r="BK1" s="21" t="s">
        <v>1296</v>
      </c>
      <c r="BM1" s="28" t="s">
        <v>1297</v>
      </c>
    </row>
    <row r="2" customFormat="false" ht="15" hidden="false" customHeight="true" outlineLevel="0" collapsed="false">
      <c r="BM2" s="30" t="s">
        <v>1078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2943</v>
      </c>
      <c r="Q1" s="24" t="s">
        <v>2944</v>
      </c>
      <c r="R1" s="24" t="s">
        <v>2945</v>
      </c>
      <c r="S1" s="24" t="s">
        <v>2946</v>
      </c>
      <c r="T1" s="24" t="s">
        <v>2947</v>
      </c>
      <c r="U1" s="24" t="s">
        <v>2948</v>
      </c>
      <c r="V1" s="24" t="s">
        <v>2949</v>
      </c>
      <c r="W1" s="24" t="s">
        <v>2950</v>
      </c>
      <c r="X1" s="27" t="s">
        <v>2951</v>
      </c>
      <c r="Y1" s="27" t="s">
        <v>2952</v>
      </c>
      <c r="Z1" s="27" t="s">
        <v>2953</v>
      </c>
      <c r="AA1" s="27" t="s">
        <v>2954</v>
      </c>
      <c r="AB1" s="24" t="s">
        <v>2955</v>
      </c>
      <c r="AC1" s="24" t="s">
        <v>2956</v>
      </c>
      <c r="AD1" s="24" t="s">
        <v>2957</v>
      </c>
      <c r="AE1" s="24" t="s">
        <v>2958</v>
      </c>
      <c r="AF1" s="24" t="s">
        <v>2959</v>
      </c>
      <c r="AG1" s="24" t="s">
        <v>2960</v>
      </c>
      <c r="AH1" s="24" t="s">
        <v>2961</v>
      </c>
      <c r="AI1" s="24" t="s">
        <v>2962</v>
      </c>
      <c r="AJ1" s="27" t="s">
        <v>2963</v>
      </c>
      <c r="AK1" s="27" t="s">
        <v>2964</v>
      </c>
      <c r="AL1" s="27" t="s">
        <v>2965</v>
      </c>
      <c r="AM1" s="27" t="s">
        <v>2966</v>
      </c>
      <c r="AN1" s="25" t="s">
        <v>35</v>
      </c>
      <c r="AO1" s="25" t="s">
        <v>33</v>
      </c>
      <c r="AP1" s="25" t="s">
        <v>37</v>
      </c>
      <c r="AQ1" s="20" t="s">
        <v>73</v>
      </c>
      <c r="AR1" s="20" t="s">
        <v>750</v>
      </c>
      <c r="AS1" s="20" t="s">
        <v>751</v>
      </c>
      <c r="AT1" s="20" t="s">
        <v>74</v>
      </c>
      <c r="AU1" s="20" t="s">
        <v>1291</v>
      </c>
      <c r="AV1" s="20" t="s">
        <v>1292</v>
      </c>
      <c r="AW1" s="20" t="s">
        <v>752</v>
      </c>
      <c r="AX1" s="20" t="s">
        <v>753</v>
      </c>
      <c r="AY1" s="20" t="s">
        <v>75</v>
      </c>
      <c r="AZ1" s="20" t="s">
        <v>748</v>
      </c>
      <c r="BA1" s="20" t="s">
        <v>749</v>
      </c>
      <c r="BB1" s="20" t="s">
        <v>746</v>
      </c>
      <c r="BC1" s="20" t="s">
        <v>747</v>
      </c>
      <c r="BD1" s="21" t="s">
        <v>76</v>
      </c>
      <c r="BE1" s="21" t="s">
        <v>77</v>
      </c>
      <c r="BF1" s="21" t="s">
        <v>1293</v>
      </c>
      <c r="BG1" s="21" t="s">
        <v>1294</v>
      </c>
      <c r="BH1" s="21" t="s">
        <v>78</v>
      </c>
      <c r="BI1" s="21" t="s">
        <v>765</v>
      </c>
      <c r="BJ1" s="21" t="s">
        <v>1295</v>
      </c>
      <c r="BK1" s="21" t="s">
        <v>1296</v>
      </c>
      <c r="BM1" s="28" t="s">
        <v>1297</v>
      </c>
    </row>
    <row r="2" customFormat="false" ht="15" hidden="false" customHeight="true" outlineLevel="0" collapsed="false">
      <c r="BM2" s="30" t="s">
        <v>1080</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2967</v>
      </c>
      <c r="O1" s="24" t="s">
        <v>2968</v>
      </c>
      <c r="P1" s="24" t="s">
        <v>2969</v>
      </c>
      <c r="Q1" s="24" t="s">
        <v>2970</v>
      </c>
      <c r="R1" s="24" t="s">
        <v>2971</v>
      </c>
      <c r="S1" s="24" t="s">
        <v>2972</v>
      </c>
      <c r="T1" s="24" t="s">
        <v>2973</v>
      </c>
      <c r="U1" s="24" t="s">
        <v>2974</v>
      </c>
      <c r="V1" s="27" t="s">
        <v>2975</v>
      </c>
      <c r="W1" s="27" t="s">
        <v>2976</v>
      </c>
      <c r="X1" s="27" t="s">
        <v>2977</v>
      </c>
      <c r="Y1" s="27" t="s">
        <v>2978</v>
      </c>
      <c r="Z1" s="24" t="s">
        <v>2979</v>
      </c>
      <c r="AA1" s="24" t="s">
        <v>2980</v>
      </c>
      <c r="AB1" s="24" t="s">
        <v>2981</v>
      </c>
      <c r="AC1" s="24" t="s">
        <v>2982</v>
      </c>
      <c r="AD1" s="24" t="s">
        <v>2983</v>
      </c>
      <c r="AE1" s="24" t="s">
        <v>2984</v>
      </c>
      <c r="AF1" s="24" t="s">
        <v>2985</v>
      </c>
      <c r="AG1" s="24" t="s">
        <v>2986</v>
      </c>
      <c r="AH1" s="27" t="s">
        <v>2987</v>
      </c>
      <c r="AI1" s="27" t="s">
        <v>2988</v>
      </c>
      <c r="AJ1" s="27" t="s">
        <v>2989</v>
      </c>
      <c r="AK1" s="27" t="s">
        <v>2990</v>
      </c>
      <c r="AL1" s="24" t="s">
        <v>2991</v>
      </c>
      <c r="AM1" s="24" t="s">
        <v>2992</v>
      </c>
      <c r="AN1" s="24" t="s">
        <v>2993</v>
      </c>
      <c r="AO1" s="24" t="s">
        <v>2994</v>
      </c>
      <c r="AP1" s="24" t="s">
        <v>2995</v>
      </c>
      <c r="AQ1" s="24" t="s">
        <v>2996</v>
      </c>
      <c r="AR1" s="24" t="s">
        <v>2997</v>
      </c>
      <c r="AS1" s="24" t="s">
        <v>2998</v>
      </c>
      <c r="AT1" s="27" t="s">
        <v>2999</v>
      </c>
      <c r="AU1" s="27" t="s">
        <v>3000</v>
      </c>
      <c r="AV1" s="27" t="s">
        <v>3001</v>
      </c>
      <c r="AW1" s="27" t="s">
        <v>3002</v>
      </c>
      <c r="AX1" s="24" t="s">
        <v>3003</v>
      </c>
      <c r="AY1" s="24" t="s">
        <v>3004</v>
      </c>
      <c r="AZ1" s="24" t="s">
        <v>3005</v>
      </c>
      <c r="BA1" s="24" t="s">
        <v>3006</v>
      </c>
      <c r="BB1" s="24" t="s">
        <v>3007</v>
      </c>
      <c r="BC1" s="24" t="s">
        <v>3008</v>
      </c>
      <c r="BD1" s="24" t="s">
        <v>3009</v>
      </c>
      <c r="BE1" s="24" t="s">
        <v>3010</v>
      </c>
      <c r="BF1" s="27" t="s">
        <v>3011</v>
      </c>
      <c r="BG1" s="27" t="s">
        <v>3012</v>
      </c>
      <c r="BH1" s="27" t="s">
        <v>3013</v>
      </c>
      <c r="BI1" s="27" t="s">
        <v>3014</v>
      </c>
      <c r="BJ1" s="24" t="s">
        <v>3015</v>
      </c>
      <c r="BK1" s="24" t="s">
        <v>3016</v>
      </c>
      <c r="BL1" s="24" t="s">
        <v>3017</v>
      </c>
      <c r="BM1" s="24" t="s">
        <v>3018</v>
      </c>
      <c r="BN1" s="24" t="s">
        <v>3019</v>
      </c>
      <c r="BO1" s="24" t="s">
        <v>3020</v>
      </c>
      <c r="BP1" s="24" t="s">
        <v>3021</v>
      </c>
      <c r="BQ1" s="24" t="s">
        <v>3022</v>
      </c>
      <c r="BR1" s="27" t="s">
        <v>3023</v>
      </c>
      <c r="BS1" s="27" t="s">
        <v>3024</v>
      </c>
      <c r="BT1" s="27" t="s">
        <v>3025</v>
      </c>
      <c r="BU1" s="27" t="s">
        <v>3026</v>
      </c>
      <c r="BV1" s="25" t="s">
        <v>35</v>
      </c>
      <c r="BW1" s="25" t="s">
        <v>33</v>
      </c>
      <c r="BX1" s="25" t="s">
        <v>37</v>
      </c>
      <c r="BY1" s="20" t="s">
        <v>73</v>
      </c>
      <c r="BZ1" s="20" t="s">
        <v>750</v>
      </c>
      <c r="CA1" s="20" t="s">
        <v>751</v>
      </c>
      <c r="CB1" s="20" t="s">
        <v>74</v>
      </c>
      <c r="CC1" s="20" t="s">
        <v>1291</v>
      </c>
      <c r="CD1" s="20" t="s">
        <v>1292</v>
      </c>
      <c r="CE1" s="20" t="s">
        <v>752</v>
      </c>
      <c r="CF1" s="20" t="s">
        <v>753</v>
      </c>
      <c r="CG1" s="20" t="s">
        <v>75</v>
      </c>
      <c r="CH1" s="20" t="s">
        <v>748</v>
      </c>
      <c r="CI1" s="20" t="s">
        <v>749</v>
      </c>
      <c r="CJ1" s="20" t="s">
        <v>746</v>
      </c>
      <c r="CK1" s="20" t="s">
        <v>747</v>
      </c>
      <c r="CL1" s="21" t="s">
        <v>76</v>
      </c>
      <c r="CM1" s="21" t="s">
        <v>77</v>
      </c>
      <c r="CN1" s="21" t="s">
        <v>1293</v>
      </c>
      <c r="CO1" s="21" t="s">
        <v>1294</v>
      </c>
      <c r="CP1" s="21" t="s">
        <v>78</v>
      </c>
      <c r="CQ1" s="21" t="s">
        <v>765</v>
      </c>
      <c r="CR1" s="21" t="s">
        <v>1295</v>
      </c>
      <c r="CS1" s="21" t="s">
        <v>1296</v>
      </c>
      <c r="CU1" s="28" t="s">
        <v>1297</v>
      </c>
    </row>
    <row r="2" customFormat="false" ht="15" hidden="false" customHeight="true" outlineLevel="0" collapsed="false">
      <c r="A2" s="5" t="n">
        <v>165</v>
      </c>
      <c r="B2" s="5" t="n">
        <v>165</v>
      </c>
      <c r="C2" s="5" t="s">
        <v>786</v>
      </c>
      <c r="D2" s="5" t="n">
        <v>2012</v>
      </c>
      <c r="E2" s="5" t="s">
        <v>787</v>
      </c>
      <c r="F2" s="5" t="s">
        <v>790</v>
      </c>
      <c r="G2" s="5" t="s">
        <v>791</v>
      </c>
      <c r="H2" s="5" t="n">
        <v>28.633</v>
      </c>
      <c r="I2" s="5" t="n">
        <v>77.183</v>
      </c>
      <c r="J2" s="5" t="s">
        <v>83</v>
      </c>
      <c r="K2" s="5" t="s">
        <v>1732</v>
      </c>
      <c r="L2" s="5" t="s">
        <v>796</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1</v>
      </c>
      <c r="BW2" s="5" t="n">
        <v>3</v>
      </c>
      <c r="BX2" s="5" t="n">
        <f aca="false">IF(AND(N(BV2)&gt;0,N(BW2)&gt;0),SQRT(2*BV2/BW2),"")</f>
        <v>0.816496580927726</v>
      </c>
      <c r="BY2" s="5" t="n">
        <v>25.4</v>
      </c>
      <c r="BZ2" s="5"/>
      <c r="CA2" s="5"/>
      <c r="CB2" s="5"/>
      <c r="CC2" s="5" t="n">
        <v>28.633</v>
      </c>
      <c r="CD2" s="5" t="n">
        <v>1</v>
      </c>
      <c r="CE2" s="5"/>
      <c r="CF2" s="5"/>
      <c r="CG2" s="5" t="n">
        <v>8.16</v>
      </c>
      <c r="CH2" s="5" t="n">
        <v>5.2</v>
      </c>
      <c r="CI2" s="5" t="n">
        <v>1.5</v>
      </c>
      <c r="CJ2" s="5" t="n">
        <v>52.06</v>
      </c>
      <c r="CK2" s="5" t="n">
        <v>22.54</v>
      </c>
      <c r="CL2" s="5" t="s">
        <v>3027</v>
      </c>
      <c r="CM2" s="5" t="s">
        <v>1308</v>
      </c>
      <c r="CN2" s="5" t="s">
        <v>3028</v>
      </c>
      <c r="CO2" s="5" t="s">
        <v>1310</v>
      </c>
      <c r="CP2" s="5" t="s">
        <v>1302</v>
      </c>
      <c r="CQ2" s="22" t="s">
        <v>3029</v>
      </c>
      <c r="CR2" s="5" t="s">
        <v>804</v>
      </c>
      <c r="CS2" s="5" t="s">
        <v>3030</v>
      </c>
      <c r="CU2" s="31" t="s">
        <v>1082</v>
      </c>
    </row>
    <row r="3" customFormat="false" ht="15" hidden="false" customHeight="true" outlineLevel="0" collapsed="false">
      <c r="A3" s="5" t="n">
        <v>165</v>
      </c>
      <c r="B3" s="5" t="n">
        <v>165</v>
      </c>
      <c r="C3" s="5" t="s">
        <v>786</v>
      </c>
      <c r="D3" s="5" t="n">
        <v>2012</v>
      </c>
      <c r="E3" s="5" t="s">
        <v>787</v>
      </c>
      <c r="F3" s="5" t="s">
        <v>790</v>
      </c>
      <c r="G3" s="5" t="s">
        <v>791</v>
      </c>
      <c r="H3" s="5" t="n">
        <v>28.633</v>
      </c>
      <c r="I3" s="5" t="n">
        <v>77.183</v>
      </c>
      <c r="J3" s="5" t="s">
        <v>83</v>
      </c>
      <c r="K3" s="5" t="s">
        <v>1732</v>
      </c>
      <c r="L3" s="5" t="s">
        <v>796</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1</v>
      </c>
      <c r="BW3" s="5" t="n">
        <v>3</v>
      </c>
      <c r="BX3" s="5" t="n">
        <f aca="false">IF(AND(N(BV3)&gt;0,N(BW3)&gt;0),SQRT(2*BV3/BW3),"")</f>
        <v>0.816496580927726</v>
      </c>
      <c r="BY3" s="5" t="n">
        <v>25.4</v>
      </c>
      <c r="BZ3" s="5"/>
      <c r="CA3" s="5"/>
      <c r="CB3" s="5"/>
      <c r="CC3" s="5" t="n">
        <v>28.633</v>
      </c>
      <c r="CD3" s="5" t="n">
        <v>1</v>
      </c>
      <c r="CE3" s="5"/>
      <c r="CF3" s="5"/>
      <c r="CG3" s="5" t="n">
        <v>8.16</v>
      </c>
      <c r="CH3" s="5" t="n">
        <v>5.2</v>
      </c>
      <c r="CI3" s="5" t="n">
        <v>1.5</v>
      </c>
      <c r="CJ3" s="5" t="n">
        <v>52.06</v>
      </c>
      <c r="CK3" s="5" t="n">
        <v>22.54</v>
      </c>
      <c r="CL3" s="5" t="s">
        <v>3027</v>
      </c>
      <c r="CM3" s="5" t="s">
        <v>1314</v>
      </c>
      <c r="CN3" s="5" t="s">
        <v>3028</v>
      </c>
      <c r="CO3" s="5" t="s">
        <v>1310</v>
      </c>
      <c r="CP3" s="5" t="s">
        <v>1302</v>
      </c>
      <c r="CQ3" s="22" t="s">
        <v>3031</v>
      </c>
      <c r="CR3" s="5" t="s">
        <v>804</v>
      </c>
      <c r="CS3" s="5" t="s">
        <v>3030</v>
      </c>
    </row>
    <row r="4" customFormat="false" ht="15" hidden="false" customHeight="true" outlineLevel="0" collapsed="false">
      <c r="A4" s="5" t="n">
        <v>165</v>
      </c>
      <c r="B4" s="5" t="n">
        <v>165</v>
      </c>
      <c r="C4" s="5" t="s">
        <v>786</v>
      </c>
      <c r="D4" s="5" t="n">
        <v>2012</v>
      </c>
      <c r="E4" s="5" t="s">
        <v>787</v>
      </c>
      <c r="F4" s="5" t="s">
        <v>790</v>
      </c>
      <c r="G4" s="5" t="s">
        <v>791</v>
      </c>
      <c r="H4" s="5" t="n">
        <v>28.633</v>
      </c>
      <c r="I4" s="5" t="n">
        <v>77.183</v>
      </c>
      <c r="J4" s="5" t="s">
        <v>83</v>
      </c>
      <c r="K4" s="5" t="s">
        <v>1307</v>
      </c>
      <c r="L4" s="5" t="s">
        <v>796</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1</v>
      </c>
      <c r="BW4" s="5" t="n">
        <v>3</v>
      </c>
      <c r="BX4" s="5" t="n">
        <f aca="false">IF(AND(N(BV4)&gt;0,N(BW4)&gt;0),SQRT(2*BV4/BW4),"")</f>
        <v>0.816496580927726</v>
      </c>
      <c r="BY4" s="5" t="n">
        <v>25.4</v>
      </c>
      <c r="BZ4" s="5"/>
      <c r="CA4" s="5"/>
      <c r="CB4" s="5"/>
      <c r="CC4" s="5" t="n">
        <v>28.633</v>
      </c>
      <c r="CD4" s="5" t="n">
        <v>2</v>
      </c>
      <c r="CE4" s="5"/>
      <c r="CF4" s="5"/>
      <c r="CG4" s="5" t="n">
        <v>8.16</v>
      </c>
      <c r="CH4" s="5" t="n">
        <v>5.2</v>
      </c>
      <c r="CI4" s="5" t="n">
        <v>1.5</v>
      </c>
      <c r="CJ4" s="5" t="n">
        <v>52.06</v>
      </c>
      <c r="CK4" s="5" t="n">
        <v>22.54</v>
      </c>
      <c r="CL4" s="5" t="s">
        <v>3027</v>
      </c>
      <c r="CM4" s="5" t="s">
        <v>1308</v>
      </c>
      <c r="CN4" s="5" t="s">
        <v>3032</v>
      </c>
      <c r="CO4" s="5" t="s">
        <v>1310</v>
      </c>
      <c r="CP4" s="5" t="s">
        <v>1302</v>
      </c>
      <c r="CQ4" s="22" t="s">
        <v>3033</v>
      </c>
      <c r="CR4" s="5" t="s">
        <v>804</v>
      </c>
      <c r="CS4" s="5" t="s">
        <v>3030</v>
      </c>
    </row>
    <row r="5" customFormat="false" ht="15" hidden="false" customHeight="true" outlineLevel="0" collapsed="false">
      <c r="A5" s="5" t="n">
        <v>165</v>
      </c>
      <c r="B5" s="5" t="n">
        <v>165</v>
      </c>
      <c r="C5" s="5" t="s">
        <v>786</v>
      </c>
      <c r="D5" s="5" t="n">
        <v>2012</v>
      </c>
      <c r="E5" s="5" t="s">
        <v>787</v>
      </c>
      <c r="F5" s="5" t="s">
        <v>790</v>
      </c>
      <c r="G5" s="5" t="s">
        <v>791</v>
      </c>
      <c r="H5" s="5" t="n">
        <v>28.633</v>
      </c>
      <c r="I5" s="5" t="n">
        <v>77.183</v>
      </c>
      <c r="J5" s="5" t="s">
        <v>83</v>
      </c>
      <c r="K5" s="5" t="s">
        <v>1307</v>
      </c>
      <c r="L5" s="5" t="s">
        <v>796</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1</v>
      </c>
      <c r="BW5" s="5" t="n">
        <v>3</v>
      </c>
      <c r="BX5" s="5" t="n">
        <f aca="false">IF(AND(N(BV5)&gt;0,N(BW5)&gt;0),SQRT(2*BV5/BW5),"")</f>
        <v>0.816496580927726</v>
      </c>
      <c r="BY5" s="5" t="n">
        <v>25.4</v>
      </c>
      <c r="BZ5" s="5"/>
      <c r="CA5" s="5"/>
      <c r="CB5" s="5"/>
      <c r="CC5" s="5" t="n">
        <v>28.633</v>
      </c>
      <c r="CD5" s="5" t="n">
        <v>2</v>
      </c>
      <c r="CE5" s="5"/>
      <c r="CF5" s="5"/>
      <c r="CG5" s="5" t="n">
        <v>8.16</v>
      </c>
      <c r="CH5" s="5" t="n">
        <v>5.2</v>
      </c>
      <c r="CI5" s="5" t="n">
        <v>1.5</v>
      </c>
      <c r="CJ5" s="5" t="n">
        <v>52.06</v>
      </c>
      <c r="CK5" s="5" t="n">
        <v>22.54</v>
      </c>
      <c r="CL5" s="5" t="s">
        <v>3027</v>
      </c>
      <c r="CM5" s="5" t="s">
        <v>1314</v>
      </c>
      <c r="CN5" s="5" t="s">
        <v>3032</v>
      </c>
      <c r="CO5" s="5" t="s">
        <v>1310</v>
      </c>
      <c r="CP5" s="5" t="s">
        <v>1302</v>
      </c>
      <c r="CQ5" s="22" t="s">
        <v>3034</v>
      </c>
      <c r="CR5" s="5" t="s">
        <v>804</v>
      </c>
      <c r="CS5" s="5" t="s">
        <v>3030</v>
      </c>
    </row>
    <row r="6" customFormat="false" ht="15" hidden="false" customHeight="true" outlineLevel="0" collapsed="false">
      <c r="A6" s="5" t="n">
        <v>166</v>
      </c>
      <c r="B6" s="5" t="n">
        <v>166</v>
      </c>
      <c r="C6" s="5" t="s">
        <v>807</v>
      </c>
      <c r="D6" s="5" t="n">
        <v>2014</v>
      </c>
      <c r="E6" s="5" t="s">
        <v>808</v>
      </c>
      <c r="F6" s="5" t="s">
        <v>811</v>
      </c>
      <c r="G6" s="5" t="s">
        <v>812</v>
      </c>
      <c r="H6" s="5" t="n">
        <v>29.067</v>
      </c>
      <c r="I6" s="5" t="n">
        <v>77.767</v>
      </c>
      <c r="J6" s="5" t="s">
        <v>83</v>
      </c>
      <c r="K6" s="5" t="s">
        <v>3035</v>
      </c>
      <c r="L6" s="5" t="s">
        <v>796</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3036</v>
      </c>
      <c r="CM6" s="5" t="s">
        <v>1402</v>
      </c>
      <c r="CN6" s="5" t="s">
        <v>3037</v>
      </c>
      <c r="CO6" s="5" t="s">
        <v>1404</v>
      </c>
      <c r="CP6" s="5" t="s">
        <v>3038</v>
      </c>
      <c r="CQ6" s="22" t="s">
        <v>3039</v>
      </c>
      <c r="CR6" s="5" t="s">
        <v>823</v>
      </c>
      <c r="CS6" s="5" t="s">
        <v>3040</v>
      </c>
    </row>
    <row r="7" customFormat="false" ht="15" hidden="false" customHeight="true" outlineLevel="0" collapsed="false">
      <c r="A7" s="5" t="n">
        <v>166</v>
      </c>
      <c r="B7" s="5" t="n">
        <v>166</v>
      </c>
      <c r="C7" s="5" t="s">
        <v>807</v>
      </c>
      <c r="D7" s="5" t="n">
        <v>2014</v>
      </c>
      <c r="E7" s="5" t="s">
        <v>808</v>
      </c>
      <c r="F7" s="5" t="s">
        <v>811</v>
      </c>
      <c r="G7" s="5" t="s">
        <v>812</v>
      </c>
      <c r="H7" s="5" t="n">
        <v>29.067</v>
      </c>
      <c r="I7" s="5" t="n">
        <v>77.767</v>
      </c>
      <c r="J7" s="5" t="s">
        <v>83</v>
      </c>
      <c r="K7" s="5" t="s">
        <v>3041</v>
      </c>
      <c r="L7" s="5" t="s">
        <v>777</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3036</v>
      </c>
      <c r="CM7" s="5" t="s">
        <v>1402</v>
      </c>
      <c r="CN7" s="5" t="s">
        <v>3042</v>
      </c>
      <c r="CO7" s="5" t="s">
        <v>1404</v>
      </c>
      <c r="CP7" s="5" t="s">
        <v>3038</v>
      </c>
      <c r="CQ7" s="22" t="s">
        <v>3043</v>
      </c>
      <c r="CR7" s="5" t="s">
        <v>823</v>
      </c>
      <c r="CS7" s="5" t="s">
        <v>3040</v>
      </c>
    </row>
    <row r="8" customFormat="false" ht="15" hidden="false" customHeight="true" outlineLevel="0" collapsed="false">
      <c r="A8" s="5" t="n">
        <v>164</v>
      </c>
      <c r="B8" s="5" t="n">
        <v>164</v>
      </c>
      <c r="C8" s="5" t="s">
        <v>766</v>
      </c>
      <c r="D8" s="5" t="n">
        <v>2000</v>
      </c>
      <c r="E8" s="5" t="s">
        <v>767</v>
      </c>
      <c r="F8" s="5" t="s">
        <v>841</v>
      </c>
      <c r="G8" s="5" t="s">
        <v>1741</v>
      </c>
      <c r="H8" s="5" t="n">
        <v>30.933</v>
      </c>
      <c r="I8" s="5" t="n">
        <v>75.867</v>
      </c>
      <c r="J8" s="5" t="s">
        <v>845</v>
      </c>
      <c r="K8" s="5" t="s">
        <v>3044</v>
      </c>
      <c r="L8" s="5" t="s">
        <v>796</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v>
      </c>
      <c r="BW8" s="5" t="n">
        <v>4</v>
      </c>
      <c r="BX8" s="5" t="n">
        <f aca="false">IF(AND(N(BV8)&gt;0,N(BW8)&gt;0),SQRT(2*BV8/BW8),"")</f>
        <v>0.707106781186548</v>
      </c>
      <c r="BY8" s="5"/>
      <c r="BZ8" s="5"/>
      <c r="CA8" s="5"/>
      <c r="CB8" s="5" t="n">
        <v>500</v>
      </c>
      <c r="CC8" s="5" t="n">
        <v>30.933</v>
      </c>
      <c r="CD8" s="5" t="n">
        <v>1</v>
      </c>
      <c r="CE8" s="5"/>
      <c r="CF8" s="5"/>
      <c r="CG8" s="5"/>
      <c r="CH8" s="5" t="n">
        <v>3.1</v>
      </c>
      <c r="CI8" s="5"/>
      <c r="CJ8" s="5"/>
      <c r="CK8" s="5"/>
      <c r="CL8" s="5" t="s">
        <v>3045</v>
      </c>
      <c r="CM8" s="5" t="s">
        <v>1743</v>
      </c>
      <c r="CN8" s="5" t="s">
        <v>3046</v>
      </c>
      <c r="CO8" s="5" t="s">
        <v>1745</v>
      </c>
      <c r="CP8" s="5" t="s">
        <v>3047</v>
      </c>
      <c r="CQ8" s="22" t="s">
        <v>3048</v>
      </c>
      <c r="CR8" s="5" t="s">
        <v>782</v>
      </c>
      <c r="CS8" s="5" t="s">
        <v>3049</v>
      </c>
    </row>
    <row r="9" customFormat="false" ht="15" hidden="false" customHeight="true" outlineLevel="0" collapsed="false">
      <c r="A9" s="5" t="n">
        <v>164</v>
      </c>
      <c r="B9" s="5" t="n">
        <v>164</v>
      </c>
      <c r="C9" s="5" t="s">
        <v>766</v>
      </c>
      <c r="D9" s="5" t="n">
        <v>2000</v>
      </c>
      <c r="E9" s="5" t="s">
        <v>767</v>
      </c>
      <c r="F9" s="5" t="s">
        <v>841</v>
      </c>
      <c r="G9" s="5" t="s">
        <v>1741</v>
      </c>
      <c r="H9" s="5" t="n">
        <v>30.933</v>
      </c>
      <c r="I9" s="5" t="n">
        <v>75.867</v>
      </c>
      <c r="J9" s="5" t="s">
        <v>845</v>
      </c>
      <c r="K9" s="5" t="s">
        <v>3050</v>
      </c>
      <c r="L9" s="5" t="s">
        <v>796</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v>
      </c>
      <c r="BW9" s="5" t="n">
        <v>4</v>
      </c>
      <c r="BX9" s="5" t="n">
        <f aca="false">IF(AND(N(BV9)&gt;0,N(BW9)&gt;0),SQRT(2*BV9/BW9),"")</f>
        <v>0.707106781186548</v>
      </c>
      <c r="BY9" s="5"/>
      <c r="BZ9" s="5"/>
      <c r="CA9" s="5"/>
      <c r="CB9" s="5" t="n">
        <v>500</v>
      </c>
      <c r="CC9" s="5" t="n">
        <v>30.933</v>
      </c>
      <c r="CD9" s="5" t="n">
        <v>2</v>
      </c>
      <c r="CE9" s="5"/>
      <c r="CF9" s="5"/>
      <c r="CG9" s="5"/>
      <c r="CH9" s="5" t="n">
        <v>3.1</v>
      </c>
      <c r="CI9" s="5"/>
      <c r="CJ9" s="5"/>
      <c r="CK9" s="5"/>
      <c r="CL9" s="5" t="s">
        <v>3045</v>
      </c>
      <c r="CM9" s="5" t="s">
        <v>1743</v>
      </c>
      <c r="CN9" s="5" t="s">
        <v>3051</v>
      </c>
      <c r="CO9" s="5" t="s">
        <v>1745</v>
      </c>
      <c r="CP9" s="5" t="s">
        <v>3047</v>
      </c>
      <c r="CQ9" s="22" t="s">
        <v>3048</v>
      </c>
      <c r="CR9" s="5" t="s">
        <v>782</v>
      </c>
      <c r="CS9" s="5" t="s">
        <v>3049</v>
      </c>
    </row>
    <row r="10" customFormat="false" ht="15" hidden="false" customHeight="true" outlineLevel="0" collapsed="false">
      <c r="A10" s="5" t="n">
        <v>164</v>
      </c>
      <c r="B10" s="5" t="n">
        <v>164</v>
      </c>
      <c r="C10" s="5" t="s">
        <v>766</v>
      </c>
      <c r="D10" s="5" t="n">
        <v>2000</v>
      </c>
      <c r="E10" s="5" t="s">
        <v>767</v>
      </c>
      <c r="F10" s="5" t="s">
        <v>841</v>
      </c>
      <c r="G10" s="5" t="s">
        <v>1741</v>
      </c>
      <c r="H10" s="5" t="n">
        <v>30.933</v>
      </c>
      <c r="I10" s="5" t="n">
        <v>75.867</v>
      </c>
      <c r="J10" s="5" t="s">
        <v>845</v>
      </c>
      <c r="K10" s="5" t="s">
        <v>3052</v>
      </c>
      <c r="L10" s="5" t="s">
        <v>796</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v>
      </c>
      <c r="BW10" s="5" t="n">
        <v>4</v>
      </c>
      <c r="BX10" s="5" t="n">
        <f aca="false">IF(AND(N(BV10)&gt;0,N(BW10)&gt;0),SQRT(2*BV10/BW10),"")</f>
        <v>0.707106781186548</v>
      </c>
      <c r="BY10" s="5"/>
      <c r="BZ10" s="5"/>
      <c r="CA10" s="5"/>
      <c r="CB10" s="5" t="n">
        <v>500</v>
      </c>
      <c r="CC10" s="5" t="n">
        <v>30.933</v>
      </c>
      <c r="CD10" s="5" t="n">
        <v>3</v>
      </c>
      <c r="CE10" s="5"/>
      <c r="CF10" s="5"/>
      <c r="CG10" s="5"/>
      <c r="CH10" s="5" t="n">
        <v>3.1</v>
      </c>
      <c r="CI10" s="5"/>
      <c r="CJ10" s="5"/>
      <c r="CK10" s="5"/>
      <c r="CL10" s="5" t="s">
        <v>3045</v>
      </c>
      <c r="CM10" s="5" t="s">
        <v>1743</v>
      </c>
      <c r="CN10" s="5" t="s">
        <v>3053</v>
      </c>
      <c r="CO10" s="5" t="s">
        <v>1745</v>
      </c>
      <c r="CP10" s="5" t="s">
        <v>3047</v>
      </c>
      <c r="CQ10" s="22" t="s">
        <v>3048</v>
      </c>
      <c r="CR10" s="5" t="s">
        <v>782</v>
      </c>
      <c r="CS10" s="5" t="s">
        <v>3049</v>
      </c>
    </row>
    <row r="11" customFormat="false" ht="15" hidden="false" customHeight="true" outlineLevel="0" collapsed="false">
      <c r="A11" s="5" t="n">
        <v>164</v>
      </c>
      <c r="B11" s="5" t="n">
        <v>164</v>
      </c>
      <c r="C11" s="5" t="s">
        <v>766</v>
      </c>
      <c r="D11" s="5" t="n">
        <v>2000</v>
      </c>
      <c r="E11" s="5" t="s">
        <v>767</v>
      </c>
      <c r="F11" s="5" t="s">
        <v>841</v>
      </c>
      <c r="G11" s="5" t="s">
        <v>1741</v>
      </c>
      <c r="H11" s="5" t="n">
        <v>30.933</v>
      </c>
      <c r="I11" s="5" t="n">
        <v>75.867</v>
      </c>
      <c r="J11" s="5" t="s">
        <v>845</v>
      </c>
      <c r="K11" s="5" t="s">
        <v>3054</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v>
      </c>
      <c r="BW11" s="5" t="n">
        <v>4</v>
      </c>
      <c r="BX11" s="5" t="n">
        <f aca="false">IF(AND(N(BV11)&gt;0,N(BW11)&gt;0),SQRT(2*BV11/BW11),"")</f>
        <v>0.707106781186548</v>
      </c>
      <c r="BY11" s="5"/>
      <c r="BZ11" s="5"/>
      <c r="CA11" s="5"/>
      <c r="CB11" s="5" t="n">
        <v>500</v>
      </c>
      <c r="CC11" s="5" t="n">
        <v>30.933</v>
      </c>
      <c r="CD11" s="5" t="n">
        <v>4</v>
      </c>
      <c r="CE11" s="5"/>
      <c r="CF11" s="5"/>
      <c r="CG11" s="5"/>
      <c r="CH11" s="5" t="n">
        <v>3.1</v>
      </c>
      <c r="CI11" s="5"/>
      <c r="CJ11" s="5"/>
      <c r="CK11" s="5"/>
      <c r="CL11" s="5" t="s">
        <v>3045</v>
      </c>
      <c r="CM11" s="5" t="s">
        <v>1743</v>
      </c>
      <c r="CN11" s="5" t="s">
        <v>3055</v>
      </c>
      <c r="CO11" s="5" t="s">
        <v>1745</v>
      </c>
      <c r="CP11" s="5" t="s">
        <v>3047</v>
      </c>
      <c r="CQ11" s="22" t="s">
        <v>3048</v>
      </c>
      <c r="CR11" s="5" t="s">
        <v>782</v>
      </c>
      <c r="CS11" s="5" t="s">
        <v>3049</v>
      </c>
    </row>
    <row r="12" customFormat="false" ht="15" hidden="false" customHeight="true" outlineLevel="0" collapsed="false">
      <c r="A12" s="5" t="n">
        <v>164</v>
      </c>
      <c r="B12" s="5" t="n">
        <v>164</v>
      </c>
      <c r="C12" s="5" t="s">
        <v>766</v>
      </c>
      <c r="D12" s="5" t="n">
        <v>2000</v>
      </c>
      <c r="E12" s="5" t="s">
        <v>767</v>
      </c>
      <c r="F12" s="5" t="s">
        <v>841</v>
      </c>
      <c r="G12" s="5" t="s">
        <v>1741</v>
      </c>
      <c r="H12" s="5" t="n">
        <v>30.933</v>
      </c>
      <c r="I12" s="5" t="n">
        <v>75.867</v>
      </c>
      <c r="J12" s="5" t="s">
        <v>845</v>
      </c>
      <c r="K12" s="5" t="s">
        <v>3056</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v>
      </c>
      <c r="BW12" s="5" t="n">
        <v>4</v>
      </c>
      <c r="BX12" s="5" t="n">
        <f aca="false">IF(AND(N(BV12)&gt;0,N(BW12)&gt;0),SQRT(2*BV12/BW12),"")</f>
        <v>0.707106781186548</v>
      </c>
      <c r="BY12" s="5"/>
      <c r="BZ12" s="5"/>
      <c r="CA12" s="5"/>
      <c r="CB12" s="5" t="n">
        <v>500</v>
      </c>
      <c r="CC12" s="5" t="n">
        <v>30.933</v>
      </c>
      <c r="CD12" s="5" t="n">
        <v>5</v>
      </c>
      <c r="CE12" s="5"/>
      <c r="CF12" s="5"/>
      <c r="CG12" s="5"/>
      <c r="CH12" s="5" t="n">
        <v>3.1</v>
      </c>
      <c r="CI12" s="5"/>
      <c r="CJ12" s="5"/>
      <c r="CK12" s="5"/>
      <c r="CL12" s="5" t="s">
        <v>3045</v>
      </c>
      <c r="CM12" s="5" t="s">
        <v>1743</v>
      </c>
      <c r="CN12" s="5" t="s">
        <v>3057</v>
      </c>
      <c r="CO12" s="5" t="s">
        <v>1745</v>
      </c>
      <c r="CP12" s="5" t="s">
        <v>3047</v>
      </c>
      <c r="CQ12" s="22" t="s">
        <v>3048</v>
      </c>
      <c r="CR12" s="5" t="s">
        <v>782</v>
      </c>
      <c r="CS12" s="5" t="s">
        <v>3049</v>
      </c>
    </row>
    <row r="13" customFormat="false" ht="15" hidden="false" customHeight="true" outlineLevel="0" collapsed="false">
      <c r="A13" s="5" t="n">
        <v>164</v>
      </c>
      <c r="B13" s="5" t="n">
        <v>164</v>
      </c>
      <c r="C13" s="5" t="s">
        <v>766</v>
      </c>
      <c r="D13" s="5" t="n">
        <v>2000</v>
      </c>
      <c r="E13" s="5" t="s">
        <v>767</v>
      </c>
      <c r="F13" s="5" t="s">
        <v>841</v>
      </c>
      <c r="G13" s="5" t="s">
        <v>1741</v>
      </c>
      <c r="H13" s="5" t="n">
        <v>30.933</v>
      </c>
      <c r="I13" s="5" t="n">
        <v>75.867</v>
      </c>
      <c r="J13" s="5" t="s">
        <v>845</v>
      </c>
      <c r="K13" s="5" t="s">
        <v>3058</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v>
      </c>
      <c r="BW13" s="5" t="n">
        <v>4</v>
      </c>
      <c r="BX13" s="5" t="n">
        <f aca="false">IF(AND(N(BV13)&gt;0,N(BW13)&gt;0),SQRT(2*BV13/BW13),"")</f>
        <v>0.707106781186548</v>
      </c>
      <c r="BY13" s="5"/>
      <c r="BZ13" s="5"/>
      <c r="CA13" s="5"/>
      <c r="CB13" s="5" t="n">
        <v>500</v>
      </c>
      <c r="CC13" s="5" t="n">
        <v>30.933</v>
      </c>
      <c r="CD13" s="5" t="n">
        <v>6</v>
      </c>
      <c r="CE13" s="5"/>
      <c r="CF13" s="5"/>
      <c r="CG13" s="5"/>
      <c r="CH13" s="5" t="n">
        <v>3.1</v>
      </c>
      <c r="CI13" s="5"/>
      <c r="CJ13" s="5"/>
      <c r="CK13" s="5"/>
      <c r="CL13" s="5" t="s">
        <v>3045</v>
      </c>
      <c r="CM13" s="5" t="s">
        <v>1743</v>
      </c>
      <c r="CN13" s="5" t="s">
        <v>3059</v>
      </c>
      <c r="CO13" s="5" t="s">
        <v>1745</v>
      </c>
      <c r="CP13" s="5" t="s">
        <v>3047</v>
      </c>
      <c r="CQ13" s="22" t="s">
        <v>3048</v>
      </c>
      <c r="CR13" s="5" t="s">
        <v>782</v>
      </c>
      <c r="CS13" s="5" t="s">
        <v>3049</v>
      </c>
    </row>
    <row r="14" customFormat="false" ht="15" hidden="false" customHeight="true" outlineLevel="0" collapsed="false">
      <c r="A14" s="5" t="n">
        <v>164</v>
      </c>
      <c r="B14" s="5" t="n">
        <v>164</v>
      </c>
      <c r="C14" s="5" t="s">
        <v>766</v>
      </c>
      <c r="D14" s="5" t="n">
        <v>2000</v>
      </c>
      <c r="E14" s="5" t="s">
        <v>767</v>
      </c>
      <c r="F14" s="5" t="s">
        <v>841</v>
      </c>
      <c r="G14" s="5" t="s">
        <v>1741</v>
      </c>
      <c r="H14" s="5" t="n">
        <v>30.933</v>
      </c>
      <c r="I14" s="5" t="n">
        <v>75.867</v>
      </c>
      <c r="J14" s="5" t="s">
        <v>845</v>
      </c>
      <c r="K14" s="5" t="s">
        <v>3060</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v>
      </c>
      <c r="BW14" s="5" t="n">
        <v>4</v>
      </c>
      <c r="BX14" s="5" t="n">
        <f aca="false">IF(AND(N(BV14)&gt;0,N(BW14)&gt;0),SQRT(2*BV14/BW14),"")</f>
        <v>0.707106781186548</v>
      </c>
      <c r="BY14" s="5"/>
      <c r="BZ14" s="5"/>
      <c r="CA14" s="5"/>
      <c r="CB14" s="5" t="n">
        <v>500</v>
      </c>
      <c r="CC14" s="5" t="n">
        <v>30.933</v>
      </c>
      <c r="CD14" s="5" t="n">
        <v>7</v>
      </c>
      <c r="CE14" s="5"/>
      <c r="CF14" s="5"/>
      <c r="CG14" s="5"/>
      <c r="CH14" s="5" t="n">
        <v>3.1</v>
      </c>
      <c r="CI14" s="5"/>
      <c r="CJ14" s="5"/>
      <c r="CK14" s="5"/>
      <c r="CL14" s="5" t="s">
        <v>3045</v>
      </c>
      <c r="CM14" s="5" t="s">
        <v>1743</v>
      </c>
      <c r="CN14" s="5" t="s">
        <v>3061</v>
      </c>
      <c r="CO14" s="5" t="s">
        <v>1745</v>
      </c>
      <c r="CP14" s="5" t="s">
        <v>3047</v>
      </c>
      <c r="CQ14" s="22" t="s">
        <v>3048</v>
      </c>
      <c r="CR14" s="5" t="s">
        <v>782</v>
      </c>
      <c r="CS14" s="5" t="s">
        <v>3049</v>
      </c>
    </row>
    <row r="15" customFormat="false" ht="15" hidden="false" customHeight="true" outlineLevel="0" collapsed="false">
      <c r="A15" s="5" t="n">
        <v>164</v>
      </c>
      <c r="B15" s="5" t="n">
        <v>164</v>
      </c>
      <c r="C15" s="5" t="s">
        <v>766</v>
      </c>
      <c r="D15" s="5" t="n">
        <v>2000</v>
      </c>
      <c r="E15" s="5" t="s">
        <v>767</v>
      </c>
      <c r="F15" s="5" t="s">
        <v>841</v>
      </c>
      <c r="G15" s="5" t="s">
        <v>1741</v>
      </c>
      <c r="H15" s="5" t="n">
        <v>30.933</v>
      </c>
      <c r="I15" s="5" t="n">
        <v>75.867</v>
      </c>
      <c r="J15" s="5" t="s">
        <v>845</v>
      </c>
      <c r="K15" s="5" t="s">
        <v>3062</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v>
      </c>
      <c r="BW15" s="5" t="n">
        <v>4</v>
      </c>
      <c r="BX15" s="5" t="n">
        <f aca="false">IF(AND(N(BV15)&gt;0,N(BW15)&gt;0),SQRT(2*BV15/BW15),"")</f>
        <v>0.707106781186548</v>
      </c>
      <c r="BY15" s="5"/>
      <c r="BZ15" s="5"/>
      <c r="CA15" s="5"/>
      <c r="CB15" s="5" t="n">
        <v>500</v>
      </c>
      <c r="CC15" s="5" t="n">
        <v>30.933</v>
      </c>
      <c r="CD15" s="5" t="n">
        <v>8</v>
      </c>
      <c r="CE15" s="5"/>
      <c r="CF15" s="5"/>
      <c r="CG15" s="5"/>
      <c r="CH15" s="5" t="n">
        <v>3.1</v>
      </c>
      <c r="CI15" s="5"/>
      <c r="CJ15" s="5"/>
      <c r="CK15" s="5"/>
      <c r="CL15" s="5" t="s">
        <v>3045</v>
      </c>
      <c r="CM15" s="5" t="s">
        <v>1743</v>
      </c>
      <c r="CN15" s="5" t="s">
        <v>3063</v>
      </c>
      <c r="CO15" s="5" t="s">
        <v>1745</v>
      </c>
      <c r="CP15" s="5" t="s">
        <v>3047</v>
      </c>
      <c r="CQ15" s="22" t="s">
        <v>3048</v>
      </c>
      <c r="CR15" s="5" t="s">
        <v>782</v>
      </c>
      <c r="CS15" s="5" t="s">
        <v>3049</v>
      </c>
    </row>
    <row r="16" customFormat="false" ht="15" hidden="false" customHeight="true" outlineLevel="0" collapsed="false">
      <c r="A16" s="5" t="n">
        <v>164</v>
      </c>
      <c r="B16" s="5" t="n">
        <v>164</v>
      </c>
      <c r="C16" s="5" t="s">
        <v>766</v>
      </c>
      <c r="D16" s="5" t="n">
        <v>2000</v>
      </c>
      <c r="E16" s="5" t="s">
        <v>767</v>
      </c>
      <c r="F16" s="5" t="s">
        <v>841</v>
      </c>
      <c r="G16" s="5" t="s">
        <v>1741</v>
      </c>
      <c r="H16" s="5" t="n">
        <v>30.933</v>
      </c>
      <c r="I16" s="5" t="n">
        <v>75.867</v>
      </c>
      <c r="J16" s="5" t="s">
        <v>845</v>
      </c>
      <c r="K16" s="5" t="s">
        <v>3064</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v>
      </c>
      <c r="BW16" s="5" t="n">
        <v>4</v>
      </c>
      <c r="BX16" s="5" t="n">
        <f aca="false">IF(AND(N(BV16)&gt;0,N(BW16)&gt;0),SQRT(2*BV16/BW16),"")</f>
        <v>0.707106781186548</v>
      </c>
      <c r="BY16" s="5"/>
      <c r="BZ16" s="5"/>
      <c r="CA16" s="5"/>
      <c r="CB16" s="5" t="n">
        <v>500</v>
      </c>
      <c r="CC16" s="5" t="n">
        <v>30.933</v>
      </c>
      <c r="CD16" s="5" t="n">
        <v>9</v>
      </c>
      <c r="CE16" s="5"/>
      <c r="CF16" s="5"/>
      <c r="CG16" s="5"/>
      <c r="CH16" s="5" t="n">
        <v>3.1</v>
      </c>
      <c r="CI16" s="5"/>
      <c r="CJ16" s="5"/>
      <c r="CK16" s="5"/>
      <c r="CL16" s="5" t="s">
        <v>3045</v>
      </c>
      <c r="CM16" s="5" t="s">
        <v>1743</v>
      </c>
      <c r="CN16" s="5" t="s">
        <v>3065</v>
      </c>
      <c r="CO16" s="5" t="s">
        <v>1745</v>
      </c>
      <c r="CP16" s="5" t="s">
        <v>3047</v>
      </c>
      <c r="CQ16" s="22" t="s">
        <v>3048</v>
      </c>
      <c r="CR16" s="5" t="s">
        <v>782</v>
      </c>
      <c r="CS16" s="5" t="s">
        <v>3049</v>
      </c>
    </row>
    <row r="17" customFormat="false" ht="15" hidden="false" customHeight="true" outlineLevel="0" collapsed="false">
      <c r="A17" s="5" t="n">
        <v>164</v>
      </c>
      <c r="B17" s="5" t="n">
        <v>164</v>
      </c>
      <c r="C17" s="5" t="s">
        <v>766</v>
      </c>
      <c r="D17" s="5" t="n">
        <v>2000</v>
      </c>
      <c r="E17" s="5" t="s">
        <v>767</v>
      </c>
      <c r="F17" s="5" t="s">
        <v>841</v>
      </c>
      <c r="G17" s="5" t="s">
        <v>1741</v>
      </c>
      <c r="H17" s="5" t="n">
        <v>30.933</v>
      </c>
      <c r="I17" s="5" t="n">
        <v>75.867</v>
      </c>
      <c r="J17" s="5" t="s">
        <v>845</v>
      </c>
      <c r="K17" s="5" t="s">
        <v>3066</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v>
      </c>
      <c r="BW17" s="5" t="n">
        <v>4</v>
      </c>
      <c r="BX17" s="5" t="n">
        <f aca="false">IF(AND(N(BV17)&gt;0,N(BW17)&gt;0),SQRT(2*BV17/BW17),"")</f>
        <v>0.707106781186548</v>
      </c>
      <c r="BY17" s="5"/>
      <c r="BZ17" s="5"/>
      <c r="CA17" s="5"/>
      <c r="CB17" s="5" t="n">
        <v>500</v>
      </c>
      <c r="CC17" s="5" t="n">
        <v>30.933</v>
      </c>
      <c r="CD17" s="5" t="n">
        <v>10</v>
      </c>
      <c r="CE17" s="5"/>
      <c r="CF17" s="5"/>
      <c r="CG17" s="5"/>
      <c r="CH17" s="5" t="n">
        <v>3.1</v>
      </c>
      <c r="CI17" s="5"/>
      <c r="CJ17" s="5"/>
      <c r="CK17" s="5"/>
      <c r="CL17" s="5" t="s">
        <v>3045</v>
      </c>
      <c r="CM17" s="5" t="s">
        <v>1743</v>
      </c>
      <c r="CN17" s="5" t="s">
        <v>3067</v>
      </c>
      <c r="CO17" s="5" t="s">
        <v>1745</v>
      </c>
      <c r="CP17" s="5" t="s">
        <v>3047</v>
      </c>
      <c r="CQ17" s="22" t="s">
        <v>3048</v>
      </c>
      <c r="CR17" s="5" t="s">
        <v>782</v>
      </c>
      <c r="CS17" s="5" t="s">
        <v>3049</v>
      </c>
    </row>
    <row r="18" customFormat="false" ht="15" hidden="false" customHeight="true" outlineLevel="0" collapsed="false">
      <c r="A18" s="5" t="n">
        <v>164</v>
      </c>
      <c r="B18" s="5" t="n">
        <v>164</v>
      </c>
      <c r="C18" s="5" t="s">
        <v>766</v>
      </c>
      <c r="D18" s="5" t="n">
        <v>2000</v>
      </c>
      <c r="E18" s="5" t="s">
        <v>767</v>
      </c>
      <c r="F18" s="5" t="s">
        <v>841</v>
      </c>
      <c r="G18" s="5" t="s">
        <v>1741</v>
      </c>
      <c r="H18" s="5" t="n">
        <v>30.933</v>
      </c>
      <c r="I18" s="5" t="n">
        <v>75.867</v>
      </c>
      <c r="J18" s="5" t="s">
        <v>845</v>
      </c>
      <c r="K18" s="5" t="s">
        <v>3068</v>
      </c>
      <c r="L18" s="5" t="s">
        <v>777</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v>
      </c>
      <c r="BW18" s="5" t="n">
        <v>4</v>
      </c>
      <c r="BX18" s="5" t="n">
        <f aca="false">IF(AND(N(BV18)&gt;0,N(BW18)&gt;0),SQRT(2*BV18/BW18),"")</f>
        <v>0.707106781186548</v>
      </c>
      <c r="BY18" s="5"/>
      <c r="BZ18" s="5"/>
      <c r="CA18" s="5"/>
      <c r="CB18" s="5" t="n">
        <v>500</v>
      </c>
      <c r="CC18" s="5" t="n">
        <v>30.933</v>
      </c>
      <c r="CD18" s="5" t="n">
        <v>11</v>
      </c>
      <c r="CE18" s="5"/>
      <c r="CF18" s="5"/>
      <c r="CG18" s="5"/>
      <c r="CH18" s="5" t="n">
        <v>3.1</v>
      </c>
      <c r="CI18" s="5"/>
      <c r="CJ18" s="5"/>
      <c r="CK18" s="5"/>
      <c r="CL18" s="5" t="s">
        <v>3045</v>
      </c>
      <c r="CM18" s="5" t="s">
        <v>1743</v>
      </c>
      <c r="CN18" s="5" t="s">
        <v>3069</v>
      </c>
      <c r="CO18" s="5" t="s">
        <v>1745</v>
      </c>
      <c r="CP18" s="5" t="s">
        <v>3047</v>
      </c>
      <c r="CQ18" s="22" t="s">
        <v>3048</v>
      </c>
      <c r="CR18" s="5" t="s">
        <v>782</v>
      </c>
      <c r="CS18" s="5" t="s">
        <v>3049</v>
      </c>
    </row>
    <row r="19" customFormat="false" ht="15" hidden="false" customHeight="true" outlineLevel="0" collapsed="false">
      <c r="A19" s="5" t="n">
        <v>164</v>
      </c>
      <c r="B19" s="5" t="n">
        <v>164</v>
      </c>
      <c r="C19" s="5" t="s">
        <v>766</v>
      </c>
      <c r="D19" s="5" t="n">
        <v>2000</v>
      </c>
      <c r="E19" s="5" t="s">
        <v>767</v>
      </c>
      <c r="F19" s="5" t="s">
        <v>841</v>
      </c>
      <c r="G19" s="5" t="s">
        <v>1741</v>
      </c>
      <c r="H19" s="5" t="n">
        <v>30.933</v>
      </c>
      <c r="I19" s="5" t="n">
        <v>75.867</v>
      </c>
      <c r="J19" s="5" t="s">
        <v>845</v>
      </c>
      <c r="K19" s="5" t="s">
        <v>3070</v>
      </c>
      <c r="L19" s="5" t="s">
        <v>777</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v>
      </c>
      <c r="BW19" s="5" t="n">
        <v>4</v>
      </c>
      <c r="BX19" s="5" t="n">
        <f aca="false">IF(AND(N(BV19)&gt;0,N(BW19)&gt;0),SQRT(2*BV19/BW19),"")</f>
        <v>0.707106781186548</v>
      </c>
      <c r="BY19" s="5"/>
      <c r="BZ19" s="5"/>
      <c r="CA19" s="5"/>
      <c r="CB19" s="5" t="n">
        <v>500</v>
      </c>
      <c r="CC19" s="5" t="n">
        <v>30.933</v>
      </c>
      <c r="CD19" s="5" t="n">
        <v>12</v>
      </c>
      <c r="CE19" s="5"/>
      <c r="CF19" s="5"/>
      <c r="CG19" s="5"/>
      <c r="CH19" s="5" t="n">
        <v>3.1</v>
      </c>
      <c r="CI19" s="5"/>
      <c r="CJ19" s="5"/>
      <c r="CK19" s="5"/>
      <c r="CL19" s="5" t="s">
        <v>3045</v>
      </c>
      <c r="CM19" s="5" t="s">
        <v>1743</v>
      </c>
      <c r="CN19" s="5" t="s">
        <v>3071</v>
      </c>
      <c r="CO19" s="5" t="s">
        <v>1745</v>
      </c>
      <c r="CP19" s="5" t="s">
        <v>3047</v>
      </c>
      <c r="CQ19" s="22" t="s">
        <v>3048</v>
      </c>
      <c r="CR19" s="5" t="s">
        <v>782</v>
      </c>
      <c r="CS19" s="5" t="s">
        <v>3049</v>
      </c>
    </row>
    <row r="20" customFormat="false" ht="15" hidden="false" customHeight="true" outlineLevel="0" collapsed="false">
      <c r="A20" s="5" t="n">
        <v>164</v>
      </c>
      <c r="B20" s="5" t="n">
        <v>164</v>
      </c>
      <c r="C20" s="5" t="s">
        <v>766</v>
      </c>
      <c r="D20" s="5" t="n">
        <v>2000</v>
      </c>
      <c r="E20" s="5" t="s">
        <v>767</v>
      </c>
      <c r="F20" s="5" t="s">
        <v>841</v>
      </c>
      <c r="G20" s="5" t="s">
        <v>1741</v>
      </c>
      <c r="H20" s="5" t="n">
        <v>30.933</v>
      </c>
      <c r="I20" s="5" t="n">
        <v>75.867</v>
      </c>
      <c r="J20" s="5" t="s">
        <v>845</v>
      </c>
      <c r="K20" s="5" t="s">
        <v>3072</v>
      </c>
      <c r="L20" s="5" t="s">
        <v>777</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v>
      </c>
      <c r="BW20" s="5" t="n">
        <v>4</v>
      </c>
      <c r="BX20" s="5" t="n">
        <f aca="false">IF(AND(N(BV20)&gt;0,N(BW20)&gt;0),SQRT(2*BV20/BW20),"")</f>
        <v>0.707106781186548</v>
      </c>
      <c r="BY20" s="5"/>
      <c r="BZ20" s="5"/>
      <c r="CA20" s="5"/>
      <c r="CB20" s="5" t="n">
        <v>500</v>
      </c>
      <c r="CC20" s="5" t="n">
        <v>30.933</v>
      </c>
      <c r="CD20" s="5" t="n">
        <v>13</v>
      </c>
      <c r="CE20" s="5"/>
      <c r="CF20" s="5"/>
      <c r="CG20" s="5"/>
      <c r="CH20" s="5" t="n">
        <v>3.1</v>
      </c>
      <c r="CI20" s="5"/>
      <c r="CJ20" s="5"/>
      <c r="CK20" s="5"/>
      <c r="CL20" s="5" t="s">
        <v>3045</v>
      </c>
      <c r="CM20" s="5" t="s">
        <v>1743</v>
      </c>
      <c r="CN20" s="5" t="s">
        <v>3073</v>
      </c>
      <c r="CO20" s="5" t="s">
        <v>1745</v>
      </c>
      <c r="CP20" s="5" t="s">
        <v>3047</v>
      </c>
      <c r="CQ20" s="22" t="s">
        <v>3048</v>
      </c>
      <c r="CR20" s="5" t="s">
        <v>782</v>
      </c>
      <c r="CS20" s="5" t="s">
        <v>3049</v>
      </c>
    </row>
    <row r="21" customFormat="false" ht="15" hidden="false" customHeight="true" outlineLevel="0" collapsed="false">
      <c r="A21" s="5" t="n">
        <v>164</v>
      </c>
      <c r="B21" s="5" t="n">
        <v>164</v>
      </c>
      <c r="C21" s="5" t="s">
        <v>766</v>
      </c>
      <c r="D21" s="5" t="n">
        <v>2000</v>
      </c>
      <c r="E21" s="5" t="s">
        <v>767</v>
      </c>
      <c r="F21" s="5" t="s">
        <v>841</v>
      </c>
      <c r="G21" s="5" t="s">
        <v>1741</v>
      </c>
      <c r="H21" s="5" t="n">
        <v>30.933</v>
      </c>
      <c r="I21" s="5" t="n">
        <v>75.867</v>
      </c>
      <c r="J21" s="5" t="s">
        <v>845</v>
      </c>
      <c r="K21" s="5" t="s">
        <v>3074</v>
      </c>
      <c r="L21" s="5" t="s">
        <v>777</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v>
      </c>
      <c r="BW21" s="5" t="n">
        <v>4</v>
      </c>
      <c r="BX21" s="5" t="n">
        <f aca="false">IF(AND(N(BV21)&gt;0,N(BW21)&gt;0),SQRT(2*BV21/BW21),"")</f>
        <v>0.707106781186548</v>
      </c>
      <c r="BY21" s="5"/>
      <c r="BZ21" s="5"/>
      <c r="CA21" s="5"/>
      <c r="CB21" s="5" t="n">
        <v>500</v>
      </c>
      <c r="CC21" s="5" t="n">
        <v>30.933</v>
      </c>
      <c r="CD21" s="5" t="n">
        <v>14</v>
      </c>
      <c r="CE21" s="5"/>
      <c r="CF21" s="5"/>
      <c r="CG21" s="5"/>
      <c r="CH21" s="5" t="n">
        <v>3.1</v>
      </c>
      <c r="CI21" s="5"/>
      <c r="CJ21" s="5"/>
      <c r="CK21" s="5"/>
      <c r="CL21" s="5" t="s">
        <v>3045</v>
      </c>
      <c r="CM21" s="5" t="s">
        <v>1743</v>
      </c>
      <c r="CN21" s="5" t="s">
        <v>3075</v>
      </c>
      <c r="CO21" s="5" t="s">
        <v>1745</v>
      </c>
      <c r="CP21" s="5" t="s">
        <v>3047</v>
      </c>
      <c r="CQ21" s="22" t="s">
        <v>3048</v>
      </c>
      <c r="CR21" s="5" t="s">
        <v>782</v>
      </c>
      <c r="CS21" s="5" t="s">
        <v>3049</v>
      </c>
    </row>
    <row r="22" customFormat="false" ht="15" hidden="false" customHeight="true" outlineLevel="0" collapsed="false">
      <c r="A22" s="5" t="n">
        <v>164</v>
      </c>
      <c r="B22" s="5" t="n">
        <v>164</v>
      </c>
      <c r="C22" s="5" t="s">
        <v>766</v>
      </c>
      <c r="D22" s="5" t="n">
        <v>2000</v>
      </c>
      <c r="E22" s="5" t="s">
        <v>767</v>
      </c>
      <c r="F22" s="5" t="s">
        <v>841</v>
      </c>
      <c r="G22" s="5" t="s">
        <v>1741</v>
      </c>
      <c r="H22" s="5" t="n">
        <v>30.933</v>
      </c>
      <c r="I22" s="5" t="n">
        <v>75.867</v>
      </c>
      <c r="J22" s="5" t="s">
        <v>845</v>
      </c>
      <c r="K22" s="5" t="s">
        <v>1742</v>
      </c>
      <c r="L22" s="5" t="s">
        <v>777</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v>
      </c>
      <c r="BW22" s="5" t="n">
        <v>4</v>
      </c>
      <c r="BX22" s="5" t="n">
        <f aca="false">IF(AND(N(BV22)&gt;0,N(BW22)&gt;0),SQRT(2*BV22/BW22),"")</f>
        <v>0.707106781186548</v>
      </c>
      <c r="BY22" s="5"/>
      <c r="BZ22" s="5"/>
      <c r="CA22" s="5"/>
      <c r="CB22" s="5" t="n">
        <v>500</v>
      </c>
      <c r="CC22" s="5" t="n">
        <v>30.933</v>
      </c>
      <c r="CD22" s="5" t="n">
        <v>15</v>
      </c>
      <c r="CE22" s="5"/>
      <c r="CF22" s="5"/>
      <c r="CG22" s="5"/>
      <c r="CH22" s="5" t="n">
        <v>3.1</v>
      </c>
      <c r="CI22" s="5"/>
      <c r="CJ22" s="5"/>
      <c r="CK22" s="5"/>
      <c r="CL22" s="5" t="s">
        <v>3045</v>
      </c>
      <c r="CM22" s="5" t="s">
        <v>1743</v>
      </c>
      <c r="CN22" s="5" t="s">
        <v>3076</v>
      </c>
      <c r="CO22" s="5" t="s">
        <v>1745</v>
      </c>
      <c r="CP22" s="5" t="s">
        <v>3047</v>
      </c>
      <c r="CQ22" s="22" t="s">
        <v>3048</v>
      </c>
      <c r="CR22" s="5" t="s">
        <v>782</v>
      </c>
      <c r="CS22" s="5" t="s">
        <v>3049</v>
      </c>
    </row>
    <row r="23" customFormat="false" ht="15" hidden="false" customHeight="true" outlineLevel="0" collapsed="false">
      <c r="A23" s="5" t="n">
        <v>164</v>
      </c>
      <c r="B23" s="5" t="n">
        <v>164</v>
      </c>
      <c r="C23" s="5" t="s">
        <v>766</v>
      </c>
      <c r="D23" s="5" t="n">
        <v>2000</v>
      </c>
      <c r="E23" s="5" t="s">
        <v>767</v>
      </c>
      <c r="F23" s="5" t="s">
        <v>1251</v>
      </c>
      <c r="G23" s="5" t="s">
        <v>1749</v>
      </c>
      <c r="H23" s="5" t="n">
        <v>29</v>
      </c>
      <c r="I23" s="5" t="n">
        <v>79.083</v>
      </c>
      <c r="J23" s="5" t="s">
        <v>83</v>
      </c>
      <c r="K23" s="5" t="s">
        <v>3044</v>
      </c>
      <c r="L23" s="5" t="s">
        <v>796</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v>
      </c>
      <c r="BW23" s="5" t="n">
        <v>4</v>
      </c>
      <c r="BX23" s="5" t="n">
        <f aca="false">IF(AND(N(BV23)&gt;0,N(BW23)&gt;0),SQRT(2*BV23/BW23),"")</f>
        <v>0.707106781186548</v>
      </c>
      <c r="BY23" s="5"/>
      <c r="BZ23" s="5"/>
      <c r="CA23" s="5"/>
      <c r="CB23" s="5" t="n">
        <v>1350</v>
      </c>
      <c r="CC23" s="5" t="n">
        <v>29</v>
      </c>
      <c r="CD23" s="5" t="n">
        <v>1</v>
      </c>
      <c r="CE23" s="5"/>
      <c r="CF23" s="5"/>
      <c r="CG23" s="5"/>
      <c r="CH23" s="5" t="n">
        <v>14.2</v>
      </c>
      <c r="CI23" s="5"/>
      <c r="CJ23" s="5"/>
      <c r="CK23" s="5"/>
      <c r="CL23" s="5" t="s">
        <v>3045</v>
      </c>
      <c r="CM23" s="5" t="s">
        <v>1743</v>
      </c>
      <c r="CN23" s="5" t="s">
        <v>3046</v>
      </c>
      <c r="CO23" s="5" t="s">
        <v>1750</v>
      </c>
      <c r="CP23" s="5" t="s">
        <v>3077</v>
      </c>
      <c r="CQ23" s="22" t="s">
        <v>3078</v>
      </c>
      <c r="CR23" s="5" t="s">
        <v>782</v>
      </c>
      <c r="CS23" s="5" t="s">
        <v>3049</v>
      </c>
    </row>
    <row r="24" customFormat="false" ht="15" hidden="false" customHeight="true" outlineLevel="0" collapsed="false">
      <c r="A24" s="5" t="n">
        <v>164</v>
      </c>
      <c r="B24" s="5" t="n">
        <v>164</v>
      </c>
      <c r="C24" s="5" t="s">
        <v>766</v>
      </c>
      <c r="D24" s="5" t="n">
        <v>2000</v>
      </c>
      <c r="E24" s="5" t="s">
        <v>767</v>
      </c>
      <c r="F24" s="5" t="s">
        <v>1251</v>
      </c>
      <c r="G24" s="5" t="s">
        <v>1749</v>
      </c>
      <c r="H24" s="5" t="n">
        <v>29</v>
      </c>
      <c r="I24" s="5" t="n">
        <v>79.083</v>
      </c>
      <c r="J24" s="5" t="s">
        <v>83</v>
      </c>
      <c r="K24" s="5" t="s">
        <v>3050</v>
      </c>
      <c r="L24" s="5" t="s">
        <v>796</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v>
      </c>
      <c r="BW24" s="5" t="n">
        <v>4</v>
      </c>
      <c r="BX24" s="5" t="n">
        <f aca="false">IF(AND(N(BV24)&gt;0,N(BW24)&gt;0),SQRT(2*BV24/BW24),"")</f>
        <v>0.707106781186548</v>
      </c>
      <c r="BY24" s="5"/>
      <c r="BZ24" s="5"/>
      <c r="CA24" s="5"/>
      <c r="CB24" s="5" t="n">
        <v>1350</v>
      </c>
      <c r="CC24" s="5" t="n">
        <v>29</v>
      </c>
      <c r="CD24" s="5" t="n">
        <v>2</v>
      </c>
      <c r="CE24" s="5"/>
      <c r="CF24" s="5"/>
      <c r="CG24" s="5"/>
      <c r="CH24" s="5" t="n">
        <v>14.2</v>
      </c>
      <c r="CI24" s="5"/>
      <c r="CJ24" s="5"/>
      <c r="CK24" s="5"/>
      <c r="CL24" s="5" t="s">
        <v>3045</v>
      </c>
      <c r="CM24" s="5" t="s">
        <v>1743</v>
      </c>
      <c r="CN24" s="5" t="s">
        <v>3051</v>
      </c>
      <c r="CO24" s="5" t="s">
        <v>1750</v>
      </c>
      <c r="CP24" s="5" t="s">
        <v>3077</v>
      </c>
      <c r="CQ24" s="22" t="s">
        <v>3078</v>
      </c>
      <c r="CR24" s="5" t="s">
        <v>782</v>
      </c>
      <c r="CS24" s="5" t="s">
        <v>3049</v>
      </c>
    </row>
    <row r="25" customFormat="false" ht="15" hidden="false" customHeight="true" outlineLevel="0" collapsed="false">
      <c r="A25" s="5" t="n">
        <v>164</v>
      </c>
      <c r="B25" s="5" t="n">
        <v>164</v>
      </c>
      <c r="C25" s="5" t="s">
        <v>766</v>
      </c>
      <c r="D25" s="5" t="n">
        <v>2000</v>
      </c>
      <c r="E25" s="5" t="s">
        <v>767</v>
      </c>
      <c r="F25" s="5" t="s">
        <v>1251</v>
      </c>
      <c r="G25" s="5" t="s">
        <v>1749</v>
      </c>
      <c r="H25" s="5" t="n">
        <v>29</v>
      </c>
      <c r="I25" s="5" t="n">
        <v>79.083</v>
      </c>
      <c r="J25" s="5" t="s">
        <v>83</v>
      </c>
      <c r="K25" s="5" t="s">
        <v>3052</v>
      </c>
      <c r="L25" s="5" t="s">
        <v>796</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v>
      </c>
      <c r="BW25" s="5" t="n">
        <v>4</v>
      </c>
      <c r="BX25" s="5" t="n">
        <f aca="false">IF(AND(N(BV25)&gt;0,N(BW25)&gt;0),SQRT(2*BV25/BW25),"")</f>
        <v>0.707106781186548</v>
      </c>
      <c r="BY25" s="5"/>
      <c r="BZ25" s="5"/>
      <c r="CA25" s="5"/>
      <c r="CB25" s="5" t="n">
        <v>1350</v>
      </c>
      <c r="CC25" s="5" t="n">
        <v>29</v>
      </c>
      <c r="CD25" s="5" t="n">
        <v>3</v>
      </c>
      <c r="CE25" s="5"/>
      <c r="CF25" s="5"/>
      <c r="CG25" s="5"/>
      <c r="CH25" s="5" t="n">
        <v>14.2</v>
      </c>
      <c r="CI25" s="5"/>
      <c r="CJ25" s="5"/>
      <c r="CK25" s="5"/>
      <c r="CL25" s="5" t="s">
        <v>3045</v>
      </c>
      <c r="CM25" s="5" t="s">
        <v>1743</v>
      </c>
      <c r="CN25" s="5" t="s">
        <v>3053</v>
      </c>
      <c r="CO25" s="5" t="s">
        <v>1750</v>
      </c>
      <c r="CP25" s="5" t="s">
        <v>3077</v>
      </c>
      <c r="CQ25" s="22" t="s">
        <v>3078</v>
      </c>
      <c r="CR25" s="5" t="s">
        <v>782</v>
      </c>
      <c r="CS25" s="5" t="s">
        <v>3049</v>
      </c>
    </row>
    <row r="26" customFormat="false" ht="15" hidden="false" customHeight="true" outlineLevel="0" collapsed="false">
      <c r="A26" s="5" t="n">
        <v>164</v>
      </c>
      <c r="B26" s="5" t="n">
        <v>164</v>
      </c>
      <c r="C26" s="5" t="s">
        <v>766</v>
      </c>
      <c r="D26" s="5" t="n">
        <v>2000</v>
      </c>
      <c r="E26" s="5" t="s">
        <v>767</v>
      </c>
      <c r="F26" s="5" t="s">
        <v>1251</v>
      </c>
      <c r="G26" s="5" t="s">
        <v>1749</v>
      </c>
      <c r="H26" s="5" t="n">
        <v>29</v>
      </c>
      <c r="I26" s="5" t="n">
        <v>79.083</v>
      </c>
      <c r="J26" s="5" t="s">
        <v>83</v>
      </c>
      <c r="K26" s="5" t="s">
        <v>3054</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v>
      </c>
      <c r="BW26" s="5" t="n">
        <v>4</v>
      </c>
      <c r="BX26" s="5" t="n">
        <f aca="false">IF(AND(N(BV26)&gt;0,N(BW26)&gt;0),SQRT(2*BV26/BW26),"")</f>
        <v>0.707106781186548</v>
      </c>
      <c r="BY26" s="5"/>
      <c r="BZ26" s="5"/>
      <c r="CA26" s="5"/>
      <c r="CB26" s="5" t="n">
        <v>1350</v>
      </c>
      <c r="CC26" s="5" t="n">
        <v>29</v>
      </c>
      <c r="CD26" s="5" t="n">
        <v>4</v>
      </c>
      <c r="CE26" s="5"/>
      <c r="CF26" s="5"/>
      <c r="CG26" s="5"/>
      <c r="CH26" s="5" t="n">
        <v>14.2</v>
      </c>
      <c r="CI26" s="5"/>
      <c r="CJ26" s="5"/>
      <c r="CK26" s="5"/>
      <c r="CL26" s="5" t="s">
        <v>3045</v>
      </c>
      <c r="CM26" s="5" t="s">
        <v>1743</v>
      </c>
      <c r="CN26" s="5" t="s">
        <v>3055</v>
      </c>
      <c r="CO26" s="5" t="s">
        <v>1750</v>
      </c>
      <c r="CP26" s="5" t="s">
        <v>3077</v>
      </c>
      <c r="CQ26" s="22" t="s">
        <v>3078</v>
      </c>
      <c r="CR26" s="5" t="s">
        <v>782</v>
      </c>
      <c r="CS26" s="5" t="s">
        <v>3049</v>
      </c>
    </row>
    <row r="27" customFormat="false" ht="15" hidden="false" customHeight="true" outlineLevel="0" collapsed="false">
      <c r="A27" s="5" t="n">
        <v>164</v>
      </c>
      <c r="B27" s="5" t="n">
        <v>164</v>
      </c>
      <c r="C27" s="5" t="s">
        <v>766</v>
      </c>
      <c r="D27" s="5" t="n">
        <v>2000</v>
      </c>
      <c r="E27" s="5" t="s">
        <v>767</v>
      </c>
      <c r="F27" s="5" t="s">
        <v>1251</v>
      </c>
      <c r="G27" s="5" t="s">
        <v>1749</v>
      </c>
      <c r="H27" s="5" t="n">
        <v>29</v>
      </c>
      <c r="I27" s="5" t="n">
        <v>79.083</v>
      </c>
      <c r="J27" s="5" t="s">
        <v>83</v>
      </c>
      <c r="K27" s="5" t="s">
        <v>3056</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v>
      </c>
      <c r="BW27" s="5" t="n">
        <v>4</v>
      </c>
      <c r="BX27" s="5" t="n">
        <f aca="false">IF(AND(N(BV27)&gt;0,N(BW27)&gt;0),SQRT(2*BV27/BW27),"")</f>
        <v>0.707106781186548</v>
      </c>
      <c r="BY27" s="5"/>
      <c r="BZ27" s="5"/>
      <c r="CA27" s="5"/>
      <c r="CB27" s="5" t="n">
        <v>1350</v>
      </c>
      <c r="CC27" s="5" t="n">
        <v>29</v>
      </c>
      <c r="CD27" s="5" t="n">
        <v>5</v>
      </c>
      <c r="CE27" s="5"/>
      <c r="CF27" s="5"/>
      <c r="CG27" s="5"/>
      <c r="CH27" s="5" t="n">
        <v>14.2</v>
      </c>
      <c r="CI27" s="5"/>
      <c r="CJ27" s="5"/>
      <c r="CK27" s="5"/>
      <c r="CL27" s="5" t="s">
        <v>3045</v>
      </c>
      <c r="CM27" s="5" t="s">
        <v>1743</v>
      </c>
      <c r="CN27" s="5" t="s">
        <v>3057</v>
      </c>
      <c r="CO27" s="5" t="s">
        <v>1750</v>
      </c>
      <c r="CP27" s="5" t="s">
        <v>3077</v>
      </c>
      <c r="CQ27" s="22" t="s">
        <v>3078</v>
      </c>
      <c r="CR27" s="5" t="s">
        <v>782</v>
      </c>
      <c r="CS27" s="5" t="s">
        <v>3049</v>
      </c>
    </row>
    <row r="28" customFormat="false" ht="15" hidden="false" customHeight="true" outlineLevel="0" collapsed="false">
      <c r="A28" s="5" t="n">
        <v>164</v>
      </c>
      <c r="B28" s="5" t="n">
        <v>164</v>
      </c>
      <c r="C28" s="5" t="s">
        <v>766</v>
      </c>
      <c r="D28" s="5" t="n">
        <v>2000</v>
      </c>
      <c r="E28" s="5" t="s">
        <v>767</v>
      </c>
      <c r="F28" s="5" t="s">
        <v>1251</v>
      </c>
      <c r="G28" s="5" t="s">
        <v>1749</v>
      </c>
      <c r="H28" s="5" t="n">
        <v>29</v>
      </c>
      <c r="I28" s="5" t="n">
        <v>79.083</v>
      </c>
      <c r="J28" s="5" t="s">
        <v>83</v>
      </c>
      <c r="K28" s="5" t="s">
        <v>3058</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v>
      </c>
      <c r="BW28" s="5" t="n">
        <v>4</v>
      </c>
      <c r="BX28" s="5" t="n">
        <f aca="false">IF(AND(N(BV28)&gt;0,N(BW28)&gt;0),SQRT(2*BV28/BW28),"")</f>
        <v>0.707106781186548</v>
      </c>
      <c r="BY28" s="5"/>
      <c r="BZ28" s="5"/>
      <c r="CA28" s="5"/>
      <c r="CB28" s="5" t="n">
        <v>1350</v>
      </c>
      <c r="CC28" s="5" t="n">
        <v>29</v>
      </c>
      <c r="CD28" s="5" t="n">
        <v>6</v>
      </c>
      <c r="CE28" s="5"/>
      <c r="CF28" s="5"/>
      <c r="CG28" s="5"/>
      <c r="CH28" s="5" t="n">
        <v>14.2</v>
      </c>
      <c r="CI28" s="5"/>
      <c r="CJ28" s="5"/>
      <c r="CK28" s="5"/>
      <c r="CL28" s="5" t="s">
        <v>3045</v>
      </c>
      <c r="CM28" s="5" t="s">
        <v>1743</v>
      </c>
      <c r="CN28" s="5" t="s">
        <v>3059</v>
      </c>
      <c r="CO28" s="5" t="s">
        <v>1750</v>
      </c>
      <c r="CP28" s="5" t="s">
        <v>3077</v>
      </c>
      <c r="CQ28" s="22" t="s">
        <v>3078</v>
      </c>
      <c r="CR28" s="5" t="s">
        <v>782</v>
      </c>
      <c r="CS28" s="5" t="s">
        <v>3049</v>
      </c>
    </row>
    <row r="29" customFormat="false" ht="15" hidden="false" customHeight="true" outlineLevel="0" collapsed="false">
      <c r="A29" s="5" t="n">
        <v>164</v>
      </c>
      <c r="B29" s="5" t="n">
        <v>164</v>
      </c>
      <c r="C29" s="5" t="s">
        <v>766</v>
      </c>
      <c r="D29" s="5" t="n">
        <v>2000</v>
      </c>
      <c r="E29" s="5" t="s">
        <v>767</v>
      </c>
      <c r="F29" s="5" t="s">
        <v>1251</v>
      </c>
      <c r="G29" s="5" t="s">
        <v>1749</v>
      </c>
      <c r="H29" s="5" t="n">
        <v>29</v>
      </c>
      <c r="I29" s="5" t="n">
        <v>79.083</v>
      </c>
      <c r="J29" s="5" t="s">
        <v>83</v>
      </c>
      <c r="K29" s="5" t="s">
        <v>3060</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v>
      </c>
      <c r="BW29" s="5" t="n">
        <v>4</v>
      </c>
      <c r="BX29" s="5" t="n">
        <f aca="false">IF(AND(N(BV29)&gt;0,N(BW29)&gt;0),SQRT(2*BV29/BW29),"")</f>
        <v>0.707106781186548</v>
      </c>
      <c r="BY29" s="5"/>
      <c r="BZ29" s="5"/>
      <c r="CA29" s="5"/>
      <c r="CB29" s="5" t="n">
        <v>1350</v>
      </c>
      <c r="CC29" s="5" t="n">
        <v>29</v>
      </c>
      <c r="CD29" s="5" t="n">
        <v>7</v>
      </c>
      <c r="CE29" s="5"/>
      <c r="CF29" s="5"/>
      <c r="CG29" s="5"/>
      <c r="CH29" s="5" t="n">
        <v>14.2</v>
      </c>
      <c r="CI29" s="5"/>
      <c r="CJ29" s="5"/>
      <c r="CK29" s="5"/>
      <c r="CL29" s="5" t="s">
        <v>3045</v>
      </c>
      <c r="CM29" s="5" t="s">
        <v>1743</v>
      </c>
      <c r="CN29" s="5" t="s">
        <v>3061</v>
      </c>
      <c r="CO29" s="5" t="s">
        <v>1750</v>
      </c>
      <c r="CP29" s="5" t="s">
        <v>3077</v>
      </c>
      <c r="CQ29" s="22" t="s">
        <v>3078</v>
      </c>
      <c r="CR29" s="5" t="s">
        <v>782</v>
      </c>
      <c r="CS29" s="5" t="s">
        <v>3049</v>
      </c>
    </row>
    <row r="30" customFormat="false" ht="15" hidden="false" customHeight="true" outlineLevel="0" collapsed="false">
      <c r="A30" s="5" t="n">
        <v>164</v>
      </c>
      <c r="B30" s="5" t="n">
        <v>164</v>
      </c>
      <c r="C30" s="5" t="s">
        <v>766</v>
      </c>
      <c r="D30" s="5" t="n">
        <v>2000</v>
      </c>
      <c r="E30" s="5" t="s">
        <v>767</v>
      </c>
      <c r="F30" s="5" t="s">
        <v>1251</v>
      </c>
      <c r="G30" s="5" t="s">
        <v>1749</v>
      </c>
      <c r="H30" s="5" t="n">
        <v>29</v>
      </c>
      <c r="I30" s="5" t="n">
        <v>79.083</v>
      </c>
      <c r="J30" s="5" t="s">
        <v>83</v>
      </c>
      <c r="K30" s="5" t="s">
        <v>3062</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v>
      </c>
      <c r="BW30" s="5" t="n">
        <v>4</v>
      </c>
      <c r="BX30" s="5" t="n">
        <f aca="false">IF(AND(N(BV30)&gt;0,N(BW30)&gt;0),SQRT(2*BV30/BW30),"")</f>
        <v>0.707106781186548</v>
      </c>
      <c r="BY30" s="5"/>
      <c r="BZ30" s="5"/>
      <c r="CA30" s="5"/>
      <c r="CB30" s="5" t="n">
        <v>1350</v>
      </c>
      <c r="CC30" s="5" t="n">
        <v>29</v>
      </c>
      <c r="CD30" s="5" t="n">
        <v>8</v>
      </c>
      <c r="CE30" s="5"/>
      <c r="CF30" s="5"/>
      <c r="CG30" s="5"/>
      <c r="CH30" s="5" t="n">
        <v>14.2</v>
      </c>
      <c r="CI30" s="5"/>
      <c r="CJ30" s="5"/>
      <c r="CK30" s="5"/>
      <c r="CL30" s="5" t="s">
        <v>3045</v>
      </c>
      <c r="CM30" s="5" t="s">
        <v>1743</v>
      </c>
      <c r="CN30" s="5" t="s">
        <v>3063</v>
      </c>
      <c r="CO30" s="5" t="s">
        <v>1750</v>
      </c>
      <c r="CP30" s="5" t="s">
        <v>3077</v>
      </c>
      <c r="CQ30" s="22" t="s">
        <v>3078</v>
      </c>
      <c r="CR30" s="5" t="s">
        <v>782</v>
      </c>
      <c r="CS30" s="5" t="s">
        <v>3049</v>
      </c>
    </row>
    <row r="31" customFormat="false" ht="15" hidden="false" customHeight="true" outlineLevel="0" collapsed="false">
      <c r="A31" s="5" t="n">
        <v>164</v>
      </c>
      <c r="B31" s="5" t="n">
        <v>164</v>
      </c>
      <c r="C31" s="5" t="s">
        <v>766</v>
      </c>
      <c r="D31" s="5" t="n">
        <v>2000</v>
      </c>
      <c r="E31" s="5" t="s">
        <v>767</v>
      </c>
      <c r="F31" s="5" t="s">
        <v>1251</v>
      </c>
      <c r="G31" s="5" t="s">
        <v>1749</v>
      </c>
      <c r="H31" s="5" t="n">
        <v>29</v>
      </c>
      <c r="I31" s="5" t="n">
        <v>79.083</v>
      </c>
      <c r="J31" s="5" t="s">
        <v>83</v>
      </c>
      <c r="K31" s="5" t="s">
        <v>3064</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v>
      </c>
      <c r="BW31" s="5" t="n">
        <v>4</v>
      </c>
      <c r="BX31" s="5" t="n">
        <f aca="false">IF(AND(N(BV31)&gt;0,N(BW31)&gt;0),SQRT(2*BV31/BW31),"")</f>
        <v>0.707106781186548</v>
      </c>
      <c r="BY31" s="5"/>
      <c r="BZ31" s="5"/>
      <c r="CA31" s="5"/>
      <c r="CB31" s="5" t="n">
        <v>1350</v>
      </c>
      <c r="CC31" s="5" t="n">
        <v>29</v>
      </c>
      <c r="CD31" s="5" t="n">
        <v>9</v>
      </c>
      <c r="CE31" s="5"/>
      <c r="CF31" s="5"/>
      <c r="CG31" s="5"/>
      <c r="CH31" s="5" t="n">
        <v>14.2</v>
      </c>
      <c r="CI31" s="5"/>
      <c r="CJ31" s="5"/>
      <c r="CK31" s="5"/>
      <c r="CL31" s="5" t="s">
        <v>3045</v>
      </c>
      <c r="CM31" s="5" t="s">
        <v>1743</v>
      </c>
      <c r="CN31" s="5" t="s">
        <v>3065</v>
      </c>
      <c r="CO31" s="5" t="s">
        <v>1750</v>
      </c>
      <c r="CP31" s="5" t="s">
        <v>3077</v>
      </c>
      <c r="CQ31" s="22" t="s">
        <v>3078</v>
      </c>
      <c r="CR31" s="5" t="s">
        <v>782</v>
      </c>
      <c r="CS31" s="5" t="s">
        <v>3049</v>
      </c>
    </row>
    <row r="32" customFormat="false" ht="15" hidden="false" customHeight="true" outlineLevel="0" collapsed="false">
      <c r="A32" s="5" t="n">
        <v>164</v>
      </c>
      <c r="B32" s="5" t="n">
        <v>164</v>
      </c>
      <c r="C32" s="5" t="s">
        <v>766</v>
      </c>
      <c r="D32" s="5" t="n">
        <v>2000</v>
      </c>
      <c r="E32" s="5" t="s">
        <v>767</v>
      </c>
      <c r="F32" s="5" t="s">
        <v>1251</v>
      </c>
      <c r="G32" s="5" t="s">
        <v>1749</v>
      </c>
      <c r="H32" s="5" t="n">
        <v>29</v>
      </c>
      <c r="I32" s="5" t="n">
        <v>79.083</v>
      </c>
      <c r="J32" s="5" t="s">
        <v>83</v>
      </c>
      <c r="K32" s="5" t="s">
        <v>3066</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v>
      </c>
      <c r="BW32" s="5" t="n">
        <v>4</v>
      </c>
      <c r="BX32" s="5" t="n">
        <f aca="false">IF(AND(N(BV32)&gt;0,N(BW32)&gt;0),SQRT(2*BV32/BW32),"")</f>
        <v>0.707106781186548</v>
      </c>
      <c r="BY32" s="5"/>
      <c r="BZ32" s="5"/>
      <c r="CA32" s="5"/>
      <c r="CB32" s="5" t="n">
        <v>1350</v>
      </c>
      <c r="CC32" s="5" t="n">
        <v>29</v>
      </c>
      <c r="CD32" s="5" t="n">
        <v>10</v>
      </c>
      <c r="CE32" s="5"/>
      <c r="CF32" s="5"/>
      <c r="CG32" s="5"/>
      <c r="CH32" s="5" t="n">
        <v>14.2</v>
      </c>
      <c r="CI32" s="5"/>
      <c r="CJ32" s="5"/>
      <c r="CK32" s="5"/>
      <c r="CL32" s="5" t="s">
        <v>3045</v>
      </c>
      <c r="CM32" s="5" t="s">
        <v>1743</v>
      </c>
      <c r="CN32" s="5" t="s">
        <v>3067</v>
      </c>
      <c r="CO32" s="5" t="s">
        <v>1750</v>
      </c>
      <c r="CP32" s="5" t="s">
        <v>3077</v>
      </c>
      <c r="CQ32" s="22" t="s">
        <v>3078</v>
      </c>
      <c r="CR32" s="5" t="s">
        <v>782</v>
      </c>
      <c r="CS32" s="5" t="s">
        <v>3049</v>
      </c>
    </row>
    <row r="33" customFormat="false" ht="15" hidden="false" customHeight="true" outlineLevel="0" collapsed="false">
      <c r="A33" s="5" t="n">
        <v>164</v>
      </c>
      <c r="B33" s="5" t="n">
        <v>164</v>
      </c>
      <c r="C33" s="5" t="s">
        <v>766</v>
      </c>
      <c r="D33" s="5" t="n">
        <v>2000</v>
      </c>
      <c r="E33" s="5" t="s">
        <v>767</v>
      </c>
      <c r="F33" s="5" t="s">
        <v>1251</v>
      </c>
      <c r="G33" s="5" t="s">
        <v>1749</v>
      </c>
      <c r="H33" s="5" t="n">
        <v>29</v>
      </c>
      <c r="I33" s="5" t="n">
        <v>79.083</v>
      </c>
      <c r="J33" s="5" t="s">
        <v>83</v>
      </c>
      <c r="K33" s="5" t="s">
        <v>3068</v>
      </c>
      <c r="L33" s="5" t="s">
        <v>777</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v>
      </c>
      <c r="BW33" s="5" t="n">
        <v>4</v>
      </c>
      <c r="BX33" s="5" t="n">
        <f aca="false">IF(AND(N(BV33)&gt;0,N(BW33)&gt;0),SQRT(2*BV33/BW33),"")</f>
        <v>0.707106781186548</v>
      </c>
      <c r="BY33" s="5"/>
      <c r="BZ33" s="5"/>
      <c r="CA33" s="5"/>
      <c r="CB33" s="5" t="n">
        <v>1350</v>
      </c>
      <c r="CC33" s="5" t="n">
        <v>29</v>
      </c>
      <c r="CD33" s="5" t="n">
        <v>11</v>
      </c>
      <c r="CE33" s="5"/>
      <c r="CF33" s="5"/>
      <c r="CG33" s="5"/>
      <c r="CH33" s="5" t="n">
        <v>14.2</v>
      </c>
      <c r="CI33" s="5"/>
      <c r="CJ33" s="5"/>
      <c r="CK33" s="5"/>
      <c r="CL33" s="5" t="s">
        <v>3045</v>
      </c>
      <c r="CM33" s="5" t="s">
        <v>1743</v>
      </c>
      <c r="CN33" s="5" t="s">
        <v>3069</v>
      </c>
      <c r="CO33" s="5" t="s">
        <v>1750</v>
      </c>
      <c r="CP33" s="5" t="s">
        <v>3077</v>
      </c>
      <c r="CQ33" s="22" t="s">
        <v>3078</v>
      </c>
      <c r="CR33" s="5" t="s">
        <v>782</v>
      </c>
      <c r="CS33" s="5" t="s">
        <v>3049</v>
      </c>
    </row>
    <row r="34" customFormat="false" ht="15" hidden="false" customHeight="true" outlineLevel="0" collapsed="false">
      <c r="A34" s="5" t="n">
        <v>164</v>
      </c>
      <c r="B34" s="5" t="n">
        <v>164</v>
      </c>
      <c r="C34" s="5" t="s">
        <v>766</v>
      </c>
      <c r="D34" s="5" t="n">
        <v>2000</v>
      </c>
      <c r="E34" s="5" t="s">
        <v>767</v>
      </c>
      <c r="F34" s="5" t="s">
        <v>1251</v>
      </c>
      <c r="G34" s="5" t="s">
        <v>1749</v>
      </c>
      <c r="H34" s="5" t="n">
        <v>29</v>
      </c>
      <c r="I34" s="5" t="n">
        <v>79.083</v>
      </c>
      <c r="J34" s="5" t="s">
        <v>83</v>
      </c>
      <c r="K34" s="5" t="s">
        <v>3070</v>
      </c>
      <c r="L34" s="5" t="s">
        <v>777</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v>
      </c>
      <c r="BW34" s="5" t="n">
        <v>4</v>
      </c>
      <c r="BX34" s="5" t="n">
        <f aca="false">IF(AND(N(BV34)&gt;0,N(BW34)&gt;0),SQRT(2*BV34/BW34),"")</f>
        <v>0.707106781186548</v>
      </c>
      <c r="BY34" s="5"/>
      <c r="BZ34" s="5"/>
      <c r="CA34" s="5"/>
      <c r="CB34" s="5" t="n">
        <v>1350</v>
      </c>
      <c r="CC34" s="5" t="n">
        <v>29</v>
      </c>
      <c r="CD34" s="5" t="n">
        <v>12</v>
      </c>
      <c r="CE34" s="5"/>
      <c r="CF34" s="5"/>
      <c r="CG34" s="5"/>
      <c r="CH34" s="5" t="n">
        <v>14.2</v>
      </c>
      <c r="CI34" s="5"/>
      <c r="CJ34" s="5"/>
      <c r="CK34" s="5"/>
      <c r="CL34" s="5" t="s">
        <v>3045</v>
      </c>
      <c r="CM34" s="5" t="s">
        <v>1743</v>
      </c>
      <c r="CN34" s="5" t="s">
        <v>3071</v>
      </c>
      <c r="CO34" s="5" t="s">
        <v>1750</v>
      </c>
      <c r="CP34" s="5" t="s">
        <v>3077</v>
      </c>
      <c r="CQ34" s="22" t="s">
        <v>3078</v>
      </c>
      <c r="CR34" s="5" t="s">
        <v>782</v>
      </c>
      <c r="CS34" s="5" t="s">
        <v>3049</v>
      </c>
    </row>
    <row r="35" customFormat="false" ht="15" hidden="false" customHeight="true" outlineLevel="0" collapsed="false">
      <c r="A35" s="5" t="n">
        <v>164</v>
      </c>
      <c r="B35" s="5" t="n">
        <v>164</v>
      </c>
      <c r="C35" s="5" t="s">
        <v>766</v>
      </c>
      <c r="D35" s="5" t="n">
        <v>2000</v>
      </c>
      <c r="E35" s="5" t="s">
        <v>767</v>
      </c>
      <c r="F35" s="5" t="s">
        <v>1251</v>
      </c>
      <c r="G35" s="5" t="s">
        <v>1749</v>
      </c>
      <c r="H35" s="5" t="n">
        <v>29</v>
      </c>
      <c r="I35" s="5" t="n">
        <v>79.083</v>
      </c>
      <c r="J35" s="5" t="s">
        <v>83</v>
      </c>
      <c r="K35" s="5" t="s">
        <v>3072</v>
      </c>
      <c r="L35" s="5" t="s">
        <v>777</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v>
      </c>
      <c r="BW35" s="5" t="n">
        <v>4</v>
      </c>
      <c r="BX35" s="5" t="n">
        <f aca="false">IF(AND(N(BV35)&gt;0,N(BW35)&gt;0),SQRT(2*BV35/BW35),"")</f>
        <v>0.707106781186548</v>
      </c>
      <c r="BY35" s="5"/>
      <c r="BZ35" s="5"/>
      <c r="CA35" s="5"/>
      <c r="CB35" s="5" t="n">
        <v>1350</v>
      </c>
      <c r="CC35" s="5" t="n">
        <v>29</v>
      </c>
      <c r="CD35" s="5" t="n">
        <v>13</v>
      </c>
      <c r="CE35" s="5"/>
      <c r="CF35" s="5"/>
      <c r="CG35" s="5"/>
      <c r="CH35" s="5" t="n">
        <v>14.2</v>
      </c>
      <c r="CI35" s="5"/>
      <c r="CJ35" s="5"/>
      <c r="CK35" s="5"/>
      <c r="CL35" s="5" t="s">
        <v>3045</v>
      </c>
      <c r="CM35" s="5" t="s">
        <v>1743</v>
      </c>
      <c r="CN35" s="5" t="s">
        <v>3073</v>
      </c>
      <c r="CO35" s="5" t="s">
        <v>1750</v>
      </c>
      <c r="CP35" s="5" t="s">
        <v>3077</v>
      </c>
      <c r="CQ35" s="22" t="s">
        <v>3078</v>
      </c>
      <c r="CR35" s="5" t="s">
        <v>782</v>
      </c>
      <c r="CS35" s="5" t="s">
        <v>3049</v>
      </c>
    </row>
    <row r="36" customFormat="false" ht="15" hidden="false" customHeight="true" outlineLevel="0" collapsed="false">
      <c r="A36" s="5" t="n">
        <v>164</v>
      </c>
      <c r="B36" s="5" t="n">
        <v>164</v>
      </c>
      <c r="C36" s="5" t="s">
        <v>766</v>
      </c>
      <c r="D36" s="5" t="n">
        <v>2000</v>
      </c>
      <c r="E36" s="5" t="s">
        <v>767</v>
      </c>
      <c r="F36" s="5" t="s">
        <v>1251</v>
      </c>
      <c r="G36" s="5" t="s">
        <v>1749</v>
      </c>
      <c r="H36" s="5" t="n">
        <v>29</v>
      </c>
      <c r="I36" s="5" t="n">
        <v>79.083</v>
      </c>
      <c r="J36" s="5" t="s">
        <v>83</v>
      </c>
      <c r="K36" s="5" t="s">
        <v>3074</v>
      </c>
      <c r="L36" s="5" t="s">
        <v>777</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v>
      </c>
      <c r="BW36" s="5" t="n">
        <v>4</v>
      </c>
      <c r="BX36" s="5" t="n">
        <f aca="false">IF(AND(N(BV36)&gt;0,N(BW36)&gt;0),SQRT(2*BV36/BW36),"")</f>
        <v>0.707106781186548</v>
      </c>
      <c r="BY36" s="5"/>
      <c r="BZ36" s="5"/>
      <c r="CA36" s="5"/>
      <c r="CB36" s="5" t="n">
        <v>1350</v>
      </c>
      <c r="CC36" s="5" t="n">
        <v>29</v>
      </c>
      <c r="CD36" s="5" t="n">
        <v>14</v>
      </c>
      <c r="CE36" s="5"/>
      <c r="CF36" s="5"/>
      <c r="CG36" s="5"/>
      <c r="CH36" s="5" t="n">
        <v>14.2</v>
      </c>
      <c r="CI36" s="5"/>
      <c r="CJ36" s="5"/>
      <c r="CK36" s="5"/>
      <c r="CL36" s="5" t="s">
        <v>3045</v>
      </c>
      <c r="CM36" s="5" t="s">
        <v>1743</v>
      </c>
      <c r="CN36" s="5" t="s">
        <v>3075</v>
      </c>
      <c r="CO36" s="5" t="s">
        <v>1750</v>
      </c>
      <c r="CP36" s="5" t="s">
        <v>3077</v>
      </c>
      <c r="CQ36" s="22" t="s">
        <v>3078</v>
      </c>
      <c r="CR36" s="5" t="s">
        <v>782</v>
      </c>
      <c r="CS36" s="5" t="s">
        <v>3049</v>
      </c>
    </row>
    <row r="37" customFormat="false" ht="15" hidden="false" customHeight="true" outlineLevel="0" collapsed="false">
      <c r="A37" s="5" t="n">
        <v>164</v>
      </c>
      <c r="B37" s="5" t="n">
        <v>164</v>
      </c>
      <c r="C37" s="5" t="s">
        <v>766</v>
      </c>
      <c r="D37" s="5" t="n">
        <v>2000</v>
      </c>
      <c r="E37" s="5" t="s">
        <v>767</v>
      </c>
      <c r="F37" s="5" t="s">
        <v>1251</v>
      </c>
      <c r="G37" s="5" t="s">
        <v>1749</v>
      </c>
      <c r="H37" s="5" t="n">
        <v>29</v>
      </c>
      <c r="I37" s="5" t="n">
        <v>79.083</v>
      </c>
      <c r="J37" s="5" t="s">
        <v>83</v>
      </c>
      <c r="K37" s="5" t="s">
        <v>1742</v>
      </c>
      <c r="L37" s="5" t="s">
        <v>777</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v>
      </c>
      <c r="BW37" s="5" t="n">
        <v>4</v>
      </c>
      <c r="BX37" s="5" t="n">
        <f aca="false">IF(AND(N(BV37)&gt;0,N(BW37)&gt;0),SQRT(2*BV37/BW37),"")</f>
        <v>0.707106781186548</v>
      </c>
      <c r="BY37" s="5"/>
      <c r="BZ37" s="5"/>
      <c r="CA37" s="5"/>
      <c r="CB37" s="5" t="n">
        <v>1350</v>
      </c>
      <c r="CC37" s="5" t="n">
        <v>29</v>
      </c>
      <c r="CD37" s="5" t="n">
        <v>15</v>
      </c>
      <c r="CE37" s="5"/>
      <c r="CF37" s="5"/>
      <c r="CG37" s="5"/>
      <c r="CH37" s="5" t="n">
        <v>14.2</v>
      </c>
      <c r="CI37" s="5"/>
      <c r="CJ37" s="5"/>
      <c r="CK37" s="5"/>
      <c r="CL37" s="5" t="s">
        <v>3045</v>
      </c>
      <c r="CM37" s="5" t="s">
        <v>1743</v>
      </c>
      <c r="CN37" s="5" t="s">
        <v>3076</v>
      </c>
      <c r="CO37" s="5" t="s">
        <v>1750</v>
      </c>
      <c r="CP37" s="5" t="s">
        <v>3077</v>
      </c>
      <c r="CQ37" s="22" t="s">
        <v>3078</v>
      </c>
      <c r="CR37" s="5" t="s">
        <v>782</v>
      </c>
      <c r="CS37" s="5" t="s">
        <v>3049</v>
      </c>
    </row>
    <row r="38" customFormat="false" ht="15" hidden="false" customHeight="true" outlineLevel="0" collapsed="false">
      <c r="A38" s="5" t="n">
        <v>164</v>
      </c>
      <c r="B38" s="5" t="n">
        <v>164</v>
      </c>
      <c r="C38" s="5" t="s">
        <v>766</v>
      </c>
      <c r="D38" s="5" t="n">
        <v>2000</v>
      </c>
      <c r="E38" s="5" t="s">
        <v>767</v>
      </c>
      <c r="F38" s="5" t="s">
        <v>811</v>
      </c>
      <c r="G38" s="5" t="s">
        <v>1752</v>
      </c>
      <c r="H38" s="5" t="n">
        <v>26.967</v>
      </c>
      <c r="I38" s="5" t="n">
        <v>80.567</v>
      </c>
      <c r="J38" s="5" t="s">
        <v>83</v>
      </c>
      <c r="K38" s="5" t="s">
        <v>3052</v>
      </c>
      <c r="L38" s="5" t="s">
        <v>796</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v>
      </c>
      <c r="BW38" s="5" t="n">
        <v>4</v>
      </c>
      <c r="BX38" s="5" t="n">
        <f aca="false">IF(AND(N(BV38)&gt;0,N(BW38)&gt;0),SQRT(2*BV38/BW38),"")</f>
        <v>0.707106781186548</v>
      </c>
      <c r="BY38" s="5"/>
      <c r="BZ38" s="5"/>
      <c r="CA38" s="5"/>
      <c r="CB38" s="5" t="n">
        <v>818</v>
      </c>
      <c r="CC38" s="5" t="n">
        <v>26.967</v>
      </c>
      <c r="CD38" s="5" t="n">
        <v>1</v>
      </c>
      <c r="CE38" s="5"/>
      <c r="CF38" s="5"/>
      <c r="CG38" s="5" t="n">
        <v>8</v>
      </c>
      <c r="CH38" s="5" t="n">
        <v>2.9</v>
      </c>
      <c r="CI38" s="5"/>
      <c r="CJ38" s="5"/>
      <c r="CK38" s="5"/>
      <c r="CL38" s="5" t="s">
        <v>3045</v>
      </c>
      <c r="CM38" s="5" t="s">
        <v>1743</v>
      </c>
      <c r="CN38" s="5" t="s">
        <v>3053</v>
      </c>
      <c r="CO38" s="5" t="s">
        <v>1753</v>
      </c>
      <c r="CP38" s="5" t="s">
        <v>3079</v>
      </c>
      <c r="CQ38" s="22" t="s">
        <v>3080</v>
      </c>
      <c r="CR38" s="5" t="s">
        <v>782</v>
      </c>
      <c r="CS38" s="5" t="s">
        <v>3049</v>
      </c>
    </row>
    <row r="39" customFormat="false" ht="15" hidden="false" customHeight="true" outlineLevel="0" collapsed="false">
      <c r="A39" s="5" t="n">
        <v>164</v>
      </c>
      <c r="B39" s="5" t="n">
        <v>164</v>
      </c>
      <c r="C39" s="5" t="s">
        <v>766</v>
      </c>
      <c r="D39" s="5" t="n">
        <v>2000</v>
      </c>
      <c r="E39" s="5" t="s">
        <v>767</v>
      </c>
      <c r="F39" s="5" t="s">
        <v>811</v>
      </c>
      <c r="G39" s="5" t="s">
        <v>1752</v>
      </c>
      <c r="H39" s="5" t="n">
        <v>26.967</v>
      </c>
      <c r="I39" s="5" t="n">
        <v>80.567</v>
      </c>
      <c r="J39" s="5" t="s">
        <v>83</v>
      </c>
      <c r="K39" s="5" t="s">
        <v>3054</v>
      </c>
      <c r="L39" s="5" t="s">
        <v>796</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v>
      </c>
      <c r="BW39" s="5" t="n">
        <v>4</v>
      </c>
      <c r="BX39" s="5" t="n">
        <f aca="false">IF(AND(N(BV39)&gt;0,N(BW39)&gt;0),SQRT(2*BV39/BW39),"")</f>
        <v>0.707106781186548</v>
      </c>
      <c r="BY39" s="5"/>
      <c r="BZ39" s="5"/>
      <c r="CA39" s="5"/>
      <c r="CB39" s="5" t="n">
        <v>818</v>
      </c>
      <c r="CC39" s="5" t="n">
        <v>26.967</v>
      </c>
      <c r="CD39" s="5" t="n">
        <v>2</v>
      </c>
      <c r="CE39" s="5"/>
      <c r="CF39" s="5"/>
      <c r="CG39" s="5" t="n">
        <v>8</v>
      </c>
      <c r="CH39" s="5" t="n">
        <v>2.9</v>
      </c>
      <c r="CI39" s="5"/>
      <c r="CJ39" s="5"/>
      <c r="CK39" s="5"/>
      <c r="CL39" s="5" t="s">
        <v>3045</v>
      </c>
      <c r="CM39" s="5" t="s">
        <v>1743</v>
      </c>
      <c r="CN39" s="5" t="s">
        <v>3055</v>
      </c>
      <c r="CO39" s="5" t="s">
        <v>1753</v>
      </c>
      <c r="CP39" s="5" t="s">
        <v>3079</v>
      </c>
      <c r="CQ39" s="22" t="s">
        <v>3080</v>
      </c>
      <c r="CR39" s="5" t="s">
        <v>782</v>
      </c>
      <c r="CS39" s="5" t="s">
        <v>3049</v>
      </c>
    </row>
    <row r="40" customFormat="false" ht="15" hidden="false" customHeight="true" outlineLevel="0" collapsed="false">
      <c r="A40" s="5" t="n">
        <v>164</v>
      </c>
      <c r="B40" s="5" t="n">
        <v>164</v>
      </c>
      <c r="C40" s="5" t="s">
        <v>766</v>
      </c>
      <c r="D40" s="5" t="n">
        <v>2000</v>
      </c>
      <c r="E40" s="5" t="s">
        <v>767</v>
      </c>
      <c r="F40" s="5" t="s">
        <v>811</v>
      </c>
      <c r="G40" s="5" t="s">
        <v>1752</v>
      </c>
      <c r="H40" s="5" t="n">
        <v>26.967</v>
      </c>
      <c r="I40" s="5" t="n">
        <v>80.567</v>
      </c>
      <c r="J40" s="5" t="s">
        <v>83</v>
      </c>
      <c r="K40" s="5" t="s">
        <v>3056</v>
      </c>
      <c r="L40" s="5" t="s">
        <v>796</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v>
      </c>
      <c r="BW40" s="5" t="n">
        <v>4</v>
      </c>
      <c r="BX40" s="5" t="n">
        <f aca="false">IF(AND(N(BV40)&gt;0,N(BW40)&gt;0),SQRT(2*BV40/BW40),"")</f>
        <v>0.707106781186548</v>
      </c>
      <c r="BY40" s="5"/>
      <c r="BZ40" s="5"/>
      <c r="CA40" s="5"/>
      <c r="CB40" s="5" t="n">
        <v>818</v>
      </c>
      <c r="CC40" s="5" t="n">
        <v>26.967</v>
      </c>
      <c r="CD40" s="5" t="n">
        <v>3</v>
      </c>
      <c r="CE40" s="5"/>
      <c r="CF40" s="5"/>
      <c r="CG40" s="5" t="n">
        <v>8</v>
      </c>
      <c r="CH40" s="5" t="n">
        <v>2.9</v>
      </c>
      <c r="CI40" s="5"/>
      <c r="CJ40" s="5"/>
      <c r="CK40" s="5"/>
      <c r="CL40" s="5" t="s">
        <v>3045</v>
      </c>
      <c r="CM40" s="5" t="s">
        <v>1743</v>
      </c>
      <c r="CN40" s="5" t="s">
        <v>3057</v>
      </c>
      <c r="CO40" s="5" t="s">
        <v>1753</v>
      </c>
      <c r="CP40" s="5" t="s">
        <v>3079</v>
      </c>
      <c r="CQ40" s="22" t="s">
        <v>3080</v>
      </c>
      <c r="CR40" s="5" t="s">
        <v>782</v>
      </c>
      <c r="CS40" s="5" t="s">
        <v>3049</v>
      </c>
    </row>
    <row r="41" customFormat="false" ht="15" hidden="false" customHeight="true" outlineLevel="0" collapsed="false">
      <c r="A41" s="5" t="n">
        <v>164</v>
      </c>
      <c r="B41" s="5" t="n">
        <v>164</v>
      </c>
      <c r="C41" s="5" t="s">
        <v>766</v>
      </c>
      <c r="D41" s="5" t="n">
        <v>2000</v>
      </c>
      <c r="E41" s="5" t="s">
        <v>767</v>
      </c>
      <c r="F41" s="5" t="s">
        <v>811</v>
      </c>
      <c r="G41" s="5" t="s">
        <v>1752</v>
      </c>
      <c r="H41" s="5" t="n">
        <v>26.967</v>
      </c>
      <c r="I41" s="5" t="n">
        <v>80.567</v>
      </c>
      <c r="J41" s="5" t="s">
        <v>83</v>
      </c>
      <c r="K41" s="5" t="s">
        <v>3058</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v>
      </c>
      <c r="BW41" s="5" t="n">
        <v>4</v>
      </c>
      <c r="BX41" s="5" t="n">
        <f aca="false">IF(AND(N(BV41)&gt;0,N(BW41)&gt;0),SQRT(2*BV41/BW41),"")</f>
        <v>0.707106781186548</v>
      </c>
      <c r="BY41" s="5"/>
      <c r="BZ41" s="5"/>
      <c r="CA41" s="5"/>
      <c r="CB41" s="5" t="n">
        <v>818</v>
      </c>
      <c r="CC41" s="5" t="n">
        <v>26.967</v>
      </c>
      <c r="CD41" s="5" t="n">
        <v>4</v>
      </c>
      <c r="CE41" s="5"/>
      <c r="CF41" s="5"/>
      <c r="CG41" s="5" t="n">
        <v>8</v>
      </c>
      <c r="CH41" s="5" t="n">
        <v>2.9</v>
      </c>
      <c r="CI41" s="5"/>
      <c r="CJ41" s="5"/>
      <c r="CK41" s="5"/>
      <c r="CL41" s="5" t="s">
        <v>3045</v>
      </c>
      <c r="CM41" s="5" t="s">
        <v>1743</v>
      </c>
      <c r="CN41" s="5" t="s">
        <v>3059</v>
      </c>
      <c r="CO41" s="5" t="s">
        <v>1753</v>
      </c>
      <c r="CP41" s="5" t="s">
        <v>3079</v>
      </c>
      <c r="CQ41" s="22" t="s">
        <v>3080</v>
      </c>
      <c r="CR41" s="5" t="s">
        <v>782</v>
      </c>
      <c r="CS41" s="5" t="s">
        <v>3049</v>
      </c>
    </row>
    <row r="42" customFormat="false" ht="15" hidden="false" customHeight="true" outlineLevel="0" collapsed="false">
      <c r="A42" s="5" t="n">
        <v>164</v>
      </c>
      <c r="B42" s="5" t="n">
        <v>164</v>
      </c>
      <c r="C42" s="5" t="s">
        <v>766</v>
      </c>
      <c r="D42" s="5" t="n">
        <v>2000</v>
      </c>
      <c r="E42" s="5" t="s">
        <v>767</v>
      </c>
      <c r="F42" s="5" t="s">
        <v>811</v>
      </c>
      <c r="G42" s="5" t="s">
        <v>1752</v>
      </c>
      <c r="H42" s="5" t="n">
        <v>26.967</v>
      </c>
      <c r="I42" s="5" t="n">
        <v>80.567</v>
      </c>
      <c r="J42" s="5" t="s">
        <v>83</v>
      </c>
      <c r="K42" s="5" t="s">
        <v>3060</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v>
      </c>
      <c r="BW42" s="5" t="n">
        <v>4</v>
      </c>
      <c r="BX42" s="5" t="n">
        <f aca="false">IF(AND(N(BV42)&gt;0,N(BW42)&gt;0),SQRT(2*BV42/BW42),"")</f>
        <v>0.707106781186548</v>
      </c>
      <c r="BY42" s="5"/>
      <c r="BZ42" s="5"/>
      <c r="CA42" s="5"/>
      <c r="CB42" s="5" t="n">
        <v>818</v>
      </c>
      <c r="CC42" s="5" t="n">
        <v>26.967</v>
      </c>
      <c r="CD42" s="5" t="n">
        <v>5</v>
      </c>
      <c r="CE42" s="5"/>
      <c r="CF42" s="5"/>
      <c r="CG42" s="5" t="n">
        <v>8</v>
      </c>
      <c r="CH42" s="5" t="n">
        <v>2.9</v>
      </c>
      <c r="CI42" s="5"/>
      <c r="CJ42" s="5"/>
      <c r="CK42" s="5"/>
      <c r="CL42" s="5" t="s">
        <v>3045</v>
      </c>
      <c r="CM42" s="5" t="s">
        <v>1743</v>
      </c>
      <c r="CN42" s="5" t="s">
        <v>3061</v>
      </c>
      <c r="CO42" s="5" t="s">
        <v>1753</v>
      </c>
      <c r="CP42" s="5" t="s">
        <v>3079</v>
      </c>
      <c r="CQ42" s="22" t="s">
        <v>3080</v>
      </c>
      <c r="CR42" s="5" t="s">
        <v>782</v>
      </c>
      <c r="CS42" s="5" t="s">
        <v>3049</v>
      </c>
    </row>
    <row r="43" customFormat="false" ht="15" hidden="false" customHeight="true" outlineLevel="0" collapsed="false">
      <c r="A43" s="5" t="n">
        <v>164</v>
      </c>
      <c r="B43" s="5" t="n">
        <v>164</v>
      </c>
      <c r="C43" s="5" t="s">
        <v>766</v>
      </c>
      <c r="D43" s="5" t="n">
        <v>2000</v>
      </c>
      <c r="E43" s="5" t="s">
        <v>767</v>
      </c>
      <c r="F43" s="5" t="s">
        <v>811</v>
      </c>
      <c r="G43" s="5" t="s">
        <v>1752</v>
      </c>
      <c r="H43" s="5" t="n">
        <v>26.967</v>
      </c>
      <c r="I43" s="5" t="n">
        <v>80.567</v>
      </c>
      <c r="J43" s="5" t="s">
        <v>83</v>
      </c>
      <c r="K43" s="5" t="s">
        <v>3062</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v>
      </c>
      <c r="BW43" s="5" t="n">
        <v>4</v>
      </c>
      <c r="BX43" s="5" t="n">
        <f aca="false">IF(AND(N(BV43)&gt;0,N(BW43)&gt;0),SQRT(2*BV43/BW43),"")</f>
        <v>0.707106781186548</v>
      </c>
      <c r="BY43" s="5"/>
      <c r="BZ43" s="5"/>
      <c r="CA43" s="5"/>
      <c r="CB43" s="5" t="n">
        <v>818</v>
      </c>
      <c r="CC43" s="5" t="n">
        <v>26.967</v>
      </c>
      <c r="CD43" s="5" t="n">
        <v>6</v>
      </c>
      <c r="CE43" s="5"/>
      <c r="CF43" s="5"/>
      <c r="CG43" s="5" t="n">
        <v>8</v>
      </c>
      <c r="CH43" s="5" t="n">
        <v>2.9</v>
      </c>
      <c r="CI43" s="5"/>
      <c r="CJ43" s="5"/>
      <c r="CK43" s="5"/>
      <c r="CL43" s="5" t="s">
        <v>3045</v>
      </c>
      <c r="CM43" s="5" t="s">
        <v>1743</v>
      </c>
      <c r="CN43" s="5" t="s">
        <v>3063</v>
      </c>
      <c r="CO43" s="5" t="s">
        <v>1753</v>
      </c>
      <c r="CP43" s="5" t="s">
        <v>3079</v>
      </c>
      <c r="CQ43" s="22" t="s">
        <v>3080</v>
      </c>
      <c r="CR43" s="5" t="s">
        <v>782</v>
      </c>
      <c r="CS43" s="5" t="s">
        <v>3049</v>
      </c>
    </row>
    <row r="44" customFormat="false" ht="15" hidden="false" customHeight="true" outlineLevel="0" collapsed="false">
      <c r="A44" s="5" t="n">
        <v>164</v>
      </c>
      <c r="B44" s="5" t="n">
        <v>164</v>
      </c>
      <c r="C44" s="5" t="s">
        <v>766</v>
      </c>
      <c r="D44" s="5" t="n">
        <v>2000</v>
      </c>
      <c r="E44" s="5" t="s">
        <v>767</v>
      </c>
      <c r="F44" s="5" t="s">
        <v>811</v>
      </c>
      <c r="G44" s="5" t="s">
        <v>1752</v>
      </c>
      <c r="H44" s="5" t="n">
        <v>26.967</v>
      </c>
      <c r="I44" s="5" t="n">
        <v>80.567</v>
      </c>
      <c r="J44" s="5" t="s">
        <v>83</v>
      </c>
      <c r="K44" s="5" t="s">
        <v>3064</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v>
      </c>
      <c r="BW44" s="5" t="n">
        <v>4</v>
      </c>
      <c r="BX44" s="5" t="n">
        <f aca="false">IF(AND(N(BV44)&gt;0,N(BW44)&gt;0),SQRT(2*BV44/BW44),"")</f>
        <v>0.707106781186548</v>
      </c>
      <c r="BY44" s="5"/>
      <c r="BZ44" s="5"/>
      <c r="CA44" s="5"/>
      <c r="CB44" s="5" t="n">
        <v>818</v>
      </c>
      <c r="CC44" s="5" t="n">
        <v>26.967</v>
      </c>
      <c r="CD44" s="5" t="n">
        <v>7</v>
      </c>
      <c r="CE44" s="5"/>
      <c r="CF44" s="5"/>
      <c r="CG44" s="5" t="n">
        <v>8</v>
      </c>
      <c r="CH44" s="5" t="n">
        <v>2.9</v>
      </c>
      <c r="CI44" s="5"/>
      <c r="CJ44" s="5"/>
      <c r="CK44" s="5"/>
      <c r="CL44" s="5" t="s">
        <v>3045</v>
      </c>
      <c r="CM44" s="5" t="s">
        <v>1743</v>
      </c>
      <c r="CN44" s="5" t="s">
        <v>3065</v>
      </c>
      <c r="CO44" s="5" t="s">
        <v>1753</v>
      </c>
      <c r="CP44" s="5" t="s">
        <v>3079</v>
      </c>
      <c r="CQ44" s="22" t="s">
        <v>3080</v>
      </c>
      <c r="CR44" s="5" t="s">
        <v>782</v>
      </c>
      <c r="CS44" s="5" t="s">
        <v>3049</v>
      </c>
    </row>
    <row r="45" customFormat="false" ht="15" hidden="false" customHeight="true" outlineLevel="0" collapsed="false">
      <c r="A45" s="5" t="n">
        <v>164</v>
      </c>
      <c r="B45" s="5" t="n">
        <v>164</v>
      </c>
      <c r="C45" s="5" t="s">
        <v>766</v>
      </c>
      <c r="D45" s="5" t="n">
        <v>2000</v>
      </c>
      <c r="E45" s="5" t="s">
        <v>767</v>
      </c>
      <c r="F45" s="5" t="s">
        <v>811</v>
      </c>
      <c r="G45" s="5" t="s">
        <v>1752</v>
      </c>
      <c r="H45" s="5" t="n">
        <v>26.967</v>
      </c>
      <c r="I45" s="5" t="n">
        <v>80.567</v>
      </c>
      <c r="J45" s="5" t="s">
        <v>83</v>
      </c>
      <c r="K45" s="5" t="s">
        <v>3066</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v>
      </c>
      <c r="BW45" s="5" t="n">
        <v>4</v>
      </c>
      <c r="BX45" s="5" t="n">
        <f aca="false">IF(AND(N(BV45)&gt;0,N(BW45)&gt;0),SQRT(2*BV45/BW45),"")</f>
        <v>0.707106781186548</v>
      </c>
      <c r="BY45" s="5"/>
      <c r="BZ45" s="5"/>
      <c r="CA45" s="5"/>
      <c r="CB45" s="5" t="n">
        <v>818</v>
      </c>
      <c r="CC45" s="5" t="n">
        <v>26.967</v>
      </c>
      <c r="CD45" s="5" t="n">
        <v>8</v>
      </c>
      <c r="CE45" s="5"/>
      <c r="CF45" s="5"/>
      <c r="CG45" s="5" t="n">
        <v>8</v>
      </c>
      <c r="CH45" s="5" t="n">
        <v>2.9</v>
      </c>
      <c r="CI45" s="5"/>
      <c r="CJ45" s="5"/>
      <c r="CK45" s="5"/>
      <c r="CL45" s="5" t="s">
        <v>3045</v>
      </c>
      <c r="CM45" s="5" t="s">
        <v>1743</v>
      </c>
      <c r="CN45" s="5" t="s">
        <v>3067</v>
      </c>
      <c r="CO45" s="5" t="s">
        <v>1753</v>
      </c>
      <c r="CP45" s="5" t="s">
        <v>3079</v>
      </c>
      <c r="CQ45" s="22" t="s">
        <v>3080</v>
      </c>
      <c r="CR45" s="5" t="s">
        <v>782</v>
      </c>
      <c r="CS45" s="5" t="s">
        <v>3049</v>
      </c>
    </row>
    <row r="46" customFormat="false" ht="15" hidden="false" customHeight="true" outlineLevel="0" collapsed="false">
      <c r="A46" s="5" t="n">
        <v>164</v>
      </c>
      <c r="B46" s="5" t="n">
        <v>164</v>
      </c>
      <c r="C46" s="5" t="s">
        <v>766</v>
      </c>
      <c r="D46" s="5" t="n">
        <v>2000</v>
      </c>
      <c r="E46" s="5" t="s">
        <v>767</v>
      </c>
      <c r="F46" s="5" t="s">
        <v>811</v>
      </c>
      <c r="G46" s="5" t="s">
        <v>1752</v>
      </c>
      <c r="H46" s="5" t="n">
        <v>26.967</v>
      </c>
      <c r="I46" s="5" t="n">
        <v>80.567</v>
      </c>
      <c r="J46" s="5" t="s">
        <v>83</v>
      </c>
      <c r="K46" s="5" t="s">
        <v>3068</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v>
      </c>
      <c r="BW46" s="5" t="n">
        <v>4</v>
      </c>
      <c r="BX46" s="5" t="n">
        <f aca="false">IF(AND(N(BV46)&gt;0,N(BW46)&gt;0),SQRT(2*BV46/BW46),"")</f>
        <v>0.707106781186548</v>
      </c>
      <c r="BY46" s="5"/>
      <c r="BZ46" s="5"/>
      <c r="CA46" s="5"/>
      <c r="CB46" s="5" t="n">
        <v>818</v>
      </c>
      <c r="CC46" s="5" t="n">
        <v>26.967</v>
      </c>
      <c r="CD46" s="5" t="n">
        <v>9</v>
      </c>
      <c r="CE46" s="5"/>
      <c r="CF46" s="5"/>
      <c r="CG46" s="5" t="n">
        <v>8</v>
      </c>
      <c r="CH46" s="5" t="n">
        <v>2.9</v>
      </c>
      <c r="CI46" s="5"/>
      <c r="CJ46" s="5"/>
      <c r="CK46" s="5"/>
      <c r="CL46" s="5" t="s">
        <v>3045</v>
      </c>
      <c r="CM46" s="5" t="s">
        <v>1743</v>
      </c>
      <c r="CN46" s="5" t="s">
        <v>3069</v>
      </c>
      <c r="CO46" s="5" t="s">
        <v>1753</v>
      </c>
      <c r="CP46" s="5" t="s">
        <v>3079</v>
      </c>
      <c r="CQ46" s="22" t="s">
        <v>3080</v>
      </c>
      <c r="CR46" s="5" t="s">
        <v>782</v>
      </c>
      <c r="CS46" s="5" t="s">
        <v>3049</v>
      </c>
    </row>
    <row r="47" customFormat="false" ht="15" hidden="false" customHeight="true" outlineLevel="0" collapsed="false">
      <c r="A47" s="5" t="n">
        <v>164</v>
      </c>
      <c r="B47" s="5" t="n">
        <v>164</v>
      </c>
      <c r="C47" s="5" t="s">
        <v>766</v>
      </c>
      <c r="D47" s="5" t="n">
        <v>2000</v>
      </c>
      <c r="E47" s="5" t="s">
        <v>767</v>
      </c>
      <c r="F47" s="5" t="s">
        <v>811</v>
      </c>
      <c r="G47" s="5" t="s">
        <v>1752</v>
      </c>
      <c r="H47" s="5" t="n">
        <v>26.967</v>
      </c>
      <c r="I47" s="5" t="n">
        <v>80.567</v>
      </c>
      <c r="J47" s="5" t="s">
        <v>83</v>
      </c>
      <c r="K47" s="5" t="s">
        <v>3070</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v>
      </c>
      <c r="BW47" s="5" t="n">
        <v>4</v>
      </c>
      <c r="BX47" s="5" t="n">
        <f aca="false">IF(AND(N(BV47)&gt;0,N(BW47)&gt;0),SQRT(2*BV47/BW47),"")</f>
        <v>0.707106781186548</v>
      </c>
      <c r="BY47" s="5"/>
      <c r="BZ47" s="5"/>
      <c r="CA47" s="5"/>
      <c r="CB47" s="5" t="n">
        <v>818</v>
      </c>
      <c r="CC47" s="5" t="n">
        <v>26.967</v>
      </c>
      <c r="CD47" s="5" t="n">
        <v>10</v>
      </c>
      <c r="CE47" s="5"/>
      <c r="CF47" s="5"/>
      <c r="CG47" s="5" t="n">
        <v>8</v>
      </c>
      <c r="CH47" s="5" t="n">
        <v>2.9</v>
      </c>
      <c r="CI47" s="5"/>
      <c r="CJ47" s="5"/>
      <c r="CK47" s="5"/>
      <c r="CL47" s="5" t="s">
        <v>3045</v>
      </c>
      <c r="CM47" s="5" t="s">
        <v>1743</v>
      </c>
      <c r="CN47" s="5" t="s">
        <v>3071</v>
      </c>
      <c r="CO47" s="5" t="s">
        <v>1753</v>
      </c>
      <c r="CP47" s="5" t="s">
        <v>3079</v>
      </c>
      <c r="CQ47" s="22" t="s">
        <v>3080</v>
      </c>
      <c r="CR47" s="5" t="s">
        <v>782</v>
      </c>
      <c r="CS47" s="5" t="s">
        <v>3049</v>
      </c>
    </row>
    <row r="48" customFormat="false" ht="15" hidden="false" customHeight="true" outlineLevel="0" collapsed="false">
      <c r="A48" s="5" t="n">
        <v>164</v>
      </c>
      <c r="B48" s="5" t="n">
        <v>164</v>
      </c>
      <c r="C48" s="5" t="s">
        <v>766</v>
      </c>
      <c r="D48" s="5" t="n">
        <v>2000</v>
      </c>
      <c r="E48" s="5" t="s">
        <v>767</v>
      </c>
      <c r="F48" s="5" t="s">
        <v>811</v>
      </c>
      <c r="G48" s="5" t="s">
        <v>1752</v>
      </c>
      <c r="H48" s="5" t="n">
        <v>26.967</v>
      </c>
      <c r="I48" s="5" t="n">
        <v>80.567</v>
      </c>
      <c r="J48" s="5" t="s">
        <v>83</v>
      </c>
      <c r="K48" s="5" t="s">
        <v>3072</v>
      </c>
      <c r="L48" s="5" t="s">
        <v>777</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v>
      </c>
      <c r="BW48" s="5" t="n">
        <v>4</v>
      </c>
      <c r="BX48" s="5" t="n">
        <f aca="false">IF(AND(N(BV48)&gt;0,N(BW48)&gt;0),SQRT(2*BV48/BW48),"")</f>
        <v>0.707106781186548</v>
      </c>
      <c r="BY48" s="5"/>
      <c r="BZ48" s="5"/>
      <c r="CA48" s="5"/>
      <c r="CB48" s="5" t="n">
        <v>818</v>
      </c>
      <c r="CC48" s="5" t="n">
        <v>26.967</v>
      </c>
      <c r="CD48" s="5" t="n">
        <v>11</v>
      </c>
      <c r="CE48" s="5"/>
      <c r="CF48" s="5"/>
      <c r="CG48" s="5" t="n">
        <v>8</v>
      </c>
      <c r="CH48" s="5" t="n">
        <v>2.9</v>
      </c>
      <c r="CI48" s="5"/>
      <c r="CJ48" s="5"/>
      <c r="CK48" s="5"/>
      <c r="CL48" s="5" t="s">
        <v>3045</v>
      </c>
      <c r="CM48" s="5" t="s">
        <v>1743</v>
      </c>
      <c r="CN48" s="5" t="s">
        <v>3073</v>
      </c>
      <c r="CO48" s="5" t="s">
        <v>1753</v>
      </c>
      <c r="CP48" s="5" t="s">
        <v>3079</v>
      </c>
      <c r="CQ48" s="22" t="s">
        <v>3080</v>
      </c>
      <c r="CR48" s="5" t="s">
        <v>782</v>
      </c>
      <c r="CS48" s="5" t="s">
        <v>3049</v>
      </c>
    </row>
    <row r="49" customFormat="false" ht="15" hidden="false" customHeight="true" outlineLevel="0" collapsed="false">
      <c r="A49" s="5" t="n">
        <v>164</v>
      </c>
      <c r="B49" s="5" t="n">
        <v>164</v>
      </c>
      <c r="C49" s="5" t="s">
        <v>766</v>
      </c>
      <c r="D49" s="5" t="n">
        <v>2000</v>
      </c>
      <c r="E49" s="5" t="s">
        <v>767</v>
      </c>
      <c r="F49" s="5" t="s">
        <v>811</v>
      </c>
      <c r="G49" s="5" t="s">
        <v>1752</v>
      </c>
      <c r="H49" s="5" t="n">
        <v>26.967</v>
      </c>
      <c r="I49" s="5" t="n">
        <v>80.567</v>
      </c>
      <c r="J49" s="5" t="s">
        <v>83</v>
      </c>
      <c r="K49" s="5" t="s">
        <v>3074</v>
      </c>
      <c r="L49" s="5" t="s">
        <v>777</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v>
      </c>
      <c r="BW49" s="5" t="n">
        <v>4</v>
      </c>
      <c r="BX49" s="5" t="n">
        <f aca="false">IF(AND(N(BV49)&gt;0,N(BW49)&gt;0),SQRT(2*BV49/BW49),"")</f>
        <v>0.707106781186548</v>
      </c>
      <c r="BY49" s="5"/>
      <c r="BZ49" s="5"/>
      <c r="CA49" s="5"/>
      <c r="CB49" s="5" t="n">
        <v>818</v>
      </c>
      <c r="CC49" s="5" t="n">
        <v>26.967</v>
      </c>
      <c r="CD49" s="5" t="n">
        <v>12</v>
      </c>
      <c r="CE49" s="5"/>
      <c r="CF49" s="5"/>
      <c r="CG49" s="5" t="n">
        <v>8</v>
      </c>
      <c r="CH49" s="5" t="n">
        <v>2.9</v>
      </c>
      <c r="CI49" s="5"/>
      <c r="CJ49" s="5"/>
      <c r="CK49" s="5"/>
      <c r="CL49" s="5" t="s">
        <v>3045</v>
      </c>
      <c r="CM49" s="5" t="s">
        <v>1743</v>
      </c>
      <c r="CN49" s="5" t="s">
        <v>3075</v>
      </c>
      <c r="CO49" s="5" t="s">
        <v>1753</v>
      </c>
      <c r="CP49" s="5" t="s">
        <v>3079</v>
      </c>
      <c r="CQ49" s="22" t="s">
        <v>3080</v>
      </c>
      <c r="CR49" s="5" t="s">
        <v>782</v>
      </c>
      <c r="CS49" s="5" t="s">
        <v>3049</v>
      </c>
    </row>
    <row r="50" customFormat="false" ht="15" hidden="false" customHeight="true" outlineLevel="0" collapsed="false">
      <c r="A50" s="5" t="n">
        <v>164</v>
      </c>
      <c r="B50" s="5" t="n">
        <v>164</v>
      </c>
      <c r="C50" s="5" t="s">
        <v>766</v>
      </c>
      <c r="D50" s="5" t="n">
        <v>2000</v>
      </c>
      <c r="E50" s="5" t="s">
        <v>767</v>
      </c>
      <c r="F50" s="5" t="s">
        <v>811</v>
      </c>
      <c r="G50" s="5" t="s">
        <v>1752</v>
      </c>
      <c r="H50" s="5" t="n">
        <v>26.967</v>
      </c>
      <c r="I50" s="5" t="n">
        <v>80.567</v>
      </c>
      <c r="J50" s="5" t="s">
        <v>83</v>
      </c>
      <c r="K50" s="5" t="s">
        <v>1742</v>
      </c>
      <c r="L50" s="5" t="s">
        <v>777</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v>
      </c>
      <c r="BW50" s="5" t="n">
        <v>4</v>
      </c>
      <c r="BX50" s="5" t="n">
        <f aca="false">IF(AND(N(BV50)&gt;0,N(BW50)&gt;0),SQRT(2*BV50/BW50),"")</f>
        <v>0.707106781186548</v>
      </c>
      <c r="BY50" s="5"/>
      <c r="BZ50" s="5"/>
      <c r="CA50" s="5"/>
      <c r="CB50" s="5" t="n">
        <v>818</v>
      </c>
      <c r="CC50" s="5" t="n">
        <v>26.967</v>
      </c>
      <c r="CD50" s="5" t="n">
        <v>13</v>
      </c>
      <c r="CE50" s="5"/>
      <c r="CF50" s="5"/>
      <c r="CG50" s="5" t="n">
        <v>8</v>
      </c>
      <c r="CH50" s="5" t="n">
        <v>2.9</v>
      </c>
      <c r="CI50" s="5"/>
      <c r="CJ50" s="5"/>
      <c r="CK50" s="5"/>
      <c r="CL50" s="5" t="s">
        <v>3045</v>
      </c>
      <c r="CM50" s="5" t="s">
        <v>1743</v>
      </c>
      <c r="CN50" s="5" t="s">
        <v>3076</v>
      </c>
      <c r="CO50" s="5" t="s">
        <v>1753</v>
      </c>
      <c r="CP50" s="5" t="s">
        <v>3079</v>
      </c>
      <c r="CQ50" s="22" t="s">
        <v>3080</v>
      </c>
      <c r="CR50" s="5" t="s">
        <v>782</v>
      </c>
      <c r="CS50" s="5" t="s">
        <v>3049</v>
      </c>
    </row>
    <row r="51" customFormat="false" ht="15" hidden="false" customHeight="true" outlineLevel="0" collapsed="false">
      <c r="A51" s="5" t="n">
        <v>164</v>
      </c>
      <c r="B51" s="5" t="n">
        <v>164</v>
      </c>
      <c r="C51" s="5" t="s">
        <v>766</v>
      </c>
      <c r="D51" s="5" t="n">
        <v>2000</v>
      </c>
      <c r="E51" s="5" t="s">
        <v>767</v>
      </c>
      <c r="F51" s="5" t="s">
        <v>811</v>
      </c>
      <c r="G51" s="5" t="s">
        <v>1755</v>
      </c>
      <c r="H51" s="5" t="n">
        <v>26.067</v>
      </c>
      <c r="I51" s="5" t="n">
        <v>82.133</v>
      </c>
      <c r="J51" s="5" t="s">
        <v>83</v>
      </c>
      <c r="K51" s="5" t="s">
        <v>3050</v>
      </c>
      <c r="L51" s="5" t="s">
        <v>796</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v>
      </c>
      <c r="BW51" s="5" t="n">
        <v>4</v>
      </c>
      <c r="BX51" s="5" t="n">
        <f aca="false">IF(AND(N(BV51)&gt;0,N(BW51)&gt;0),SQRT(2*BV51/BW51),"")</f>
        <v>0.707106781186548</v>
      </c>
      <c r="BY51" s="5"/>
      <c r="BZ51" s="5"/>
      <c r="CA51" s="5"/>
      <c r="CB51" s="5" t="n">
        <v>1100</v>
      </c>
      <c r="CC51" s="5" t="n">
        <v>26.067</v>
      </c>
      <c r="CD51" s="5" t="n">
        <v>1</v>
      </c>
      <c r="CE51" s="5"/>
      <c r="CF51" s="5"/>
      <c r="CG51" s="5"/>
      <c r="CH51" s="5" t="n">
        <v>3.7</v>
      </c>
      <c r="CI51" s="5"/>
      <c r="CJ51" s="5"/>
      <c r="CK51" s="5"/>
      <c r="CL51" s="5" t="s">
        <v>3045</v>
      </c>
      <c r="CM51" s="5" t="s">
        <v>1743</v>
      </c>
      <c r="CN51" s="5" t="s">
        <v>3051</v>
      </c>
      <c r="CO51" s="5" t="s">
        <v>1756</v>
      </c>
      <c r="CP51" s="5" t="s">
        <v>3081</v>
      </c>
      <c r="CQ51" s="22" t="s">
        <v>3082</v>
      </c>
      <c r="CR51" s="5" t="s">
        <v>782</v>
      </c>
      <c r="CS51" s="5" t="s">
        <v>3049</v>
      </c>
    </row>
    <row r="52" customFormat="false" ht="15" hidden="false" customHeight="true" outlineLevel="0" collapsed="false">
      <c r="A52" s="5" t="n">
        <v>164</v>
      </c>
      <c r="B52" s="5" t="n">
        <v>164</v>
      </c>
      <c r="C52" s="5" t="s">
        <v>766</v>
      </c>
      <c r="D52" s="5" t="n">
        <v>2000</v>
      </c>
      <c r="E52" s="5" t="s">
        <v>767</v>
      </c>
      <c r="F52" s="5" t="s">
        <v>811</v>
      </c>
      <c r="G52" s="5" t="s">
        <v>1755</v>
      </c>
      <c r="H52" s="5" t="n">
        <v>26.067</v>
      </c>
      <c r="I52" s="5" t="n">
        <v>82.133</v>
      </c>
      <c r="J52" s="5" t="s">
        <v>83</v>
      </c>
      <c r="K52" s="5" t="s">
        <v>3052</v>
      </c>
      <c r="L52" s="5" t="s">
        <v>796</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v>
      </c>
      <c r="BW52" s="5" t="n">
        <v>4</v>
      </c>
      <c r="BX52" s="5" t="n">
        <f aca="false">IF(AND(N(BV52)&gt;0,N(BW52)&gt;0),SQRT(2*BV52/BW52),"")</f>
        <v>0.707106781186548</v>
      </c>
      <c r="BY52" s="5"/>
      <c r="BZ52" s="5"/>
      <c r="CA52" s="5"/>
      <c r="CB52" s="5" t="n">
        <v>1100</v>
      </c>
      <c r="CC52" s="5" t="n">
        <v>26.067</v>
      </c>
      <c r="CD52" s="5" t="n">
        <v>2</v>
      </c>
      <c r="CE52" s="5"/>
      <c r="CF52" s="5"/>
      <c r="CG52" s="5"/>
      <c r="CH52" s="5" t="n">
        <v>3.7</v>
      </c>
      <c r="CI52" s="5"/>
      <c r="CJ52" s="5"/>
      <c r="CK52" s="5"/>
      <c r="CL52" s="5" t="s">
        <v>3045</v>
      </c>
      <c r="CM52" s="5" t="s">
        <v>1743</v>
      </c>
      <c r="CN52" s="5" t="s">
        <v>3053</v>
      </c>
      <c r="CO52" s="5" t="s">
        <v>1756</v>
      </c>
      <c r="CP52" s="5" t="s">
        <v>3081</v>
      </c>
      <c r="CQ52" s="22" t="s">
        <v>3082</v>
      </c>
      <c r="CR52" s="5" t="s">
        <v>782</v>
      </c>
      <c r="CS52" s="5" t="s">
        <v>3049</v>
      </c>
    </row>
    <row r="53" customFormat="false" ht="15" hidden="false" customHeight="true" outlineLevel="0" collapsed="false">
      <c r="A53" s="5" t="n">
        <v>164</v>
      </c>
      <c r="B53" s="5" t="n">
        <v>164</v>
      </c>
      <c r="C53" s="5" t="s">
        <v>766</v>
      </c>
      <c r="D53" s="5" t="n">
        <v>2000</v>
      </c>
      <c r="E53" s="5" t="s">
        <v>767</v>
      </c>
      <c r="F53" s="5" t="s">
        <v>811</v>
      </c>
      <c r="G53" s="5" t="s">
        <v>1755</v>
      </c>
      <c r="H53" s="5" t="n">
        <v>26.067</v>
      </c>
      <c r="I53" s="5" t="n">
        <v>82.133</v>
      </c>
      <c r="J53" s="5" t="s">
        <v>83</v>
      </c>
      <c r="K53" s="5" t="s">
        <v>3054</v>
      </c>
      <c r="L53" s="5" t="s">
        <v>796</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v>
      </c>
      <c r="BW53" s="5" t="n">
        <v>4</v>
      </c>
      <c r="BX53" s="5" t="n">
        <f aca="false">IF(AND(N(BV53)&gt;0,N(BW53)&gt;0),SQRT(2*BV53/BW53),"")</f>
        <v>0.707106781186548</v>
      </c>
      <c r="BY53" s="5"/>
      <c r="BZ53" s="5"/>
      <c r="CA53" s="5"/>
      <c r="CB53" s="5" t="n">
        <v>1100</v>
      </c>
      <c r="CC53" s="5" t="n">
        <v>26.067</v>
      </c>
      <c r="CD53" s="5" t="n">
        <v>3</v>
      </c>
      <c r="CE53" s="5"/>
      <c r="CF53" s="5"/>
      <c r="CG53" s="5"/>
      <c r="CH53" s="5" t="n">
        <v>3.7</v>
      </c>
      <c r="CI53" s="5"/>
      <c r="CJ53" s="5"/>
      <c r="CK53" s="5"/>
      <c r="CL53" s="5" t="s">
        <v>3045</v>
      </c>
      <c r="CM53" s="5" t="s">
        <v>1743</v>
      </c>
      <c r="CN53" s="5" t="s">
        <v>3055</v>
      </c>
      <c r="CO53" s="5" t="s">
        <v>1756</v>
      </c>
      <c r="CP53" s="5" t="s">
        <v>3081</v>
      </c>
      <c r="CQ53" s="22" t="s">
        <v>3082</v>
      </c>
      <c r="CR53" s="5" t="s">
        <v>782</v>
      </c>
      <c r="CS53" s="5" t="s">
        <v>3049</v>
      </c>
    </row>
    <row r="54" customFormat="false" ht="15" hidden="false" customHeight="true" outlineLevel="0" collapsed="false">
      <c r="A54" s="5" t="n">
        <v>164</v>
      </c>
      <c r="B54" s="5" t="n">
        <v>164</v>
      </c>
      <c r="C54" s="5" t="s">
        <v>766</v>
      </c>
      <c r="D54" s="5" t="n">
        <v>2000</v>
      </c>
      <c r="E54" s="5" t="s">
        <v>767</v>
      </c>
      <c r="F54" s="5" t="s">
        <v>811</v>
      </c>
      <c r="G54" s="5" t="s">
        <v>1755</v>
      </c>
      <c r="H54" s="5" t="n">
        <v>26.067</v>
      </c>
      <c r="I54" s="5" t="n">
        <v>82.133</v>
      </c>
      <c r="J54" s="5" t="s">
        <v>83</v>
      </c>
      <c r="K54" s="5" t="s">
        <v>3056</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v>
      </c>
      <c r="BW54" s="5" t="n">
        <v>4</v>
      </c>
      <c r="BX54" s="5" t="n">
        <f aca="false">IF(AND(N(BV54)&gt;0,N(BW54)&gt;0),SQRT(2*BV54/BW54),"")</f>
        <v>0.707106781186548</v>
      </c>
      <c r="BY54" s="5"/>
      <c r="BZ54" s="5"/>
      <c r="CA54" s="5"/>
      <c r="CB54" s="5" t="n">
        <v>1100</v>
      </c>
      <c r="CC54" s="5" t="n">
        <v>26.067</v>
      </c>
      <c r="CD54" s="5" t="n">
        <v>4</v>
      </c>
      <c r="CE54" s="5"/>
      <c r="CF54" s="5"/>
      <c r="CG54" s="5"/>
      <c r="CH54" s="5" t="n">
        <v>3.7</v>
      </c>
      <c r="CI54" s="5"/>
      <c r="CJ54" s="5"/>
      <c r="CK54" s="5"/>
      <c r="CL54" s="5" t="s">
        <v>3045</v>
      </c>
      <c r="CM54" s="5" t="s">
        <v>1743</v>
      </c>
      <c r="CN54" s="5" t="s">
        <v>3057</v>
      </c>
      <c r="CO54" s="5" t="s">
        <v>1756</v>
      </c>
      <c r="CP54" s="5" t="s">
        <v>3081</v>
      </c>
      <c r="CQ54" s="22" t="s">
        <v>3082</v>
      </c>
      <c r="CR54" s="5" t="s">
        <v>782</v>
      </c>
      <c r="CS54" s="5" t="s">
        <v>3049</v>
      </c>
    </row>
    <row r="55" customFormat="false" ht="15" hidden="false" customHeight="true" outlineLevel="0" collapsed="false">
      <c r="A55" s="5" t="n">
        <v>164</v>
      </c>
      <c r="B55" s="5" t="n">
        <v>164</v>
      </c>
      <c r="C55" s="5" t="s">
        <v>766</v>
      </c>
      <c r="D55" s="5" t="n">
        <v>2000</v>
      </c>
      <c r="E55" s="5" t="s">
        <v>767</v>
      </c>
      <c r="F55" s="5" t="s">
        <v>811</v>
      </c>
      <c r="G55" s="5" t="s">
        <v>1755</v>
      </c>
      <c r="H55" s="5" t="n">
        <v>26.067</v>
      </c>
      <c r="I55" s="5" t="n">
        <v>82.133</v>
      </c>
      <c r="J55" s="5" t="s">
        <v>83</v>
      </c>
      <c r="K55" s="5" t="s">
        <v>3058</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v>
      </c>
      <c r="BW55" s="5" t="n">
        <v>4</v>
      </c>
      <c r="BX55" s="5" t="n">
        <f aca="false">IF(AND(N(BV55)&gt;0,N(BW55)&gt;0),SQRT(2*BV55/BW55),"")</f>
        <v>0.707106781186548</v>
      </c>
      <c r="BY55" s="5"/>
      <c r="BZ55" s="5"/>
      <c r="CA55" s="5"/>
      <c r="CB55" s="5" t="n">
        <v>1100</v>
      </c>
      <c r="CC55" s="5" t="n">
        <v>26.067</v>
      </c>
      <c r="CD55" s="5" t="n">
        <v>5</v>
      </c>
      <c r="CE55" s="5"/>
      <c r="CF55" s="5"/>
      <c r="CG55" s="5"/>
      <c r="CH55" s="5" t="n">
        <v>3.7</v>
      </c>
      <c r="CI55" s="5"/>
      <c r="CJ55" s="5"/>
      <c r="CK55" s="5"/>
      <c r="CL55" s="5" t="s">
        <v>3045</v>
      </c>
      <c r="CM55" s="5" t="s">
        <v>1743</v>
      </c>
      <c r="CN55" s="5" t="s">
        <v>3059</v>
      </c>
      <c r="CO55" s="5" t="s">
        <v>1756</v>
      </c>
      <c r="CP55" s="5" t="s">
        <v>3081</v>
      </c>
      <c r="CQ55" s="22" t="s">
        <v>3082</v>
      </c>
      <c r="CR55" s="5" t="s">
        <v>782</v>
      </c>
      <c r="CS55" s="5" t="s">
        <v>3049</v>
      </c>
    </row>
    <row r="56" customFormat="false" ht="15" hidden="false" customHeight="true" outlineLevel="0" collapsed="false">
      <c r="A56" s="5" t="n">
        <v>164</v>
      </c>
      <c r="B56" s="5" t="n">
        <v>164</v>
      </c>
      <c r="C56" s="5" t="s">
        <v>766</v>
      </c>
      <c r="D56" s="5" t="n">
        <v>2000</v>
      </c>
      <c r="E56" s="5" t="s">
        <v>767</v>
      </c>
      <c r="F56" s="5" t="s">
        <v>811</v>
      </c>
      <c r="G56" s="5" t="s">
        <v>1755</v>
      </c>
      <c r="H56" s="5" t="n">
        <v>26.067</v>
      </c>
      <c r="I56" s="5" t="n">
        <v>82.133</v>
      </c>
      <c r="J56" s="5" t="s">
        <v>83</v>
      </c>
      <c r="K56" s="5" t="s">
        <v>3060</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v>
      </c>
      <c r="BW56" s="5" t="n">
        <v>4</v>
      </c>
      <c r="BX56" s="5" t="n">
        <f aca="false">IF(AND(N(BV56)&gt;0,N(BW56)&gt;0),SQRT(2*BV56/BW56),"")</f>
        <v>0.707106781186548</v>
      </c>
      <c r="BY56" s="5"/>
      <c r="BZ56" s="5"/>
      <c r="CA56" s="5"/>
      <c r="CB56" s="5" t="n">
        <v>1100</v>
      </c>
      <c r="CC56" s="5" t="n">
        <v>26.067</v>
      </c>
      <c r="CD56" s="5" t="n">
        <v>6</v>
      </c>
      <c r="CE56" s="5"/>
      <c r="CF56" s="5"/>
      <c r="CG56" s="5"/>
      <c r="CH56" s="5" t="n">
        <v>3.7</v>
      </c>
      <c r="CI56" s="5"/>
      <c r="CJ56" s="5"/>
      <c r="CK56" s="5"/>
      <c r="CL56" s="5" t="s">
        <v>3045</v>
      </c>
      <c r="CM56" s="5" t="s">
        <v>1743</v>
      </c>
      <c r="CN56" s="5" t="s">
        <v>3061</v>
      </c>
      <c r="CO56" s="5" t="s">
        <v>1756</v>
      </c>
      <c r="CP56" s="5" t="s">
        <v>3081</v>
      </c>
      <c r="CQ56" s="22" t="s">
        <v>3082</v>
      </c>
      <c r="CR56" s="5" t="s">
        <v>782</v>
      </c>
      <c r="CS56" s="5" t="s">
        <v>3049</v>
      </c>
    </row>
    <row r="57" customFormat="false" ht="15" hidden="false" customHeight="true" outlineLevel="0" collapsed="false">
      <c r="A57" s="5" t="n">
        <v>164</v>
      </c>
      <c r="B57" s="5" t="n">
        <v>164</v>
      </c>
      <c r="C57" s="5" t="s">
        <v>766</v>
      </c>
      <c r="D57" s="5" t="n">
        <v>2000</v>
      </c>
      <c r="E57" s="5" t="s">
        <v>767</v>
      </c>
      <c r="F57" s="5" t="s">
        <v>811</v>
      </c>
      <c r="G57" s="5" t="s">
        <v>1755</v>
      </c>
      <c r="H57" s="5" t="n">
        <v>26.067</v>
      </c>
      <c r="I57" s="5" t="n">
        <v>82.133</v>
      </c>
      <c r="J57" s="5" t="s">
        <v>83</v>
      </c>
      <c r="K57" s="5" t="s">
        <v>3062</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v>
      </c>
      <c r="BW57" s="5" t="n">
        <v>4</v>
      </c>
      <c r="BX57" s="5" t="n">
        <f aca="false">IF(AND(N(BV57)&gt;0,N(BW57)&gt;0),SQRT(2*BV57/BW57),"")</f>
        <v>0.707106781186548</v>
      </c>
      <c r="BY57" s="5"/>
      <c r="BZ57" s="5"/>
      <c r="CA57" s="5"/>
      <c r="CB57" s="5" t="n">
        <v>1100</v>
      </c>
      <c r="CC57" s="5" t="n">
        <v>26.067</v>
      </c>
      <c r="CD57" s="5" t="n">
        <v>7</v>
      </c>
      <c r="CE57" s="5"/>
      <c r="CF57" s="5"/>
      <c r="CG57" s="5"/>
      <c r="CH57" s="5" t="n">
        <v>3.7</v>
      </c>
      <c r="CI57" s="5"/>
      <c r="CJ57" s="5"/>
      <c r="CK57" s="5"/>
      <c r="CL57" s="5" t="s">
        <v>3045</v>
      </c>
      <c r="CM57" s="5" t="s">
        <v>1743</v>
      </c>
      <c r="CN57" s="5" t="s">
        <v>3063</v>
      </c>
      <c r="CO57" s="5" t="s">
        <v>1756</v>
      </c>
      <c r="CP57" s="5" t="s">
        <v>3081</v>
      </c>
      <c r="CQ57" s="22" t="s">
        <v>3082</v>
      </c>
      <c r="CR57" s="5" t="s">
        <v>782</v>
      </c>
      <c r="CS57" s="5" t="s">
        <v>3049</v>
      </c>
    </row>
    <row r="58" customFormat="false" ht="15" hidden="false" customHeight="true" outlineLevel="0" collapsed="false">
      <c r="A58" s="5" t="n">
        <v>164</v>
      </c>
      <c r="B58" s="5" t="n">
        <v>164</v>
      </c>
      <c r="C58" s="5" t="s">
        <v>766</v>
      </c>
      <c r="D58" s="5" t="n">
        <v>2000</v>
      </c>
      <c r="E58" s="5" t="s">
        <v>767</v>
      </c>
      <c r="F58" s="5" t="s">
        <v>811</v>
      </c>
      <c r="G58" s="5" t="s">
        <v>1755</v>
      </c>
      <c r="H58" s="5" t="n">
        <v>26.067</v>
      </c>
      <c r="I58" s="5" t="n">
        <v>82.133</v>
      </c>
      <c r="J58" s="5" t="s">
        <v>83</v>
      </c>
      <c r="K58" s="5" t="s">
        <v>3064</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v>
      </c>
      <c r="BW58" s="5" t="n">
        <v>4</v>
      </c>
      <c r="BX58" s="5" t="n">
        <f aca="false">IF(AND(N(BV58)&gt;0,N(BW58)&gt;0),SQRT(2*BV58/BW58),"")</f>
        <v>0.707106781186548</v>
      </c>
      <c r="BY58" s="5"/>
      <c r="BZ58" s="5"/>
      <c r="CA58" s="5"/>
      <c r="CB58" s="5" t="n">
        <v>1100</v>
      </c>
      <c r="CC58" s="5" t="n">
        <v>26.067</v>
      </c>
      <c r="CD58" s="5" t="n">
        <v>8</v>
      </c>
      <c r="CE58" s="5"/>
      <c r="CF58" s="5"/>
      <c r="CG58" s="5"/>
      <c r="CH58" s="5" t="n">
        <v>3.7</v>
      </c>
      <c r="CI58" s="5"/>
      <c r="CJ58" s="5"/>
      <c r="CK58" s="5"/>
      <c r="CL58" s="5" t="s">
        <v>3045</v>
      </c>
      <c r="CM58" s="5" t="s">
        <v>1743</v>
      </c>
      <c r="CN58" s="5" t="s">
        <v>3065</v>
      </c>
      <c r="CO58" s="5" t="s">
        <v>1756</v>
      </c>
      <c r="CP58" s="5" t="s">
        <v>3081</v>
      </c>
      <c r="CQ58" s="22" t="s">
        <v>3082</v>
      </c>
      <c r="CR58" s="5" t="s">
        <v>782</v>
      </c>
      <c r="CS58" s="5" t="s">
        <v>3049</v>
      </c>
    </row>
    <row r="59" customFormat="false" ht="15" hidden="false" customHeight="true" outlineLevel="0" collapsed="false">
      <c r="A59" s="5" t="n">
        <v>164</v>
      </c>
      <c r="B59" s="5" t="n">
        <v>164</v>
      </c>
      <c r="C59" s="5" t="s">
        <v>766</v>
      </c>
      <c r="D59" s="5" t="n">
        <v>2000</v>
      </c>
      <c r="E59" s="5" t="s">
        <v>767</v>
      </c>
      <c r="F59" s="5" t="s">
        <v>811</v>
      </c>
      <c r="G59" s="5" t="s">
        <v>1755</v>
      </c>
      <c r="H59" s="5" t="n">
        <v>26.067</v>
      </c>
      <c r="I59" s="5" t="n">
        <v>82.133</v>
      </c>
      <c r="J59" s="5" t="s">
        <v>83</v>
      </c>
      <c r="K59" s="5" t="s">
        <v>3066</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v>
      </c>
      <c r="BW59" s="5" t="n">
        <v>4</v>
      </c>
      <c r="BX59" s="5" t="n">
        <f aca="false">IF(AND(N(BV59)&gt;0,N(BW59)&gt;0),SQRT(2*BV59/BW59),"")</f>
        <v>0.707106781186548</v>
      </c>
      <c r="BY59" s="5"/>
      <c r="BZ59" s="5"/>
      <c r="CA59" s="5"/>
      <c r="CB59" s="5" t="n">
        <v>1100</v>
      </c>
      <c r="CC59" s="5" t="n">
        <v>26.067</v>
      </c>
      <c r="CD59" s="5" t="n">
        <v>9</v>
      </c>
      <c r="CE59" s="5"/>
      <c r="CF59" s="5"/>
      <c r="CG59" s="5"/>
      <c r="CH59" s="5" t="n">
        <v>3.7</v>
      </c>
      <c r="CI59" s="5"/>
      <c r="CJ59" s="5"/>
      <c r="CK59" s="5"/>
      <c r="CL59" s="5" t="s">
        <v>3045</v>
      </c>
      <c r="CM59" s="5" t="s">
        <v>1743</v>
      </c>
      <c r="CN59" s="5" t="s">
        <v>3067</v>
      </c>
      <c r="CO59" s="5" t="s">
        <v>1756</v>
      </c>
      <c r="CP59" s="5" t="s">
        <v>3081</v>
      </c>
      <c r="CQ59" s="22" t="s">
        <v>3082</v>
      </c>
      <c r="CR59" s="5" t="s">
        <v>782</v>
      </c>
      <c r="CS59" s="5" t="s">
        <v>3049</v>
      </c>
    </row>
    <row r="60" customFormat="false" ht="15" hidden="false" customHeight="true" outlineLevel="0" collapsed="false">
      <c r="A60" s="5" t="n">
        <v>164</v>
      </c>
      <c r="B60" s="5" t="n">
        <v>164</v>
      </c>
      <c r="C60" s="5" t="s">
        <v>766</v>
      </c>
      <c r="D60" s="5" t="n">
        <v>2000</v>
      </c>
      <c r="E60" s="5" t="s">
        <v>767</v>
      </c>
      <c r="F60" s="5" t="s">
        <v>811</v>
      </c>
      <c r="G60" s="5" t="s">
        <v>1755</v>
      </c>
      <c r="H60" s="5" t="n">
        <v>26.067</v>
      </c>
      <c r="I60" s="5" t="n">
        <v>82.133</v>
      </c>
      <c r="J60" s="5" t="s">
        <v>83</v>
      </c>
      <c r="K60" s="5" t="s">
        <v>3068</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v>
      </c>
      <c r="BW60" s="5" t="n">
        <v>4</v>
      </c>
      <c r="BX60" s="5" t="n">
        <f aca="false">IF(AND(N(BV60)&gt;0,N(BW60)&gt;0),SQRT(2*BV60/BW60),"")</f>
        <v>0.707106781186548</v>
      </c>
      <c r="BY60" s="5"/>
      <c r="BZ60" s="5"/>
      <c r="CA60" s="5"/>
      <c r="CB60" s="5" t="n">
        <v>1100</v>
      </c>
      <c r="CC60" s="5" t="n">
        <v>26.067</v>
      </c>
      <c r="CD60" s="5" t="n">
        <v>10</v>
      </c>
      <c r="CE60" s="5"/>
      <c r="CF60" s="5"/>
      <c r="CG60" s="5"/>
      <c r="CH60" s="5" t="n">
        <v>3.7</v>
      </c>
      <c r="CI60" s="5"/>
      <c r="CJ60" s="5"/>
      <c r="CK60" s="5"/>
      <c r="CL60" s="5" t="s">
        <v>3045</v>
      </c>
      <c r="CM60" s="5" t="s">
        <v>1743</v>
      </c>
      <c r="CN60" s="5" t="s">
        <v>3069</v>
      </c>
      <c r="CO60" s="5" t="s">
        <v>1756</v>
      </c>
      <c r="CP60" s="5" t="s">
        <v>3081</v>
      </c>
      <c r="CQ60" s="22" t="s">
        <v>3082</v>
      </c>
      <c r="CR60" s="5" t="s">
        <v>782</v>
      </c>
      <c r="CS60" s="5" t="s">
        <v>3049</v>
      </c>
    </row>
    <row r="61" customFormat="false" ht="15" hidden="false" customHeight="true" outlineLevel="0" collapsed="false">
      <c r="A61" s="5" t="n">
        <v>164</v>
      </c>
      <c r="B61" s="5" t="n">
        <v>164</v>
      </c>
      <c r="C61" s="5" t="s">
        <v>766</v>
      </c>
      <c r="D61" s="5" t="n">
        <v>2000</v>
      </c>
      <c r="E61" s="5" t="s">
        <v>767</v>
      </c>
      <c r="F61" s="5" t="s">
        <v>811</v>
      </c>
      <c r="G61" s="5" t="s">
        <v>1755</v>
      </c>
      <c r="H61" s="5" t="n">
        <v>26.067</v>
      </c>
      <c r="I61" s="5" t="n">
        <v>82.133</v>
      </c>
      <c r="J61" s="5" t="s">
        <v>83</v>
      </c>
      <c r="K61" s="5" t="s">
        <v>3070</v>
      </c>
      <c r="L61" s="5" t="s">
        <v>777</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v>
      </c>
      <c r="BW61" s="5" t="n">
        <v>4</v>
      </c>
      <c r="BX61" s="5" t="n">
        <f aca="false">IF(AND(N(BV61)&gt;0,N(BW61)&gt;0),SQRT(2*BV61/BW61),"")</f>
        <v>0.707106781186548</v>
      </c>
      <c r="BY61" s="5"/>
      <c r="BZ61" s="5"/>
      <c r="CA61" s="5"/>
      <c r="CB61" s="5" t="n">
        <v>1100</v>
      </c>
      <c r="CC61" s="5" t="n">
        <v>26.067</v>
      </c>
      <c r="CD61" s="5" t="n">
        <v>11</v>
      </c>
      <c r="CE61" s="5"/>
      <c r="CF61" s="5"/>
      <c r="CG61" s="5"/>
      <c r="CH61" s="5" t="n">
        <v>3.7</v>
      </c>
      <c r="CI61" s="5"/>
      <c r="CJ61" s="5"/>
      <c r="CK61" s="5"/>
      <c r="CL61" s="5" t="s">
        <v>3045</v>
      </c>
      <c r="CM61" s="5" t="s">
        <v>1743</v>
      </c>
      <c r="CN61" s="5" t="s">
        <v>3071</v>
      </c>
      <c r="CO61" s="5" t="s">
        <v>1756</v>
      </c>
      <c r="CP61" s="5" t="s">
        <v>3081</v>
      </c>
      <c r="CQ61" s="22" t="s">
        <v>3082</v>
      </c>
      <c r="CR61" s="5" t="s">
        <v>782</v>
      </c>
      <c r="CS61" s="5" t="s">
        <v>3049</v>
      </c>
    </row>
    <row r="62" customFormat="false" ht="14.25" hidden="false" customHeight="true" outlineLevel="0" collapsed="false">
      <c r="A62" s="5" t="n">
        <v>164</v>
      </c>
      <c r="B62" s="5" t="n">
        <v>164</v>
      </c>
      <c r="C62" s="5" t="s">
        <v>766</v>
      </c>
      <c r="D62" s="5" t="n">
        <v>2000</v>
      </c>
      <c r="E62" s="5" t="s">
        <v>767</v>
      </c>
      <c r="F62" s="5" t="s">
        <v>811</v>
      </c>
      <c r="G62" s="5" t="s">
        <v>1755</v>
      </c>
      <c r="H62" s="5" t="n">
        <v>26.067</v>
      </c>
      <c r="I62" s="5" t="n">
        <v>82.133</v>
      </c>
      <c r="J62" s="5" t="s">
        <v>83</v>
      </c>
      <c r="K62" s="5" t="s">
        <v>3072</v>
      </c>
      <c r="L62" s="5" t="s">
        <v>777</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v>
      </c>
      <c r="BW62" s="5" t="n">
        <v>4</v>
      </c>
      <c r="BX62" s="5" t="n">
        <f aca="false">IF(AND(N(BV62)&gt;0,N(BW62)&gt;0),SQRT(2*BV62/BW62),"")</f>
        <v>0.707106781186548</v>
      </c>
      <c r="BY62" s="5"/>
      <c r="BZ62" s="5"/>
      <c r="CA62" s="5"/>
      <c r="CB62" s="5" t="n">
        <v>1100</v>
      </c>
      <c r="CC62" s="5" t="n">
        <v>26.067</v>
      </c>
      <c r="CD62" s="5" t="n">
        <v>12</v>
      </c>
      <c r="CE62" s="5"/>
      <c r="CF62" s="5"/>
      <c r="CG62" s="5"/>
      <c r="CH62" s="5" t="n">
        <v>3.7</v>
      </c>
      <c r="CI62" s="5"/>
      <c r="CJ62" s="5"/>
      <c r="CK62" s="5"/>
      <c r="CL62" s="5" t="s">
        <v>3045</v>
      </c>
      <c r="CM62" s="5" t="s">
        <v>1743</v>
      </c>
      <c r="CN62" s="5" t="s">
        <v>3073</v>
      </c>
      <c r="CO62" s="5" t="s">
        <v>1756</v>
      </c>
      <c r="CP62" s="5" t="s">
        <v>3081</v>
      </c>
      <c r="CQ62" s="22" t="s">
        <v>3082</v>
      </c>
      <c r="CR62" s="5" t="s">
        <v>782</v>
      </c>
      <c r="CS62" s="5" t="s">
        <v>3049</v>
      </c>
    </row>
    <row r="63" customFormat="false" ht="14.25" hidden="false" customHeight="true" outlineLevel="0" collapsed="false">
      <c r="A63" s="5" t="n">
        <v>164</v>
      </c>
      <c r="B63" s="5" t="n">
        <v>164</v>
      </c>
      <c r="C63" s="5" t="s">
        <v>766</v>
      </c>
      <c r="D63" s="5" t="n">
        <v>2000</v>
      </c>
      <c r="E63" s="5" t="s">
        <v>767</v>
      </c>
      <c r="F63" s="5" t="s">
        <v>811</v>
      </c>
      <c r="G63" s="5" t="s">
        <v>1755</v>
      </c>
      <c r="H63" s="5" t="n">
        <v>26.067</v>
      </c>
      <c r="I63" s="5" t="n">
        <v>82.133</v>
      </c>
      <c r="J63" s="5" t="s">
        <v>83</v>
      </c>
      <c r="K63" s="5" t="s">
        <v>3074</v>
      </c>
      <c r="L63" s="5" t="s">
        <v>777</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v>
      </c>
      <c r="BW63" s="5" t="n">
        <v>4</v>
      </c>
      <c r="BX63" s="5" t="n">
        <f aca="false">IF(AND(N(BV63)&gt;0,N(BW63)&gt;0),SQRT(2*BV63/BW63),"")</f>
        <v>0.707106781186548</v>
      </c>
      <c r="BY63" s="5"/>
      <c r="BZ63" s="5"/>
      <c r="CA63" s="5"/>
      <c r="CB63" s="5" t="n">
        <v>1100</v>
      </c>
      <c r="CC63" s="5" t="n">
        <v>26.067</v>
      </c>
      <c r="CD63" s="5" t="n">
        <v>13</v>
      </c>
      <c r="CE63" s="5"/>
      <c r="CF63" s="5"/>
      <c r="CG63" s="5"/>
      <c r="CH63" s="5" t="n">
        <v>3.7</v>
      </c>
      <c r="CI63" s="5"/>
      <c r="CJ63" s="5"/>
      <c r="CK63" s="5"/>
      <c r="CL63" s="5" t="s">
        <v>3045</v>
      </c>
      <c r="CM63" s="5" t="s">
        <v>1743</v>
      </c>
      <c r="CN63" s="5" t="s">
        <v>3075</v>
      </c>
      <c r="CO63" s="5" t="s">
        <v>1756</v>
      </c>
      <c r="CP63" s="5" t="s">
        <v>3081</v>
      </c>
      <c r="CQ63" s="22" t="s">
        <v>3083</v>
      </c>
      <c r="CR63" s="5" t="s">
        <v>782</v>
      </c>
      <c r="CS63" s="5" t="s">
        <v>3049</v>
      </c>
    </row>
    <row r="64" customFormat="false" ht="14.25" hidden="false" customHeight="true" outlineLevel="0" collapsed="false">
      <c r="A64" s="5" t="n">
        <v>164</v>
      </c>
      <c r="B64" s="5" t="n">
        <v>164</v>
      </c>
      <c r="C64" s="5" t="s">
        <v>766</v>
      </c>
      <c r="D64" s="5" t="n">
        <v>2000</v>
      </c>
      <c r="E64" s="5" t="s">
        <v>767</v>
      </c>
      <c r="F64" s="5" t="s">
        <v>811</v>
      </c>
      <c r="G64" s="5" t="s">
        <v>1755</v>
      </c>
      <c r="H64" s="5" t="n">
        <v>26.067</v>
      </c>
      <c r="I64" s="5" t="n">
        <v>82.133</v>
      </c>
      <c r="J64" s="5" t="s">
        <v>83</v>
      </c>
      <c r="K64" s="5" t="s">
        <v>1742</v>
      </c>
      <c r="L64" s="5" t="s">
        <v>777</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v>
      </c>
      <c r="BW64" s="5" t="n">
        <v>4</v>
      </c>
      <c r="BX64" s="5" t="n">
        <f aca="false">IF(AND(N(BV64)&gt;0,N(BW64)&gt;0),SQRT(2*BV64/BW64),"")</f>
        <v>0.707106781186548</v>
      </c>
      <c r="BY64" s="5"/>
      <c r="BZ64" s="5"/>
      <c r="CA64" s="5"/>
      <c r="CB64" s="5" t="n">
        <v>1100</v>
      </c>
      <c r="CC64" s="5" t="n">
        <v>26.067</v>
      </c>
      <c r="CD64" s="5" t="n">
        <v>14</v>
      </c>
      <c r="CE64" s="5"/>
      <c r="CF64" s="5"/>
      <c r="CG64" s="5"/>
      <c r="CH64" s="5" t="n">
        <v>3.7</v>
      </c>
      <c r="CI64" s="5"/>
      <c r="CJ64" s="5"/>
      <c r="CK64" s="5"/>
      <c r="CL64" s="5" t="s">
        <v>3045</v>
      </c>
      <c r="CM64" s="5" t="s">
        <v>1743</v>
      </c>
      <c r="CN64" s="5" t="s">
        <v>3076</v>
      </c>
      <c r="CO64" s="5" t="s">
        <v>1756</v>
      </c>
      <c r="CP64" s="5" t="s">
        <v>3081</v>
      </c>
      <c r="CQ64" s="22" t="s">
        <v>3084</v>
      </c>
      <c r="CR64" s="5" t="s">
        <v>782</v>
      </c>
      <c r="CS64" s="5" t="s">
        <v>3049</v>
      </c>
    </row>
    <row r="65" customFormat="false" ht="14.25" hidden="false" customHeight="true" outlineLevel="0" collapsed="false">
      <c r="A65" s="5" t="n">
        <v>164</v>
      </c>
      <c r="B65" s="5" t="n">
        <v>164</v>
      </c>
      <c r="C65" s="5" t="s">
        <v>766</v>
      </c>
      <c r="D65" s="5" t="n">
        <v>2000</v>
      </c>
      <c r="E65" s="5" t="s">
        <v>767</v>
      </c>
      <c r="F65" s="5" t="s">
        <v>1263</v>
      </c>
      <c r="G65" s="5" t="s">
        <v>1758</v>
      </c>
      <c r="H65" s="5" t="n">
        <v>25.233</v>
      </c>
      <c r="I65" s="5" t="n">
        <v>87.067</v>
      </c>
      <c r="J65" s="5" t="s">
        <v>83</v>
      </c>
      <c r="K65" s="5" t="s">
        <v>3050</v>
      </c>
      <c r="L65" s="5" t="s">
        <v>796</v>
      </c>
      <c r="M65" s="5" t="s">
        <v>1759</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v>
      </c>
      <c r="BW65" s="5" t="n">
        <v>4</v>
      </c>
      <c r="BX65" s="5" t="n">
        <f aca="false">IF(AND(N(BV65)&gt;0,N(BW65)&gt;0),SQRT(2*BV65/BW65),"")</f>
        <v>0.707106781186548</v>
      </c>
      <c r="BY65" s="5"/>
      <c r="BZ65" s="5"/>
      <c r="CA65" s="5"/>
      <c r="CB65" s="5" t="n">
        <v>1358</v>
      </c>
      <c r="CC65" s="5" t="n">
        <v>25.233</v>
      </c>
      <c r="CD65" s="5" t="n">
        <v>1</v>
      </c>
      <c r="CE65" s="5"/>
      <c r="CF65" s="5"/>
      <c r="CG65" s="5"/>
      <c r="CH65" s="5" t="n">
        <v>4.6</v>
      </c>
      <c r="CI65" s="5"/>
      <c r="CJ65" s="5"/>
      <c r="CK65" s="5"/>
      <c r="CL65" s="5" t="s">
        <v>3045</v>
      </c>
      <c r="CM65" s="5" t="s">
        <v>1743</v>
      </c>
      <c r="CN65" s="5" t="s">
        <v>3051</v>
      </c>
      <c r="CO65" s="5" t="s">
        <v>1760</v>
      </c>
      <c r="CP65" s="5" t="s">
        <v>3085</v>
      </c>
      <c r="CQ65" s="22" t="s">
        <v>3086</v>
      </c>
      <c r="CR65" s="5" t="s">
        <v>782</v>
      </c>
      <c r="CS65" s="5" t="s">
        <v>3049</v>
      </c>
    </row>
    <row r="66" customFormat="false" ht="14.25" hidden="false" customHeight="true" outlineLevel="0" collapsed="false">
      <c r="A66" s="5" t="n">
        <v>164</v>
      </c>
      <c r="B66" s="5" t="n">
        <v>164</v>
      </c>
      <c r="C66" s="5" t="s">
        <v>766</v>
      </c>
      <c r="D66" s="5" t="n">
        <v>2000</v>
      </c>
      <c r="E66" s="5" t="s">
        <v>767</v>
      </c>
      <c r="F66" s="5" t="s">
        <v>1263</v>
      </c>
      <c r="G66" s="5" t="s">
        <v>1758</v>
      </c>
      <c r="H66" s="5" t="n">
        <v>25.233</v>
      </c>
      <c r="I66" s="5" t="n">
        <v>87.067</v>
      </c>
      <c r="J66" s="5" t="s">
        <v>83</v>
      </c>
      <c r="K66" s="5" t="s">
        <v>3052</v>
      </c>
      <c r="L66" s="5" t="s">
        <v>796</v>
      </c>
      <c r="M66" s="5" t="s">
        <v>1759</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v>
      </c>
      <c r="BW66" s="5" t="n">
        <v>4</v>
      </c>
      <c r="BX66" s="5" t="n">
        <f aca="false">IF(AND(N(BV66)&gt;0,N(BW66)&gt;0),SQRT(2*BV66/BW66),"")</f>
        <v>0.707106781186548</v>
      </c>
      <c r="BY66" s="5"/>
      <c r="BZ66" s="5"/>
      <c r="CA66" s="5"/>
      <c r="CB66" s="5" t="n">
        <v>1358</v>
      </c>
      <c r="CC66" s="5" t="n">
        <v>25.233</v>
      </c>
      <c r="CD66" s="5" t="n">
        <v>2</v>
      </c>
      <c r="CE66" s="5"/>
      <c r="CF66" s="5"/>
      <c r="CG66" s="5"/>
      <c r="CH66" s="5" t="n">
        <v>4.6</v>
      </c>
      <c r="CI66" s="5"/>
      <c r="CJ66" s="5"/>
      <c r="CK66" s="5"/>
      <c r="CL66" s="5" t="s">
        <v>3045</v>
      </c>
      <c r="CM66" s="5" t="s">
        <v>1743</v>
      </c>
      <c r="CN66" s="5" t="s">
        <v>3053</v>
      </c>
      <c r="CO66" s="5" t="s">
        <v>1760</v>
      </c>
      <c r="CP66" s="5" t="s">
        <v>3085</v>
      </c>
      <c r="CQ66" s="22" t="s">
        <v>3086</v>
      </c>
      <c r="CR66" s="5" t="s">
        <v>782</v>
      </c>
      <c r="CS66" s="5" t="s">
        <v>3049</v>
      </c>
    </row>
    <row r="67" customFormat="false" ht="14.25" hidden="false" customHeight="true" outlineLevel="0" collapsed="false">
      <c r="A67" s="5" t="n">
        <v>164</v>
      </c>
      <c r="B67" s="5" t="n">
        <v>164</v>
      </c>
      <c r="C67" s="5" t="s">
        <v>766</v>
      </c>
      <c r="D67" s="5" t="n">
        <v>2000</v>
      </c>
      <c r="E67" s="5" t="s">
        <v>767</v>
      </c>
      <c r="F67" s="5" t="s">
        <v>1263</v>
      </c>
      <c r="G67" s="5" t="s">
        <v>1758</v>
      </c>
      <c r="H67" s="5" t="n">
        <v>25.233</v>
      </c>
      <c r="I67" s="5" t="n">
        <v>87.067</v>
      </c>
      <c r="J67" s="5" t="s">
        <v>83</v>
      </c>
      <c r="K67" s="5" t="s">
        <v>3054</v>
      </c>
      <c r="L67" s="5" t="s">
        <v>796</v>
      </c>
      <c r="M67" s="5" t="s">
        <v>1759</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v>
      </c>
      <c r="BW67" s="5" t="n">
        <v>4</v>
      </c>
      <c r="BX67" s="5" t="n">
        <f aca="false">IF(AND(N(BV67)&gt;0,N(BW67)&gt;0),SQRT(2*BV67/BW67),"")</f>
        <v>0.707106781186548</v>
      </c>
      <c r="BY67" s="5"/>
      <c r="BZ67" s="5"/>
      <c r="CA67" s="5"/>
      <c r="CB67" s="5" t="n">
        <v>1358</v>
      </c>
      <c r="CC67" s="5" t="n">
        <v>25.233</v>
      </c>
      <c r="CD67" s="5" t="n">
        <v>3</v>
      </c>
      <c r="CE67" s="5"/>
      <c r="CF67" s="5"/>
      <c r="CG67" s="5"/>
      <c r="CH67" s="5" t="n">
        <v>4.6</v>
      </c>
      <c r="CI67" s="5"/>
      <c r="CJ67" s="5"/>
      <c r="CK67" s="5"/>
      <c r="CL67" s="5" t="s">
        <v>3045</v>
      </c>
      <c r="CM67" s="5" t="s">
        <v>1743</v>
      </c>
      <c r="CN67" s="5" t="s">
        <v>3055</v>
      </c>
      <c r="CO67" s="5" t="s">
        <v>1760</v>
      </c>
      <c r="CP67" s="5" t="s">
        <v>3085</v>
      </c>
      <c r="CQ67" s="22" t="s">
        <v>3086</v>
      </c>
      <c r="CR67" s="5" t="s">
        <v>782</v>
      </c>
      <c r="CS67" s="5" t="s">
        <v>3049</v>
      </c>
    </row>
    <row r="68" customFormat="false" ht="14.25" hidden="false" customHeight="true" outlineLevel="0" collapsed="false">
      <c r="A68" s="5" t="n">
        <v>164</v>
      </c>
      <c r="B68" s="5" t="n">
        <v>164</v>
      </c>
      <c r="C68" s="5" t="s">
        <v>766</v>
      </c>
      <c r="D68" s="5" t="n">
        <v>2000</v>
      </c>
      <c r="E68" s="5" t="s">
        <v>767</v>
      </c>
      <c r="F68" s="5" t="s">
        <v>1263</v>
      </c>
      <c r="G68" s="5" t="s">
        <v>1758</v>
      </c>
      <c r="H68" s="5" t="n">
        <v>25.233</v>
      </c>
      <c r="I68" s="5" t="n">
        <v>87.067</v>
      </c>
      <c r="J68" s="5" t="s">
        <v>83</v>
      </c>
      <c r="K68" s="5" t="s">
        <v>3056</v>
      </c>
      <c r="L68" s="5" t="s">
        <v>84</v>
      </c>
      <c r="M68" s="5" t="s">
        <v>1759</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v>
      </c>
      <c r="BW68" s="5" t="n">
        <v>4</v>
      </c>
      <c r="BX68" s="5" t="n">
        <f aca="false">IF(AND(N(BV68)&gt;0,N(BW68)&gt;0),SQRT(2*BV68/BW68),"")</f>
        <v>0.707106781186548</v>
      </c>
      <c r="BY68" s="5"/>
      <c r="BZ68" s="5"/>
      <c r="CA68" s="5"/>
      <c r="CB68" s="5" t="n">
        <v>1358</v>
      </c>
      <c r="CC68" s="5" t="n">
        <v>25.233</v>
      </c>
      <c r="CD68" s="5" t="n">
        <v>4</v>
      </c>
      <c r="CE68" s="5"/>
      <c r="CF68" s="5"/>
      <c r="CG68" s="5"/>
      <c r="CH68" s="5" t="n">
        <v>4.6</v>
      </c>
      <c r="CI68" s="5"/>
      <c r="CJ68" s="5"/>
      <c r="CK68" s="5"/>
      <c r="CL68" s="5" t="s">
        <v>3045</v>
      </c>
      <c r="CM68" s="5" t="s">
        <v>1743</v>
      </c>
      <c r="CN68" s="5" t="s">
        <v>3057</v>
      </c>
      <c r="CO68" s="5" t="s">
        <v>1760</v>
      </c>
      <c r="CP68" s="5" t="s">
        <v>3085</v>
      </c>
      <c r="CQ68" s="22" t="s">
        <v>3086</v>
      </c>
      <c r="CR68" s="5" t="s">
        <v>782</v>
      </c>
      <c r="CS68" s="5" t="s">
        <v>3049</v>
      </c>
    </row>
    <row r="69" customFormat="false" ht="14.25" hidden="false" customHeight="true" outlineLevel="0" collapsed="false">
      <c r="A69" s="5" t="n">
        <v>164</v>
      </c>
      <c r="B69" s="5" t="n">
        <v>164</v>
      </c>
      <c r="C69" s="5" t="s">
        <v>766</v>
      </c>
      <c r="D69" s="5" t="n">
        <v>2000</v>
      </c>
      <c r="E69" s="5" t="s">
        <v>767</v>
      </c>
      <c r="F69" s="5" t="s">
        <v>1263</v>
      </c>
      <c r="G69" s="5" t="s">
        <v>1758</v>
      </c>
      <c r="H69" s="5" t="n">
        <v>25.233</v>
      </c>
      <c r="I69" s="5" t="n">
        <v>87.067</v>
      </c>
      <c r="J69" s="5" t="s">
        <v>83</v>
      </c>
      <c r="K69" s="5" t="s">
        <v>3058</v>
      </c>
      <c r="L69" s="5" t="s">
        <v>84</v>
      </c>
      <c r="M69" s="5" t="s">
        <v>1759</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v>
      </c>
      <c r="BW69" s="5" t="n">
        <v>4</v>
      </c>
      <c r="BX69" s="5" t="n">
        <f aca="false">IF(AND(N(BV69)&gt;0,N(BW69)&gt;0),SQRT(2*BV69/BW69),"")</f>
        <v>0.707106781186548</v>
      </c>
      <c r="BY69" s="5"/>
      <c r="BZ69" s="5"/>
      <c r="CA69" s="5"/>
      <c r="CB69" s="5" t="n">
        <v>1358</v>
      </c>
      <c r="CC69" s="5" t="n">
        <v>25.233</v>
      </c>
      <c r="CD69" s="5" t="n">
        <v>5</v>
      </c>
      <c r="CE69" s="5"/>
      <c r="CF69" s="5"/>
      <c r="CG69" s="5"/>
      <c r="CH69" s="5" t="n">
        <v>4.6</v>
      </c>
      <c r="CI69" s="5"/>
      <c r="CJ69" s="5"/>
      <c r="CK69" s="5"/>
      <c r="CL69" s="5" t="s">
        <v>3045</v>
      </c>
      <c r="CM69" s="5" t="s">
        <v>1743</v>
      </c>
      <c r="CN69" s="5" t="s">
        <v>3059</v>
      </c>
      <c r="CO69" s="5" t="s">
        <v>1760</v>
      </c>
      <c r="CP69" s="5" t="s">
        <v>3085</v>
      </c>
      <c r="CQ69" s="22" t="s">
        <v>3086</v>
      </c>
      <c r="CR69" s="5" t="s">
        <v>782</v>
      </c>
      <c r="CS69" s="5" t="s">
        <v>3049</v>
      </c>
    </row>
    <row r="70" customFormat="false" ht="14.25" hidden="false" customHeight="true" outlineLevel="0" collapsed="false">
      <c r="A70" s="5" t="n">
        <v>164</v>
      </c>
      <c r="B70" s="5" t="n">
        <v>164</v>
      </c>
      <c r="C70" s="5" t="s">
        <v>766</v>
      </c>
      <c r="D70" s="5" t="n">
        <v>2000</v>
      </c>
      <c r="E70" s="5" t="s">
        <v>767</v>
      </c>
      <c r="F70" s="5" t="s">
        <v>1263</v>
      </c>
      <c r="G70" s="5" t="s">
        <v>1758</v>
      </c>
      <c r="H70" s="5" t="n">
        <v>25.233</v>
      </c>
      <c r="I70" s="5" t="n">
        <v>87.067</v>
      </c>
      <c r="J70" s="5" t="s">
        <v>83</v>
      </c>
      <c r="K70" s="5" t="s">
        <v>3060</v>
      </c>
      <c r="L70" s="5" t="s">
        <v>84</v>
      </c>
      <c r="M70" s="5" t="s">
        <v>1759</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v>
      </c>
      <c r="BW70" s="5" t="n">
        <v>4</v>
      </c>
      <c r="BX70" s="5" t="n">
        <f aca="false">IF(AND(N(BV70)&gt;0,N(BW70)&gt;0),SQRT(2*BV70/BW70),"")</f>
        <v>0.707106781186548</v>
      </c>
      <c r="BY70" s="5"/>
      <c r="BZ70" s="5"/>
      <c r="CA70" s="5"/>
      <c r="CB70" s="5" t="n">
        <v>1358</v>
      </c>
      <c r="CC70" s="5" t="n">
        <v>25.233</v>
      </c>
      <c r="CD70" s="5" t="n">
        <v>6</v>
      </c>
      <c r="CE70" s="5"/>
      <c r="CF70" s="5"/>
      <c r="CG70" s="5"/>
      <c r="CH70" s="5" t="n">
        <v>4.6</v>
      </c>
      <c r="CI70" s="5"/>
      <c r="CJ70" s="5"/>
      <c r="CK70" s="5"/>
      <c r="CL70" s="5" t="s">
        <v>3045</v>
      </c>
      <c r="CM70" s="5" t="s">
        <v>1743</v>
      </c>
      <c r="CN70" s="5" t="s">
        <v>3061</v>
      </c>
      <c r="CO70" s="5" t="s">
        <v>1760</v>
      </c>
      <c r="CP70" s="5" t="s">
        <v>3085</v>
      </c>
      <c r="CQ70" s="22" t="s">
        <v>3086</v>
      </c>
      <c r="CR70" s="5" t="s">
        <v>782</v>
      </c>
      <c r="CS70" s="5" t="s">
        <v>3049</v>
      </c>
    </row>
    <row r="71" customFormat="false" ht="14.25" hidden="false" customHeight="true" outlineLevel="0" collapsed="false">
      <c r="A71" s="5" t="n">
        <v>164</v>
      </c>
      <c r="B71" s="5" t="n">
        <v>164</v>
      </c>
      <c r="C71" s="5" t="s">
        <v>766</v>
      </c>
      <c r="D71" s="5" t="n">
        <v>2000</v>
      </c>
      <c r="E71" s="5" t="s">
        <v>767</v>
      </c>
      <c r="F71" s="5" t="s">
        <v>1263</v>
      </c>
      <c r="G71" s="5" t="s">
        <v>1758</v>
      </c>
      <c r="H71" s="5" t="n">
        <v>25.233</v>
      </c>
      <c r="I71" s="5" t="n">
        <v>87.067</v>
      </c>
      <c r="J71" s="5" t="s">
        <v>83</v>
      </c>
      <c r="K71" s="5" t="s">
        <v>3062</v>
      </c>
      <c r="L71" s="5" t="s">
        <v>84</v>
      </c>
      <c r="M71" s="5" t="s">
        <v>1759</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v>
      </c>
      <c r="BW71" s="5" t="n">
        <v>4</v>
      </c>
      <c r="BX71" s="5" t="n">
        <f aca="false">IF(AND(N(BV71)&gt;0,N(BW71)&gt;0),SQRT(2*BV71/BW71),"")</f>
        <v>0.707106781186548</v>
      </c>
      <c r="BY71" s="5"/>
      <c r="BZ71" s="5"/>
      <c r="CA71" s="5"/>
      <c r="CB71" s="5" t="n">
        <v>1358</v>
      </c>
      <c r="CC71" s="5" t="n">
        <v>25.233</v>
      </c>
      <c r="CD71" s="5" t="n">
        <v>7</v>
      </c>
      <c r="CE71" s="5"/>
      <c r="CF71" s="5"/>
      <c r="CG71" s="5"/>
      <c r="CH71" s="5" t="n">
        <v>4.6</v>
      </c>
      <c r="CI71" s="5"/>
      <c r="CJ71" s="5"/>
      <c r="CK71" s="5"/>
      <c r="CL71" s="5" t="s">
        <v>3045</v>
      </c>
      <c r="CM71" s="5" t="s">
        <v>1743</v>
      </c>
      <c r="CN71" s="5" t="s">
        <v>3063</v>
      </c>
      <c r="CO71" s="5" t="s">
        <v>1760</v>
      </c>
      <c r="CP71" s="5" t="s">
        <v>3085</v>
      </c>
      <c r="CQ71" s="22" t="s">
        <v>3086</v>
      </c>
      <c r="CR71" s="5" t="s">
        <v>782</v>
      </c>
      <c r="CS71" s="5" t="s">
        <v>3049</v>
      </c>
    </row>
    <row r="72" customFormat="false" ht="14.25" hidden="false" customHeight="true" outlineLevel="0" collapsed="false">
      <c r="A72" s="5" t="n">
        <v>164</v>
      </c>
      <c r="B72" s="5" t="n">
        <v>164</v>
      </c>
      <c r="C72" s="5" t="s">
        <v>766</v>
      </c>
      <c r="D72" s="5" t="n">
        <v>2000</v>
      </c>
      <c r="E72" s="5" t="s">
        <v>767</v>
      </c>
      <c r="F72" s="5" t="s">
        <v>1263</v>
      </c>
      <c r="G72" s="5" t="s">
        <v>1758</v>
      </c>
      <c r="H72" s="5" t="n">
        <v>25.233</v>
      </c>
      <c r="I72" s="5" t="n">
        <v>87.067</v>
      </c>
      <c r="J72" s="5" t="s">
        <v>83</v>
      </c>
      <c r="K72" s="5" t="s">
        <v>3064</v>
      </c>
      <c r="L72" s="5" t="s">
        <v>84</v>
      </c>
      <c r="M72" s="5" t="s">
        <v>1759</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v>
      </c>
      <c r="BW72" s="5" t="n">
        <v>4</v>
      </c>
      <c r="BX72" s="5" t="n">
        <f aca="false">IF(AND(N(BV72)&gt;0,N(BW72)&gt;0),SQRT(2*BV72/BW72),"")</f>
        <v>0.707106781186548</v>
      </c>
      <c r="BY72" s="5"/>
      <c r="BZ72" s="5"/>
      <c r="CA72" s="5"/>
      <c r="CB72" s="5" t="n">
        <v>1358</v>
      </c>
      <c r="CC72" s="5" t="n">
        <v>25.233</v>
      </c>
      <c r="CD72" s="5" t="n">
        <v>8</v>
      </c>
      <c r="CE72" s="5"/>
      <c r="CF72" s="5"/>
      <c r="CG72" s="5"/>
      <c r="CH72" s="5" t="n">
        <v>4.6</v>
      </c>
      <c r="CI72" s="5"/>
      <c r="CJ72" s="5"/>
      <c r="CK72" s="5"/>
      <c r="CL72" s="5" t="s">
        <v>3045</v>
      </c>
      <c r="CM72" s="5" t="s">
        <v>1743</v>
      </c>
      <c r="CN72" s="5" t="s">
        <v>3065</v>
      </c>
      <c r="CO72" s="5" t="s">
        <v>1760</v>
      </c>
      <c r="CP72" s="5" t="s">
        <v>3085</v>
      </c>
      <c r="CQ72" s="22" t="s">
        <v>3086</v>
      </c>
      <c r="CR72" s="5" t="s">
        <v>782</v>
      </c>
      <c r="CS72" s="5" t="s">
        <v>3049</v>
      </c>
    </row>
    <row r="73" customFormat="false" ht="14.25" hidden="false" customHeight="true" outlineLevel="0" collapsed="false">
      <c r="A73" s="5" t="n">
        <v>164</v>
      </c>
      <c r="B73" s="5" t="n">
        <v>164</v>
      </c>
      <c r="C73" s="5" t="s">
        <v>766</v>
      </c>
      <c r="D73" s="5" t="n">
        <v>2000</v>
      </c>
      <c r="E73" s="5" t="s">
        <v>767</v>
      </c>
      <c r="F73" s="5" t="s">
        <v>1263</v>
      </c>
      <c r="G73" s="5" t="s">
        <v>1758</v>
      </c>
      <c r="H73" s="5" t="n">
        <v>25.233</v>
      </c>
      <c r="I73" s="5" t="n">
        <v>87.067</v>
      </c>
      <c r="J73" s="5" t="s">
        <v>83</v>
      </c>
      <c r="K73" s="5" t="s">
        <v>3066</v>
      </c>
      <c r="L73" s="5" t="s">
        <v>84</v>
      </c>
      <c r="M73" s="5" t="s">
        <v>1759</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v>
      </c>
      <c r="BW73" s="5" t="n">
        <v>4</v>
      </c>
      <c r="BX73" s="5" t="n">
        <f aca="false">IF(AND(N(BV73)&gt;0,N(BW73)&gt;0),SQRT(2*BV73/BW73),"")</f>
        <v>0.707106781186548</v>
      </c>
      <c r="BY73" s="5"/>
      <c r="BZ73" s="5"/>
      <c r="CA73" s="5"/>
      <c r="CB73" s="5" t="n">
        <v>1358</v>
      </c>
      <c r="CC73" s="5" t="n">
        <v>25.233</v>
      </c>
      <c r="CD73" s="5" t="n">
        <v>9</v>
      </c>
      <c r="CE73" s="5"/>
      <c r="CF73" s="5"/>
      <c r="CG73" s="5"/>
      <c r="CH73" s="5" t="n">
        <v>4.6</v>
      </c>
      <c r="CI73" s="5"/>
      <c r="CJ73" s="5"/>
      <c r="CK73" s="5"/>
      <c r="CL73" s="5" t="s">
        <v>3045</v>
      </c>
      <c r="CM73" s="5" t="s">
        <v>1743</v>
      </c>
      <c r="CN73" s="5" t="s">
        <v>3067</v>
      </c>
      <c r="CO73" s="5" t="s">
        <v>1760</v>
      </c>
      <c r="CP73" s="5" t="s">
        <v>3085</v>
      </c>
      <c r="CQ73" s="22" t="s">
        <v>3086</v>
      </c>
      <c r="CR73" s="5" t="s">
        <v>782</v>
      </c>
      <c r="CS73" s="5" t="s">
        <v>3049</v>
      </c>
    </row>
    <row r="74" customFormat="false" ht="14.25" hidden="false" customHeight="true" outlineLevel="0" collapsed="false">
      <c r="A74" s="5" t="n">
        <v>164</v>
      </c>
      <c r="B74" s="5" t="n">
        <v>164</v>
      </c>
      <c r="C74" s="5" t="s">
        <v>766</v>
      </c>
      <c r="D74" s="5" t="n">
        <v>2000</v>
      </c>
      <c r="E74" s="5" t="s">
        <v>767</v>
      </c>
      <c r="F74" s="5" t="s">
        <v>1263</v>
      </c>
      <c r="G74" s="5" t="s">
        <v>1758</v>
      </c>
      <c r="H74" s="5" t="n">
        <v>25.233</v>
      </c>
      <c r="I74" s="5" t="n">
        <v>87.067</v>
      </c>
      <c r="J74" s="5" t="s">
        <v>83</v>
      </c>
      <c r="K74" s="5" t="s">
        <v>3087</v>
      </c>
      <c r="L74" s="5" t="s">
        <v>777</v>
      </c>
      <c r="M74" s="5" t="s">
        <v>1759</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v>
      </c>
      <c r="BW74" s="5" t="n">
        <v>4</v>
      </c>
      <c r="BX74" s="5" t="n">
        <f aca="false">IF(AND(N(BV74)&gt;0,N(BW74)&gt;0),SQRT(2*BV74/BW74),"")</f>
        <v>0.707106781186548</v>
      </c>
      <c r="BY74" s="5"/>
      <c r="BZ74" s="5"/>
      <c r="CA74" s="5"/>
      <c r="CB74" s="5" t="n">
        <v>1358</v>
      </c>
      <c r="CC74" s="5" t="n">
        <v>25.233</v>
      </c>
      <c r="CD74" s="5" t="n">
        <v>11</v>
      </c>
      <c r="CE74" s="5"/>
      <c r="CF74" s="5"/>
      <c r="CG74" s="5"/>
      <c r="CH74" s="5" t="n">
        <v>4.6</v>
      </c>
      <c r="CI74" s="5"/>
      <c r="CJ74" s="5"/>
      <c r="CK74" s="5"/>
      <c r="CL74" s="5" t="s">
        <v>3045</v>
      </c>
      <c r="CM74" s="5" t="s">
        <v>1743</v>
      </c>
      <c r="CN74" s="5" t="s">
        <v>3088</v>
      </c>
      <c r="CO74" s="5" t="s">
        <v>1760</v>
      </c>
      <c r="CP74" s="5" t="s">
        <v>3085</v>
      </c>
      <c r="CQ74" s="22" t="s">
        <v>3086</v>
      </c>
      <c r="CR74" s="5" t="s">
        <v>782</v>
      </c>
      <c r="CS74" s="5" t="s">
        <v>3049</v>
      </c>
    </row>
    <row r="75" customFormat="false" ht="14.25" hidden="false" customHeight="true" outlineLevel="0" collapsed="false">
      <c r="A75" s="5" t="n">
        <v>164</v>
      </c>
      <c r="B75" s="5" t="n">
        <v>164</v>
      </c>
      <c r="C75" s="5" t="s">
        <v>766</v>
      </c>
      <c r="D75" s="5" t="n">
        <v>2000</v>
      </c>
      <c r="E75" s="5" t="s">
        <v>767</v>
      </c>
      <c r="F75" s="5" t="s">
        <v>1263</v>
      </c>
      <c r="G75" s="5" t="s">
        <v>1758</v>
      </c>
      <c r="H75" s="5" t="n">
        <v>25.233</v>
      </c>
      <c r="I75" s="5" t="n">
        <v>87.067</v>
      </c>
      <c r="J75" s="5" t="s">
        <v>83</v>
      </c>
      <c r="K75" s="5" t="s">
        <v>3074</v>
      </c>
      <c r="L75" s="5" t="s">
        <v>777</v>
      </c>
      <c r="M75" s="5" t="s">
        <v>1759</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v>
      </c>
      <c r="BW75" s="5" t="n">
        <v>4</v>
      </c>
      <c r="BX75" s="5" t="n">
        <f aca="false">IF(AND(N(BV75)&gt;0,N(BW75)&gt;0),SQRT(2*BV75/BW75),"")</f>
        <v>0.707106781186548</v>
      </c>
      <c r="BY75" s="5"/>
      <c r="BZ75" s="5"/>
      <c r="CA75" s="5"/>
      <c r="CB75" s="5" t="n">
        <v>1358</v>
      </c>
      <c r="CC75" s="5" t="n">
        <v>25.233</v>
      </c>
      <c r="CD75" s="5" t="n">
        <v>13</v>
      </c>
      <c r="CE75" s="5"/>
      <c r="CF75" s="5"/>
      <c r="CG75" s="5"/>
      <c r="CH75" s="5" t="n">
        <v>4.6</v>
      </c>
      <c r="CI75" s="5"/>
      <c r="CJ75" s="5"/>
      <c r="CK75" s="5"/>
      <c r="CL75" s="5" t="s">
        <v>3045</v>
      </c>
      <c r="CM75" s="5" t="s">
        <v>1743</v>
      </c>
      <c r="CN75" s="5" t="s">
        <v>3075</v>
      </c>
      <c r="CO75" s="5" t="s">
        <v>1760</v>
      </c>
      <c r="CP75" s="5" t="s">
        <v>3085</v>
      </c>
      <c r="CQ75" s="22" t="s">
        <v>3086</v>
      </c>
      <c r="CR75" s="5" t="s">
        <v>782</v>
      </c>
      <c r="CS75" s="5" t="s">
        <v>3049</v>
      </c>
    </row>
    <row r="76" customFormat="false" ht="14.25" hidden="false" customHeight="true" outlineLevel="0" collapsed="false">
      <c r="A76" s="5" t="n">
        <v>164</v>
      </c>
      <c r="B76" s="5" t="n">
        <v>164</v>
      </c>
      <c r="C76" s="5" t="s">
        <v>766</v>
      </c>
      <c r="D76" s="5" t="n">
        <v>2000</v>
      </c>
      <c r="E76" s="5" t="s">
        <v>767</v>
      </c>
      <c r="F76" s="5" t="s">
        <v>1263</v>
      </c>
      <c r="G76" s="5" t="s">
        <v>1758</v>
      </c>
      <c r="H76" s="5" t="n">
        <v>25.233</v>
      </c>
      <c r="I76" s="5" t="n">
        <v>87.067</v>
      </c>
      <c r="J76" s="5" t="s">
        <v>83</v>
      </c>
      <c r="K76" s="5" t="s">
        <v>1742</v>
      </c>
      <c r="L76" s="5" t="s">
        <v>777</v>
      </c>
      <c r="M76" s="5" t="s">
        <v>1759</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v>
      </c>
      <c r="BW76" s="5" t="n">
        <v>4</v>
      </c>
      <c r="BX76" s="5" t="n">
        <f aca="false">IF(AND(N(BV76)&gt;0,N(BW76)&gt;0),SQRT(2*BV76/BW76),"")</f>
        <v>0.707106781186548</v>
      </c>
      <c r="BY76" s="5"/>
      <c r="BZ76" s="5"/>
      <c r="CA76" s="5"/>
      <c r="CB76" s="5" t="n">
        <v>1358</v>
      </c>
      <c r="CC76" s="5" t="n">
        <v>25.233</v>
      </c>
      <c r="CD76" s="5" t="n">
        <v>14</v>
      </c>
      <c r="CE76" s="5"/>
      <c r="CF76" s="5"/>
      <c r="CG76" s="5"/>
      <c r="CH76" s="5" t="n">
        <v>4.6</v>
      </c>
      <c r="CI76" s="5"/>
      <c r="CJ76" s="5"/>
      <c r="CK76" s="5"/>
      <c r="CL76" s="5" t="s">
        <v>3045</v>
      </c>
      <c r="CM76" s="5" t="s">
        <v>1743</v>
      </c>
      <c r="CN76" s="5" t="s">
        <v>3076</v>
      </c>
      <c r="CO76" s="5" t="s">
        <v>1760</v>
      </c>
      <c r="CP76" s="5" t="s">
        <v>3085</v>
      </c>
      <c r="CQ76" s="22" t="s">
        <v>3086</v>
      </c>
      <c r="CR76" s="5" t="s">
        <v>782</v>
      </c>
      <c r="CS76" s="5" t="s">
        <v>3049</v>
      </c>
    </row>
    <row r="77" customFormat="false" ht="14.25" hidden="false" customHeight="true" outlineLevel="0" collapsed="false">
      <c r="A77" s="5" t="n">
        <v>164</v>
      </c>
      <c r="B77" s="5" t="n">
        <v>164</v>
      </c>
      <c r="C77" s="5" t="s">
        <v>766</v>
      </c>
      <c r="D77" s="5" t="n">
        <v>2000</v>
      </c>
      <c r="E77" s="5" t="s">
        <v>767</v>
      </c>
      <c r="F77" s="5" t="s">
        <v>1267</v>
      </c>
      <c r="G77" s="5" t="s">
        <v>1762</v>
      </c>
      <c r="H77" s="5" t="n">
        <v>23</v>
      </c>
      <c r="I77" s="5" t="n">
        <v>89</v>
      </c>
      <c r="J77" s="5" t="s">
        <v>83</v>
      </c>
      <c r="K77" s="5" t="s">
        <v>3054</v>
      </c>
      <c r="L77" s="5" t="s">
        <v>796</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v>
      </c>
      <c r="BW77" s="5" t="n">
        <v>4</v>
      </c>
      <c r="BX77" s="5" t="n">
        <f aca="false">IF(AND(N(BV77)&gt;0,N(BW77)&gt;0),SQRT(2*BV77/BW77),"")</f>
        <v>0.707106781186548</v>
      </c>
      <c r="BY77" s="5"/>
      <c r="BZ77" s="5"/>
      <c r="CA77" s="5"/>
      <c r="CB77" s="5"/>
      <c r="CC77" s="5" t="n">
        <v>23</v>
      </c>
      <c r="CD77" s="5" t="n">
        <v>1</v>
      </c>
      <c r="CE77" s="5"/>
      <c r="CF77" s="5"/>
      <c r="CG77" s="5"/>
      <c r="CH77" s="5" t="n">
        <v>9.2</v>
      </c>
      <c r="CI77" s="5"/>
      <c r="CJ77" s="5"/>
      <c r="CK77" s="5"/>
      <c r="CL77" s="5" t="s">
        <v>3045</v>
      </c>
      <c r="CM77" s="5" t="s">
        <v>1743</v>
      </c>
      <c r="CN77" s="5" t="s">
        <v>3055</v>
      </c>
      <c r="CO77" s="5" t="s">
        <v>1765</v>
      </c>
      <c r="CP77" s="5" t="s">
        <v>3089</v>
      </c>
      <c r="CQ77" s="22" t="s">
        <v>3090</v>
      </c>
      <c r="CR77" s="5" t="s">
        <v>782</v>
      </c>
      <c r="CS77" s="5" t="s">
        <v>3049</v>
      </c>
    </row>
    <row r="78" customFormat="false" ht="14.25" hidden="false" customHeight="true" outlineLevel="0" collapsed="false">
      <c r="A78" s="5" t="n">
        <v>164</v>
      </c>
      <c r="B78" s="5" t="n">
        <v>164</v>
      </c>
      <c r="C78" s="5" t="s">
        <v>766</v>
      </c>
      <c r="D78" s="5" t="n">
        <v>2000</v>
      </c>
      <c r="E78" s="5" t="s">
        <v>767</v>
      </c>
      <c r="F78" s="5" t="s">
        <v>1267</v>
      </c>
      <c r="G78" s="5" t="s">
        <v>1762</v>
      </c>
      <c r="H78" s="5" t="n">
        <v>23</v>
      </c>
      <c r="I78" s="5" t="n">
        <v>89</v>
      </c>
      <c r="J78" s="5" t="s">
        <v>83</v>
      </c>
      <c r="K78" s="5" t="s">
        <v>3056</v>
      </c>
      <c r="L78" s="5" t="s">
        <v>796</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v>
      </c>
      <c r="BW78" s="5" t="n">
        <v>4</v>
      </c>
      <c r="BX78" s="5" t="n">
        <f aca="false">IF(AND(N(BV78)&gt;0,N(BW78)&gt;0),SQRT(2*BV78/BW78),"")</f>
        <v>0.707106781186548</v>
      </c>
      <c r="BY78" s="5"/>
      <c r="BZ78" s="5"/>
      <c r="CA78" s="5"/>
      <c r="CB78" s="5"/>
      <c r="CC78" s="5" t="n">
        <v>23</v>
      </c>
      <c r="CD78" s="5" t="n">
        <v>2</v>
      </c>
      <c r="CE78" s="5"/>
      <c r="CF78" s="5"/>
      <c r="CG78" s="5"/>
      <c r="CH78" s="5" t="n">
        <v>9.2</v>
      </c>
      <c r="CI78" s="5"/>
      <c r="CJ78" s="5"/>
      <c r="CK78" s="5"/>
      <c r="CL78" s="5" t="s">
        <v>3045</v>
      </c>
      <c r="CM78" s="5" t="s">
        <v>1743</v>
      </c>
      <c r="CN78" s="5" t="s">
        <v>3057</v>
      </c>
      <c r="CO78" s="5" t="s">
        <v>1765</v>
      </c>
      <c r="CP78" s="5" t="s">
        <v>3089</v>
      </c>
      <c r="CQ78" s="22" t="s">
        <v>3090</v>
      </c>
      <c r="CR78" s="5" t="s">
        <v>782</v>
      </c>
      <c r="CS78" s="5" t="s">
        <v>3049</v>
      </c>
    </row>
    <row r="79" customFormat="false" ht="14.25" hidden="false" customHeight="true" outlineLevel="0" collapsed="false">
      <c r="A79" s="5" t="n">
        <v>164</v>
      </c>
      <c r="B79" s="5" t="n">
        <v>164</v>
      </c>
      <c r="C79" s="5" t="s">
        <v>766</v>
      </c>
      <c r="D79" s="5" t="n">
        <v>2000</v>
      </c>
      <c r="E79" s="5" t="s">
        <v>767</v>
      </c>
      <c r="F79" s="5" t="s">
        <v>1267</v>
      </c>
      <c r="G79" s="5" t="s">
        <v>1762</v>
      </c>
      <c r="H79" s="5" t="n">
        <v>23</v>
      </c>
      <c r="I79" s="5" t="n">
        <v>89</v>
      </c>
      <c r="J79" s="5" t="s">
        <v>83</v>
      </c>
      <c r="K79" s="5" t="s">
        <v>3058</v>
      </c>
      <c r="L79" s="5" t="s">
        <v>796</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v>
      </c>
      <c r="BW79" s="5" t="n">
        <v>4</v>
      </c>
      <c r="BX79" s="5" t="n">
        <f aca="false">IF(AND(N(BV79)&gt;0,N(BW79)&gt;0),SQRT(2*BV79/BW79),"")</f>
        <v>0.707106781186548</v>
      </c>
      <c r="BY79" s="5"/>
      <c r="BZ79" s="5"/>
      <c r="CA79" s="5"/>
      <c r="CB79" s="5"/>
      <c r="CC79" s="5" t="n">
        <v>23</v>
      </c>
      <c r="CD79" s="5" t="n">
        <v>3</v>
      </c>
      <c r="CE79" s="5"/>
      <c r="CF79" s="5"/>
      <c r="CG79" s="5"/>
      <c r="CH79" s="5" t="n">
        <v>9.2</v>
      </c>
      <c r="CI79" s="5"/>
      <c r="CJ79" s="5"/>
      <c r="CK79" s="5"/>
      <c r="CL79" s="5" t="s">
        <v>3045</v>
      </c>
      <c r="CM79" s="5" t="s">
        <v>1743</v>
      </c>
      <c r="CN79" s="5" t="s">
        <v>3059</v>
      </c>
      <c r="CO79" s="5" t="s">
        <v>1765</v>
      </c>
      <c r="CP79" s="5" t="s">
        <v>3089</v>
      </c>
      <c r="CQ79" s="22" t="s">
        <v>3090</v>
      </c>
      <c r="CR79" s="5" t="s">
        <v>782</v>
      </c>
      <c r="CS79" s="5" t="s">
        <v>3049</v>
      </c>
    </row>
    <row r="80" customFormat="false" ht="14.25" hidden="false" customHeight="true" outlineLevel="0" collapsed="false">
      <c r="A80" s="5" t="n">
        <v>164</v>
      </c>
      <c r="B80" s="5" t="n">
        <v>164</v>
      </c>
      <c r="C80" s="5" t="s">
        <v>766</v>
      </c>
      <c r="D80" s="5" t="n">
        <v>2000</v>
      </c>
      <c r="E80" s="5" t="s">
        <v>767</v>
      </c>
      <c r="F80" s="5" t="s">
        <v>1267</v>
      </c>
      <c r="G80" s="5" t="s">
        <v>1762</v>
      </c>
      <c r="H80" s="5" t="n">
        <v>23</v>
      </c>
      <c r="I80" s="5" t="n">
        <v>89</v>
      </c>
      <c r="J80" s="5" t="s">
        <v>83</v>
      </c>
      <c r="K80" s="5" t="s">
        <v>3060</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v>
      </c>
      <c r="BW80" s="5" t="n">
        <v>4</v>
      </c>
      <c r="BX80" s="5" t="n">
        <f aca="false">IF(AND(N(BV80)&gt;0,N(BW80)&gt;0),SQRT(2*BV80/BW80),"")</f>
        <v>0.707106781186548</v>
      </c>
      <c r="BY80" s="5"/>
      <c r="BZ80" s="5"/>
      <c r="CA80" s="5"/>
      <c r="CB80" s="5"/>
      <c r="CC80" s="5" t="n">
        <v>23</v>
      </c>
      <c r="CD80" s="5" t="n">
        <v>4</v>
      </c>
      <c r="CE80" s="5"/>
      <c r="CF80" s="5"/>
      <c r="CG80" s="5"/>
      <c r="CH80" s="5" t="n">
        <v>9.2</v>
      </c>
      <c r="CI80" s="5"/>
      <c r="CJ80" s="5"/>
      <c r="CK80" s="5"/>
      <c r="CL80" s="5" t="s">
        <v>3045</v>
      </c>
      <c r="CM80" s="5" t="s">
        <v>1743</v>
      </c>
      <c r="CN80" s="5" t="s">
        <v>3061</v>
      </c>
      <c r="CO80" s="5" t="s">
        <v>1765</v>
      </c>
      <c r="CP80" s="5" t="s">
        <v>3089</v>
      </c>
      <c r="CQ80" s="22" t="s">
        <v>3090</v>
      </c>
      <c r="CR80" s="5" t="s">
        <v>782</v>
      </c>
      <c r="CS80" s="5" t="s">
        <v>3049</v>
      </c>
    </row>
    <row r="81" customFormat="false" ht="14.25" hidden="false" customHeight="true" outlineLevel="0" collapsed="false">
      <c r="A81" s="5" t="n">
        <v>164</v>
      </c>
      <c r="B81" s="5" t="n">
        <v>164</v>
      </c>
      <c r="C81" s="5" t="s">
        <v>766</v>
      </c>
      <c r="D81" s="5" t="n">
        <v>2000</v>
      </c>
      <c r="E81" s="5" t="s">
        <v>767</v>
      </c>
      <c r="F81" s="5" t="s">
        <v>1267</v>
      </c>
      <c r="G81" s="5" t="s">
        <v>1762</v>
      </c>
      <c r="H81" s="5" t="n">
        <v>23</v>
      </c>
      <c r="I81" s="5" t="n">
        <v>89</v>
      </c>
      <c r="J81" s="5" t="s">
        <v>83</v>
      </c>
      <c r="K81" s="5" t="s">
        <v>3062</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v>
      </c>
      <c r="BW81" s="5" t="n">
        <v>4</v>
      </c>
      <c r="BX81" s="5" t="n">
        <f aca="false">IF(AND(N(BV81)&gt;0,N(BW81)&gt;0),SQRT(2*BV81/BW81),"")</f>
        <v>0.707106781186548</v>
      </c>
      <c r="BY81" s="5"/>
      <c r="BZ81" s="5"/>
      <c r="CA81" s="5"/>
      <c r="CB81" s="5"/>
      <c r="CC81" s="5" t="n">
        <v>23</v>
      </c>
      <c r="CD81" s="5" t="n">
        <v>5</v>
      </c>
      <c r="CE81" s="5"/>
      <c r="CF81" s="5"/>
      <c r="CG81" s="5"/>
      <c r="CH81" s="5" t="n">
        <v>9.2</v>
      </c>
      <c r="CI81" s="5"/>
      <c r="CJ81" s="5"/>
      <c r="CK81" s="5"/>
      <c r="CL81" s="5" t="s">
        <v>3045</v>
      </c>
      <c r="CM81" s="5" t="s">
        <v>1743</v>
      </c>
      <c r="CN81" s="5" t="s">
        <v>3063</v>
      </c>
      <c r="CO81" s="5" t="s">
        <v>1765</v>
      </c>
      <c r="CP81" s="5" t="s">
        <v>3089</v>
      </c>
      <c r="CQ81" s="22" t="s">
        <v>3090</v>
      </c>
      <c r="CR81" s="5" t="s">
        <v>782</v>
      </c>
      <c r="CS81" s="5" t="s">
        <v>3049</v>
      </c>
    </row>
    <row r="82" customFormat="false" ht="14.25" hidden="false" customHeight="true" outlineLevel="0" collapsed="false">
      <c r="A82" s="5" t="n">
        <v>164</v>
      </c>
      <c r="B82" s="5" t="n">
        <v>164</v>
      </c>
      <c r="C82" s="5" t="s">
        <v>766</v>
      </c>
      <c r="D82" s="5" t="n">
        <v>2000</v>
      </c>
      <c r="E82" s="5" t="s">
        <v>767</v>
      </c>
      <c r="F82" s="5" t="s">
        <v>1267</v>
      </c>
      <c r="G82" s="5" t="s">
        <v>1762</v>
      </c>
      <c r="H82" s="5" t="n">
        <v>23</v>
      </c>
      <c r="I82" s="5" t="n">
        <v>89</v>
      </c>
      <c r="J82" s="5" t="s">
        <v>83</v>
      </c>
      <c r="K82" s="5" t="s">
        <v>3064</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v>
      </c>
      <c r="BW82" s="5" t="n">
        <v>4</v>
      </c>
      <c r="BX82" s="5" t="n">
        <f aca="false">IF(AND(N(BV82)&gt;0,N(BW82)&gt;0),SQRT(2*BV82/BW82),"")</f>
        <v>0.707106781186548</v>
      </c>
      <c r="BY82" s="5"/>
      <c r="BZ82" s="5"/>
      <c r="CA82" s="5"/>
      <c r="CB82" s="5"/>
      <c r="CC82" s="5" t="n">
        <v>23</v>
      </c>
      <c r="CD82" s="5" t="n">
        <v>6</v>
      </c>
      <c r="CE82" s="5"/>
      <c r="CF82" s="5"/>
      <c r="CG82" s="5"/>
      <c r="CH82" s="5" t="n">
        <v>9.2</v>
      </c>
      <c r="CI82" s="5"/>
      <c r="CJ82" s="5"/>
      <c r="CK82" s="5"/>
      <c r="CL82" s="5" t="s">
        <v>3045</v>
      </c>
      <c r="CM82" s="5" t="s">
        <v>1743</v>
      </c>
      <c r="CN82" s="5" t="s">
        <v>3065</v>
      </c>
      <c r="CO82" s="5" t="s">
        <v>1765</v>
      </c>
      <c r="CP82" s="5" t="s">
        <v>3089</v>
      </c>
      <c r="CQ82" s="22" t="s">
        <v>3090</v>
      </c>
      <c r="CR82" s="5" t="s">
        <v>782</v>
      </c>
      <c r="CS82" s="5" t="s">
        <v>3049</v>
      </c>
    </row>
    <row r="83" customFormat="false" ht="14.25" hidden="false" customHeight="true" outlineLevel="0" collapsed="false">
      <c r="A83" s="5" t="n">
        <v>164</v>
      </c>
      <c r="B83" s="5" t="n">
        <v>164</v>
      </c>
      <c r="C83" s="5" t="s">
        <v>766</v>
      </c>
      <c r="D83" s="5" t="n">
        <v>2000</v>
      </c>
      <c r="E83" s="5" t="s">
        <v>767</v>
      </c>
      <c r="F83" s="5" t="s">
        <v>1267</v>
      </c>
      <c r="G83" s="5" t="s">
        <v>1762</v>
      </c>
      <c r="H83" s="5" t="n">
        <v>23</v>
      </c>
      <c r="I83" s="5" t="n">
        <v>89</v>
      </c>
      <c r="J83" s="5" t="s">
        <v>83</v>
      </c>
      <c r="K83" s="5" t="s">
        <v>3066</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v>
      </c>
      <c r="BW83" s="5" t="n">
        <v>4</v>
      </c>
      <c r="BX83" s="5" t="n">
        <f aca="false">IF(AND(N(BV83)&gt;0,N(BW83)&gt;0),SQRT(2*BV83/BW83),"")</f>
        <v>0.707106781186548</v>
      </c>
      <c r="BY83" s="5"/>
      <c r="BZ83" s="5"/>
      <c r="CA83" s="5"/>
      <c r="CB83" s="5"/>
      <c r="CC83" s="5" t="n">
        <v>23</v>
      </c>
      <c r="CD83" s="5" t="n">
        <v>7</v>
      </c>
      <c r="CE83" s="5"/>
      <c r="CF83" s="5"/>
      <c r="CG83" s="5"/>
      <c r="CH83" s="5" t="n">
        <v>9.2</v>
      </c>
      <c r="CI83" s="5"/>
      <c r="CJ83" s="5"/>
      <c r="CK83" s="5"/>
      <c r="CL83" s="5" t="s">
        <v>3045</v>
      </c>
      <c r="CM83" s="5" t="s">
        <v>1743</v>
      </c>
      <c r="CN83" s="5" t="s">
        <v>3067</v>
      </c>
      <c r="CO83" s="5" t="s">
        <v>1765</v>
      </c>
      <c r="CP83" s="5" t="s">
        <v>3089</v>
      </c>
      <c r="CQ83" s="22" t="s">
        <v>3090</v>
      </c>
      <c r="CR83" s="5" t="s">
        <v>782</v>
      </c>
      <c r="CS83" s="5" t="s">
        <v>3049</v>
      </c>
    </row>
    <row r="84" customFormat="false" ht="14.25" hidden="false" customHeight="true" outlineLevel="0" collapsed="false">
      <c r="A84" s="5" t="n">
        <v>164</v>
      </c>
      <c r="B84" s="5" t="n">
        <v>164</v>
      </c>
      <c r="C84" s="5" t="s">
        <v>766</v>
      </c>
      <c r="D84" s="5" t="n">
        <v>2000</v>
      </c>
      <c r="E84" s="5" t="s">
        <v>767</v>
      </c>
      <c r="F84" s="5" t="s">
        <v>1267</v>
      </c>
      <c r="G84" s="5" t="s">
        <v>1762</v>
      </c>
      <c r="H84" s="5" t="n">
        <v>23</v>
      </c>
      <c r="I84" s="5" t="n">
        <v>89</v>
      </c>
      <c r="J84" s="5" t="s">
        <v>83</v>
      </c>
      <c r="K84" s="5" t="s">
        <v>3068</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v>
      </c>
      <c r="BW84" s="5" t="n">
        <v>4</v>
      </c>
      <c r="BX84" s="5" t="n">
        <f aca="false">IF(AND(N(BV84)&gt;0,N(BW84)&gt;0),SQRT(2*BV84/BW84),"")</f>
        <v>0.707106781186548</v>
      </c>
      <c r="BY84" s="5"/>
      <c r="BZ84" s="5"/>
      <c r="CA84" s="5"/>
      <c r="CB84" s="5"/>
      <c r="CC84" s="5" t="n">
        <v>23</v>
      </c>
      <c r="CD84" s="5" t="n">
        <v>8</v>
      </c>
      <c r="CE84" s="5"/>
      <c r="CF84" s="5"/>
      <c r="CG84" s="5"/>
      <c r="CH84" s="5" t="n">
        <v>9.2</v>
      </c>
      <c r="CI84" s="5"/>
      <c r="CJ84" s="5"/>
      <c r="CK84" s="5"/>
      <c r="CL84" s="5" t="s">
        <v>3045</v>
      </c>
      <c r="CM84" s="5" t="s">
        <v>1743</v>
      </c>
      <c r="CN84" s="5" t="s">
        <v>3069</v>
      </c>
      <c r="CO84" s="5" t="s">
        <v>1765</v>
      </c>
      <c r="CP84" s="5" t="s">
        <v>3089</v>
      </c>
      <c r="CQ84" s="22" t="s">
        <v>3090</v>
      </c>
      <c r="CR84" s="5" t="s">
        <v>782</v>
      </c>
      <c r="CS84" s="5" t="s">
        <v>3049</v>
      </c>
    </row>
    <row r="85" customFormat="false" ht="14.25" hidden="false" customHeight="true" outlineLevel="0" collapsed="false">
      <c r="A85" s="5" t="n">
        <v>164</v>
      </c>
      <c r="B85" s="5" t="n">
        <v>164</v>
      </c>
      <c r="C85" s="5" t="s">
        <v>766</v>
      </c>
      <c r="D85" s="5" t="n">
        <v>2000</v>
      </c>
      <c r="E85" s="5" t="s">
        <v>767</v>
      </c>
      <c r="F85" s="5" t="s">
        <v>1267</v>
      </c>
      <c r="G85" s="5" t="s">
        <v>1762</v>
      </c>
      <c r="H85" s="5" t="n">
        <v>23</v>
      </c>
      <c r="I85" s="5" t="n">
        <v>89</v>
      </c>
      <c r="J85" s="5" t="s">
        <v>83</v>
      </c>
      <c r="K85" s="5" t="s">
        <v>3070</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v>
      </c>
      <c r="BW85" s="5" t="n">
        <v>4</v>
      </c>
      <c r="BX85" s="5" t="n">
        <f aca="false">IF(AND(N(BV85)&gt;0,N(BW85)&gt;0),SQRT(2*BV85/BW85),"")</f>
        <v>0.707106781186548</v>
      </c>
      <c r="BY85" s="5"/>
      <c r="BZ85" s="5"/>
      <c r="CA85" s="5"/>
      <c r="CB85" s="5"/>
      <c r="CC85" s="5" t="n">
        <v>23</v>
      </c>
      <c r="CD85" s="5" t="n">
        <v>9</v>
      </c>
      <c r="CE85" s="5"/>
      <c r="CF85" s="5"/>
      <c r="CG85" s="5"/>
      <c r="CH85" s="5" t="n">
        <v>9.2</v>
      </c>
      <c r="CI85" s="5"/>
      <c r="CJ85" s="5"/>
      <c r="CK85" s="5"/>
      <c r="CL85" s="5" t="s">
        <v>3045</v>
      </c>
      <c r="CM85" s="5" t="s">
        <v>1743</v>
      </c>
      <c r="CN85" s="5" t="s">
        <v>3071</v>
      </c>
      <c r="CO85" s="5" t="s">
        <v>1765</v>
      </c>
      <c r="CP85" s="5" t="s">
        <v>3089</v>
      </c>
      <c r="CQ85" s="22" t="s">
        <v>3090</v>
      </c>
      <c r="CR85" s="5" t="s">
        <v>782</v>
      </c>
      <c r="CS85" s="5" t="s">
        <v>3049</v>
      </c>
    </row>
    <row r="86" customFormat="false" ht="14.25" hidden="false" customHeight="true" outlineLevel="0" collapsed="false">
      <c r="A86" s="5" t="n">
        <v>164</v>
      </c>
      <c r="B86" s="5" t="n">
        <v>164</v>
      </c>
      <c r="C86" s="5" t="s">
        <v>766</v>
      </c>
      <c r="D86" s="5" t="n">
        <v>2000</v>
      </c>
      <c r="E86" s="5" t="s">
        <v>767</v>
      </c>
      <c r="F86" s="5" t="s">
        <v>1267</v>
      </c>
      <c r="G86" s="5" t="s">
        <v>1762</v>
      </c>
      <c r="H86" s="5" t="n">
        <v>23</v>
      </c>
      <c r="I86" s="5" t="n">
        <v>89</v>
      </c>
      <c r="J86" s="5" t="s">
        <v>83</v>
      </c>
      <c r="K86" s="5" t="s">
        <v>3072</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v>
      </c>
      <c r="BW86" s="5" t="n">
        <v>4</v>
      </c>
      <c r="BX86" s="5" t="n">
        <f aca="false">IF(AND(N(BV86)&gt;0,N(BW86)&gt;0),SQRT(2*BV86/BW86),"")</f>
        <v>0.707106781186548</v>
      </c>
      <c r="BY86" s="5"/>
      <c r="BZ86" s="5"/>
      <c r="CA86" s="5"/>
      <c r="CB86" s="5"/>
      <c r="CC86" s="5" t="n">
        <v>23</v>
      </c>
      <c r="CD86" s="5" t="n">
        <v>10</v>
      </c>
      <c r="CE86" s="5"/>
      <c r="CF86" s="5"/>
      <c r="CG86" s="5"/>
      <c r="CH86" s="5" t="n">
        <v>9.2</v>
      </c>
      <c r="CI86" s="5"/>
      <c r="CJ86" s="5"/>
      <c r="CK86" s="5"/>
      <c r="CL86" s="5" t="s">
        <v>3045</v>
      </c>
      <c r="CM86" s="5" t="s">
        <v>1743</v>
      </c>
      <c r="CN86" s="5" t="s">
        <v>3073</v>
      </c>
      <c r="CO86" s="5" t="s">
        <v>1765</v>
      </c>
      <c r="CP86" s="5" t="s">
        <v>3089</v>
      </c>
      <c r="CQ86" s="22" t="s">
        <v>3090</v>
      </c>
      <c r="CR86" s="5" t="s">
        <v>782</v>
      </c>
      <c r="CS86" s="5" t="s">
        <v>3049</v>
      </c>
    </row>
    <row r="87" customFormat="false" ht="14.25" hidden="false" customHeight="true" outlineLevel="0" collapsed="false">
      <c r="A87" s="5" t="n">
        <v>164</v>
      </c>
      <c r="B87" s="5" t="n">
        <v>164</v>
      </c>
      <c r="C87" s="5" t="s">
        <v>766</v>
      </c>
      <c r="D87" s="5" t="n">
        <v>2000</v>
      </c>
      <c r="E87" s="5" t="s">
        <v>767</v>
      </c>
      <c r="F87" s="5" t="s">
        <v>1267</v>
      </c>
      <c r="G87" s="5" t="s">
        <v>1762</v>
      </c>
      <c r="H87" s="5" t="n">
        <v>23</v>
      </c>
      <c r="I87" s="5" t="n">
        <v>89</v>
      </c>
      <c r="J87" s="5" t="s">
        <v>83</v>
      </c>
      <c r="K87" s="5" t="s">
        <v>3074</v>
      </c>
      <c r="L87" s="5" t="s">
        <v>777</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v>
      </c>
      <c r="BW87" s="5" t="n">
        <v>4</v>
      </c>
      <c r="BX87" s="5" t="n">
        <f aca="false">IF(AND(N(BV87)&gt;0,N(BW87)&gt;0),SQRT(2*BV87/BW87),"")</f>
        <v>0.707106781186548</v>
      </c>
      <c r="BY87" s="5"/>
      <c r="BZ87" s="5"/>
      <c r="CA87" s="5"/>
      <c r="CB87" s="5"/>
      <c r="CC87" s="5" t="n">
        <v>23</v>
      </c>
      <c r="CD87" s="5" t="n">
        <v>11</v>
      </c>
      <c r="CE87" s="5"/>
      <c r="CF87" s="5"/>
      <c r="CG87" s="5"/>
      <c r="CH87" s="5" t="n">
        <v>9.2</v>
      </c>
      <c r="CI87" s="5"/>
      <c r="CJ87" s="5"/>
      <c r="CK87" s="5"/>
      <c r="CL87" s="5" t="s">
        <v>3045</v>
      </c>
      <c r="CM87" s="5" t="s">
        <v>1743</v>
      </c>
      <c r="CN87" s="5" t="s">
        <v>3075</v>
      </c>
      <c r="CO87" s="5" t="s">
        <v>1765</v>
      </c>
      <c r="CP87" s="5" t="s">
        <v>3089</v>
      </c>
      <c r="CQ87" s="22" t="s">
        <v>3090</v>
      </c>
      <c r="CR87" s="5" t="s">
        <v>782</v>
      </c>
      <c r="CS87" s="5" t="s">
        <v>3049</v>
      </c>
    </row>
    <row r="88" customFormat="false" ht="14.25" hidden="false" customHeight="true" outlineLevel="0" collapsed="false">
      <c r="A88" s="5" t="n">
        <v>164</v>
      </c>
      <c r="B88" s="5" t="n">
        <v>164</v>
      </c>
      <c r="C88" s="5" t="s">
        <v>766</v>
      </c>
      <c r="D88" s="5" t="n">
        <v>2000</v>
      </c>
      <c r="E88" s="5" t="s">
        <v>767</v>
      </c>
      <c r="F88" s="5" t="s">
        <v>1267</v>
      </c>
      <c r="G88" s="5" t="s">
        <v>1762</v>
      </c>
      <c r="H88" s="5" t="n">
        <v>23</v>
      </c>
      <c r="I88" s="5" t="n">
        <v>89</v>
      </c>
      <c r="J88" s="5" t="s">
        <v>83</v>
      </c>
      <c r="K88" s="5" t="s">
        <v>1742</v>
      </c>
      <c r="L88" s="5" t="s">
        <v>777</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v>
      </c>
      <c r="BW88" s="5" t="n">
        <v>4</v>
      </c>
      <c r="BX88" s="5" t="n">
        <f aca="false">IF(AND(N(BV88)&gt;0,N(BW88)&gt;0),SQRT(2*BV88/BW88),"")</f>
        <v>0.707106781186548</v>
      </c>
      <c r="BY88" s="5"/>
      <c r="BZ88" s="5"/>
      <c r="CA88" s="5"/>
      <c r="CB88" s="5"/>
      <c r="CC88" s="5" t="n">
        <v>23</v>
      </c>
      <c r="CD88" s="5" t="n">
        <v>12</v>
      </c>
      <c r="CE88" s="5"/>
      <c r="CF88" s="5"/>
      <c r="CG88" s="5"/>
      <c r="CH88" s="5" t="n">
        <v>9.2</v>
      </c>
      <c r="CI88" s="5"/>
      <c r="CJ88" s="5"/>
      <c r="CK88" s="5"/>
      <c r="CL88" s="5" t="s">
        <v>3045</v>
      </c>
      <c r="CM88" s="5" t="s">
        <v>1743</v>
      </c>
      <c r="CN88" s="5" t="s">
        <v>3076</v>
      </c>
      <c r="CO88" s="5" t="s">
        <v>1765</v>
      </c>
      <c r="CP88" s="5" t="s">
        <v>3089</v>
      </c>
      <c r="CQ88" s="22" t="s">
        <v>3090</v>
      </c>
      <c r="CR88" s="5" t="s">
        <v>782</v>
      </c>
      <c r="CS88" s="5" t="s">
        <v>3049</v>
      </c>
    </row>
    <row r="89" customFormat="false" ht="14.25" hidden="false" customHeight="true" outlineLevel="0" collapsed="false">
      <c r="A89" s="5" t="n">
        <v>164</v>
      </c>
      <c r="B89" s="5" t="n">
        <v>164</v>
      </c>
      <c r="C89" s="5" t="s">
        <v>766</v>
      </c>
      <c r="D89" s="5" t="n">
        <v>2000</v>
      </c>
      <c r="E89" s="5" t="s">
        <v>767</v>
      </c>
      <c r="F89" s="5" t="s">
        <v>1267</v>
      </c>
      <c r="G89" s="5" t="s">
        <v>1762</v>
      </c>
      <c r="H89" s="5" t="n">
        <v>23</v>
      </c>
      <c r="I89" s="5" t="n">
        <v>89</v>
      </c>
      <c r="J89" s="5" t="s">
        <v>83</v>
      </c>
      <c r="K89" s="5" t="s">
        <v>1763</v>
      </c>
      <c r="L89" s="5" t="s">
        <v>777</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v>
      </c>
      <c r="BW89" s="5" t="n">
        <v>4</v>
      </c>
      <c r="BX89" s="5" t="n">
        <f aca="false">IF(AND(N(BV89)&gt;0,N(BW89)&gt;0),SQRT(2*BV89/BW89),"")</f>
        <v>0.707106781186548</v>
      </c>
      <c r="BY89" s="5"/>
      <c r="BZ89" s="5"/>
      <c r="CA89" s="5"/>
      <c r="CB89" s="5"/>
      <c r="CC89" s="5" t="n">
        <v>23</v>
      </c>
      <c r="CD89" s="5" t="n">
        <v>13</v>
      </c>
      <c r="CE89" s="5"/>
      <c r="CF89" s="5"/>
      <c r="CG89" s="5"/>
      <c r="CH89" s="5" t="n">
        <v>9.2</v>
      </c>
      <c r="CI89" s="5"/>
      <c r="CJ89" s="5"/>
      <c r="CK89" s="5"/>
      <c r="CL89" s="5" t="s">
        <v>3045</v>
      </c>
      <c r="CM89" s="5" t="s">
        <v>1743</v>
      </c>
      <c r="CN89" s="5" t="s">
        <v>3091</v>
      </c>
      <c r="CO89" s="5" t="s">
        <v>1765</v>
      </c>
      <c r="CP89" s="5" t="s">
        <v>3089</v>
      </c>
      <c r="CQ89" s="22" t="s">
        <v>3090</v>
      </c>
      <c r="CR89" s="5" t="s">
        <v>782</v>
      </c>
      <c r="CS89" s="5" t="s">
        <v>3049</v>
      </c>
    </row>
    <row r="90" customFormat="false" ht="14.25" hidden="false" customHeight="true" outlineLevel="0" collapsed="false">
      <c r="A90" s="5" t="n">
        <v>164</v>
      </c>
      <c r="B90" s="5" t="n">
        <v>164</v>
      </c>
      <c r="C90" s="5" t="s">
        <v>766</v>
      </c>
      <c r="D90" s="5" t="n">
        <v>2000</v>
      </c>
      <c r="E90" s="5" t="s">
        <v>767</v>
      </c>
      <c r="F90" s="5" t="s">
        <v>1272</v>
      </c>
      <c r="G90" s="5" t="s">
        <v>1767</v>
      </c>
      <c r="H90" s="5" t="n">
        <v>23.167</v>
      </c>
      <c r="I90" s="5" t="n">
        <v>79.95</v>
      </c>
      <c r="J90" s="5" t="s">
        <v>83</v>
      </c>
      <c r="K90" s="5" t="s">
        <v>3052</v>
      </c>
      <c r="L90" s="5" t="s">
        <v>796</v>
      </c>
      <c r="M90" s="5" t="s">
        <v>1759</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v>
      </c>
      <c r="BW90" s="5" t="n">
        <v>4</v>
      </c>
      <c r="BX90" s="5" t="n">
        <f aca="false">IF(AND(N(BV90)&gt;0,N(BW90)&gt;0),SQRT(2*BV90/BW90),"")</f>
        <v>0.707106781186548</v>
      </c>
      <c r="BY90" s="5"/>
      <c r="BZ90" s="5"/>
      <c r="CA90" s="5"/>
      <c r="CB90" s="5" t="n">
        <v>850</v>
      </c>
      <c r="CC90" s="5" t="n">
        <v>23.167</v>
      </c>
      <c r="CD90" s="5" t="n">
        <v>1</v>
      </c>
      <c r="CE90" s="5"/>
      <c r="CF90" s="5"/>
      <c r="CG90" s="5"/>
      <c r="CH90" s="5" t="n">
        <v>6.9</v>
      </c>
      <c r="CI90" s="5"/>
      <c r="CJ90" s="5"/>
      <c r="CK90" s="5"/>
      <c r="CL90" s="5" t="s">
        <v>3045</v>
      </c>
      <c r="CM90" s="5" t="s">
        <v>1743</v>
      </c>
      <c r="CN90" s="5" t="s">
        <v>3053</v>
      </c>
      <c r="CO90" s="5" t="s">
        <v>1768</v>
      </c>
      <c r="CP90" s="5" t="s">
        <v>3092</v>
      </c>
      <c r="CQ90" s="22" t="s">
        <v>3093</v>
      </c>
      <c r="CR90" s="5" t="s">
        <v>782</v>
      </c>
      <c r="CS90" s="5" t="s">
        <v>3049</v>
      </c>
    </row>
    <row r="91" customFormat="false" ht="14.25" hidden="false" customHeight="true" outlineLevel="0" collapsed="false">
      <c r="A91" s="5" t="n">
        <v>164</v>
      </c>
      <c r="B91" s="5" t="n">
        <v>164</v>
      </c>
      <c r="C91" s="5" t="s">
        <v>766</v>
      </c>
      <c r="D91" s="5" t="n">
        <v>2000</v>
      </c>
      <c r="E91" s="5" t="s">
        <v>767</v>
      </c>
      <c r="F91" s="5" t="s">
        <v>1272</v>
      </c>
      <c r="G91" s="5" t="s">
        <v>1767</v>
      </c>
      <c r="H91" s="5" t="n">
        <v>23.167</v>
      </c>
      <c r="I91" s="5" t="n">
        <v>79.95</v>
      </c>
      <c r="J91" s="5" t="s">
        <v>83</v>
      </c>
      <c r="K91" s="5" t="s">
        <v>3054</v>
      </c>
      <c r="L91" s="5" t="s">
        <v>796</v>
      </c>
      <c r="M91" s="5" t="s">
        <v>1759</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v>
      </c>
      <c r="BW91" s="5" t="n">
        <v>4</v>
      </c>
      <c r="BX91" s="5" t="n">
        <f aca="false">IF(AND(N(BV91)&gt;0,N(BW91)&gt;0),SQRT(2*BV91/BW91),"")</f>
        <v>0.707106781186548</v>
      </c>
      <c r="BY91" s="5"/>
      <c r="BZ91" s="5"/>
      <c r="CA91" s="5"/>
      <c r="CB91" s="5" t="n">
        <v>850</v>
      </c>
      <c r="CC91" s="5" t="n">
        <v>23.167</v>
      </c>
      <c r="CD91" s="5" t="n">
        <v>2</v>
      </c>
      <c r="CE91" s="5"/>
      <c r="CF91" s="5"/>
      <c r="CG91" s="5"/>
      <c r="CH91" s="5" t="n">
        <v>6.9</v>
      </c>
      <c r="CI91" s="5"/>
      <c r="CJ91" s="5"/>
      <c r="CK91" s="5"/>
      <c r="CL91" s="5" t="s">
        <v>3045</v>
      </c>
      <c r="CM91" s="5" t="s">
        <v>1743</v>
      </c>
      <c r="CN91" s="5" t="s">
        <v>3055</v>
      </c>
      <c r="CO91" s="5" t="s">
        <v>1768</v>
      </c>
      <c r="CP91" s="5" t="s">
        <v>3092</v>
      </c>
      <c r="CQ91" s="22" t="s">
        <v>3093</v>
      </c>
      <c r="CR91" s="5" t="s">
        <v>782</v>
      </c>
      <c r="CS91" s="5" t="s">
        <v>3049</v>
      </c>
    </row>
    <row r="92" customFormat="false" ht="14.25" hidden="false" customHeight="true" outlineLevel="0" collapsed="false">
      <c r="A92" s="5" t="n">
        <v>164</v>
      </c>
      <c r="B92" s="5" t="n">
        <v>164</v>
      </c>
      <c r="C92" s="5" t="s">
        <v>766</v>
      </c>
      <c r="D92" s="5" t="n">
        <v>2000</v>
      </c>
      <c r="E92" s="5" t="s">
        <v>767</v>
      </c>
      <c r="F92" s="5" t="s">
        <v>1272</v>
      </c>
      <c r="G92" s="5" t="s">
        <v>1767</v>
      </c>
      <c r="H92" s="5" t="n">
        <v>23.167</v>
      </c>
      <c r="I92" s="5" t="n">
        <v>79.95</v>
      </c>
      <c r="J92" s="5" t="s">
        <v>83</v>
      </c>
      <c r="K92" s="5" t="s">
        <v>3056</v>
      </c>
      <c r="L92" s="5" t="s">
        <v>796</v>
      </c>
      <c r="M92" s="5" t="s">
        <v>1759</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v>
      </c>
      <c r="BW92" s="5" t="n">
        <v>4</v>
      </c>
      <c r="BX92" s="5" t="n">
        <f aca="false">IF(AND(N(BV92)&gt;0,N(BW92)&gt;0),SQRT(2*BV92/BW92),"")</f>
        <v>0.707106781186548</v>
      </c>
      <c r="BY92" s="5"/>
      <c r="BZ92" s="5"/>
      <c r="CA92" s="5"/>
      <c r="CB92" s="5" t="n">
        <v>850</v>
      </c>
      <c r="CC92" s="5" t="n">
        <v>23.167</v>
      </c>
      <c r="CD92" s="5" t="n">
        <v>3</v>
      </c>
      <c r="CE92" s="5"/>
      <c r="CF92" s="5"/>
      <c r="CG92" s="5"/>
      <c r="CH92" s="5" t="n">
        <v>6.9</v>
      </c>
      <c r="CI92" s="5"/>
      <c r="CJ92" s="5"/>
      <c r="CK92" s="5"/>
      <c r="CL92" s="5" t="s">
        <v>3045</v>
      </c>
      <c r="CM92" s="5" t="s">
        <v>1743</v>
      </c>
      <c r="CN92" s="5" t="s">
        <v>3057</v>
      </c>
      <c r="CO92" s="5" t="s">
        <v>1768</v>
      </c>
      <c r="CP92" s="5" t="s">
        <v>3092</v>
      </c>
      <c r="CQ92" s="22" t="s">
        <v>3093</v>
      </c>
      <c r="CR92" s="5" t="s">
        <v>782</v>
      </c>
      <c r="CS92" s="5" t="s">
        <v>3049</v>
      </c>
    </row>
    <row r="93" customFormat="false" ht="14.25" hidden="false" customHeight="true" outlineLevel="0" collapsed="false">
      <c r="A93" s="5" t="n">
        <v>164</v>
      </c>
      <c r="B93" s="5" t="n">
        <v>164</v>
      </c>
      <c r="C93" s="5" t="s">
        <v>766</v>
      </c>
      <c r="D93" s="5" t="n">
        <v>2000</v>
      </c>
      <c r="E93" s="5" t="s">
        <v>767</v>
      </c>
      <c r="F93" s="5" t="s">
        <v>1272</v>
      </c>
      <c r="G93" s="5" t="s">
        <v>1767</v>
      </c>
      <c r="H93" s="5" t="n">
        <v>23.167</v>
      </c>
      <c r="I93" s="5" t="n">
        <v>79.95</v>
      </c>
      <c r="J93" s="5" t="s">
        <v>83</v>
      </c>
      <c r="K93" s="5" t="s">
        <v>3058</v>
      </c>
      <c r="L93" s="5" t="s">
        <v>84</v>
      </c>
      <c r="M93" s="5" t="s">
        <v>1759</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v>
      </c>
      <c r="BW93" s="5" t="n">
        <v>4</v>
      </c>
      <c r="BX93" s="5" t="n">
        <f aca="false">IF(AND(N(BV93)&gt;0,N(BW93)&gt;0),SQRT(2*BV93/BW93),"")</f>
        <v>0.707106781186548</v>
      </c>
      <c r="BY93" s="5"/>
      <c r="BZ93" s="5"/>
      <c r="CA93" s="5"/>
      <c r="CB93" s="5" t="n">
        <v>850</v>
      </c>
      <c r="CC93" s="5" t="n">
        <v>23.167</v>
      </c>
      <c r="CD93" s="5" t="n">
        <v>4</v>
      </c>
      <c r="CE93" s="5"/>
      <c r="CF93" s="5"/>
      <c r="CG93" s="5"/>
      <c r="CH93" s="5" t="n">
        <v>6.9</v>
      </c>
      <c r="CI93" s="5"/>
      <c r="CJ93" s="5"/>
      <c r="CK93" s="5"/>
      <c r="CL93" s="5" t="s">
        <v>3045</v>
      </c>
      <c r="CM93" s="5" t="s">
        <v>1743</v>
      </c>
      <c r="CN93" s="5" t="s">
        <v>3059</v>
      </c>
      <c r="CO93" s="5" t="s">
        <v>1768</v>
      </c>
      <c r="CP93" s="5" t="s">
        <v>3092</v>
      </c>
      <c r="CQ93" s="22" t="s">
        <v>3094</v>
      </c>
      <c r="CR93" s="5" t="s">
        <v>782</v>
      </c>
      <c r="CS93" s="5" t="s">
        <v>3049</v>
      </c>
    </row>
    <row r="94" customFormat="false" ht="14.25" hidden="false" customHeight="true" outlineLevel="0" collapsed="false">
      <c r="A94" s="5" t="n">
        <v>164</v>
      </c>
      <c r="B94" s="5" t="n">
        <v>164</v>
      </c>
      <c r="C94" s="5" t="s">
        <v>766</v>
      </c>
      <c r="D94" s="5" t="n">
        <v>2000</v>
      </c>
      <c r="E94" s="5" t="s">
        <v>767</v>
      </c>
      <c r="F94" s="5" t="s">
        <v>1272</v>
      </c>
      <c r="G94" s="5" t="s">
        <v>1767</v>
      </c>
      <c r="H94" s="5" t="n">
        <v>23.167</v>
      </c>
      <c r="I94" s="5" t="n">
        <v>79.95</v>
      </c>
      <c r="J94" s="5" t="s">
        <v>83</v>
      </c>
      <c r="K94" s="5" t="s">
        <v>3060</v>
      </c>
      <c r="L94" s="5" t="s">
        <v>84</v>
      </c>
      <c r="M94" s="5" t="s">
        <v>1759</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v>
      </c>
      <c r="BW94" s="5" t="n">
        <v>4</v>
      </c>
      <c r="BX94" s="5" t="n">
        <f aca="false">IF(AND(N(BV94)&gt;0,N(BW94)&gt;0),SQRT(2*BV94/BW94),"")</f>
        <v>0.707106781186548</v>
      </c>
      <c r="BY94" s="5"/>
      <c r="BZ94" s="5"/>
      <c r="CA94" s="5"/>
      <c r="CB94" s="5" t="n">
        <v>850</v>
      </c>
      <c r="CC94" s="5" t="n">
        <v>23.167</v>
      </c>
      <c r="CD94" s="5" t="n">
        <v>5</v>
      </c>
      <c r="CE94" s="5"/>
      <c r="CF94" s="5"/>
      <c r="CG94" s="5"/>
      <c r="CH94" s="5" t="n">
        <v>6.9</v>
      </c>
      <c r="CI94" s="5"/>
      <c r="CJ94" s="5"/>
      <c r="CK94" s="5"/>
      <c r="CL94" s="5" t="s">
        <v>3045</v>
      </c>
      <c r="CM94" s="5" t="s">
        <v>1743</v>
      </c>
      <c r="CN94" s="5" t="s">
        <v>3061</v>
      </c>
      <c r="CO94" s="5" t="s">
        <v>1768</v>
      </c>
      <c r="CP94" s="5" t="s">
        <v>3092</v>
      </c>
      <c r="CQ94" s="22" t="s">
        <v>3095</v>
      </c>
      <c r="CR94" s="5" t="s">
        <v>782</v>
      </c>
      <c r="CS94" s="5" t="s">
        <v>3049</v>
      </c>
    </row>
    <row r="95" customFormat="false" ht="14.25" hidden="false" customHeight="true" outlineLevel="0" collapsed="false">
      <c r="A95" s="5" t="n">
        <v>164</v>
      </c>
      <c r="B95" s="5" t="n">
        <v>164</v>
      </c>
      <c r="C95" s="5" t="s">
        <v>766</v>
      </c>
      <c r="D95" s="5" t="n">
        <v>2000</v>
      </c>
      <c r="E95" s="5" t="s">
        <v>767</v>
      </c>
      <c r="F95" s="5" t="s">
        <v>1272</v>
      </c>
      <c r="G95" s="5" t="s">
        <v>1767</v>
      </c>
      <c r="H95" s="5" t="n">
        <v>23.167</v>
      </c>
      <c r="I95" s="5" t="n">
        <v>79.95</v>
      </c>
      <c r="J95" s="5" t="s">
        <v>83</v>
      </c>
      <c r="K95" s="5" t="s">
        <v>3062</v>
      </c>
      <c r="L95" s="5" t="s">
        <v>84</v>
      </c>
      <c r="M95" s="5" t="s">
        <v>1759</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v>
      </c>
      <c r="BW95" s="5" t="n">
        <v>4</v>
      </c>
      <c r="BX95" s="5" t="n">
        <f aca="false">IF(AND(N(BV95)&gt;0,N(BW95)&gt;0),SQRT(2*BV95/BW95),"")</f>
        <v>0.707106781186548</v>
      </c>
      <c r="BY95" s="5"/>
      <c r="BZ95" s="5"/>
      <c r="CA95" s="5"/>
      <c r="CB95" s="5" t="n">
        <v>850</v>
      </c>
      <c r="CC95" s="5" t="n">
        <v>23.167</v>
      </c>
      <c r="CD95" s="5" t="n">
        <v>6</v>
      </c>
      <c r="CE95" s="5"/>
      <c r="CF95" s="5"/>
      <c r="CG95" s="5"/>
      <c r="CH95" s="5" t="n">
        <v>6.9</v>
      </c>
      <c r="CI95" s="5"/>
      <c r="CJ95" s="5"/>
      <c r="CK95" s="5"/>
      <c r="CL95" s="5" t="s">
        <v>3045</v>
      </c>
      <c r="CM95" s="5" t="s">
        <v>1743</v>
      </c>
      <c r="CN95" s="5" t="s">
        <v>3063</v>
      </c>
      <c r="CO95" s="5" t="s">
        <v>1768</v>
      </c>
      <c r="CP95" s="5" t="s">
        <v>3092</v>
      </c>
      <c r="CQ95" s="22" t="s">
        <v>3093</v>
      </c>
      <c r="CR95" s="5" t="s">
        <v>782</v>
      </c>
      <c r="CS95" s="5" t="s">
        <v>3049</v>
      </c>
    </row>
    <row r="96" customFormat="false" ht="14.25" hidden="false" customHeight="true" outlineLevel="0" collapsed="false">
      <c r="A96" s="5" t="n">
        <v>164</v>
      </c>
      <c r="B96" s="5" t="n">
        <v>164</v>
      </c>
      <c r="C96" s="5" t="s">
        <v>766</v>
      </c>
      <c r="D96" s="5" t="n">
        <v>2000</v>
      </c>
      <c r="E96" s="5" t="s">
        <v>767</v>
      </c>
      <c r="F96" s="5" t="s">
        <v>1272</v>
      </c>
      <c r="G96" s="5" t="s">
        <v>1767</v>
      </c>
      <c r="H96" s="5" t="n">
        <v>23.167</v>
      </c>
      <c r="I96" s="5" t="n">
        <v>79.95</v>
      </c>
      <c r="J96" s="5" t="s">
        <v>83</v>
      </c>
      <c r="K96" s="5" t="s">
        <v>3064</v>
      </c>
      <c r="L96" s="5" t="s">
        <v>84</v>
      </c>
      <c r="M96" s="5" t="s">
        <v>1759</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v>
      </c>
      <c r="BW96" s="5" t="n">
        <v>4</v>
      </c>
      <c r="BX96" s="5" t="n">
        <f aca="false">IF(AND(N(BV96)&gt;0,N(BW96)&gt;0),SQRT(2*BV96/BW96),"")</f>
        <v>0.707106781186548</v>
      </c>
      <c r="BY96" s="5"/>
      <c r="BZ96" s="5"/>
      <c r="CA96" s="5"/>
      <c r="CB96" s="5" t="n">
        <v>850</v>
      </c>
      <c r="CC96" s="5" t="n">
        <v>23.167</v>
      </c>
      <c r="CD96" s="5" t="n">
        <v>7</v>
      </c>
      <c r="CE96" s="5"/>
      <c r="CF96" s="5"/>
      <c r="CG96" s="5"/>
      <c r="CH96" s="5" t="n">
        <v>6.9</v>
      </c>
      <c r="CI96" s="5"/>
      <c r="CJ96" s="5"/>
      <c r="CK96" s="5"/>
      <c r="CL96" s="5" t="s">
        <v>3045</v>
      </c>
      <c r="CM96" s="5" t="s">
        <v>1743</v>
      </c>
      <c r="CN96" s="5" t="s">
        <v>3065</v>
      </c>
      <c r="CO96" s="5" t="s">
        <v>1768</v>
      </c>
      <c r="CP96" s="5" t="s">
        <v>3092</v>
      </c>
      <c r="CQ96" s="22" t="s">
        <v>3093</v>
      </c>
      <c r="CR96" s="5" t="s">
        <v>782</v>
      </c>
      <c r="CS96" s="5" t="s">
        <v>3049</v>
      </c>
    </row>
    <row r="97" customFormat="false" ht="14.25" hidden="false" customHeight="true" outlineLevel="0" collapsed="false">
      <c r="A97" s="5" t="n">
        <v>164</v>
      </c>
      <c r="B97" s="5" t="n">
        <v>164</v>
      </c>
      <c r="C97" s="5" t="s">
        <v>766</v>
      </c>
      <c r="D97" s="5" t="n">
        <v>2000</v>
      </c>
      <c r="E97" s="5" t="s">
        <v>767</v>
      </c>
      <c r="F97" s="5" t="s">
        <v>1272</v>
      </c>
      <c r="G97" s="5" t="s">
        <v>1767</v>
      </c>
      <c r="H97" s="5" t="n">
        <v>23.167</v>
      </c>
      <c r="I97" s="5" t="n">
        <v>79.95</v>
      </c>
      <c r="J97" s="5" t="s">
        <v>83</v>
      </c>
      <c r="K97" s="5" t="s">
        <v>3066</v>
      </c>
      <c r="L97" s="5" t="s">
        <v>84</v>
      </c>
      <c r="M97" s="5" t="s">
        <v>1759</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v>
      </c>
      <c r="BW97" s="5" t="n">
        <v>4</v>
      </c>
      <c r="BX97" s="5" t="n">
        <f aca="false">IF(AND(N(BV97)&gt;0,N(BW97)&gt;0),SQRT(2*BV97/BW97),"")</f>
        <v>0.707106781186548</v>
      </c>
      <c r="BY97" s="5"/>
      <c r="BZ97" s="5"/>
      <c r="CA97" s="5"/>
      <c r="CB97" s="5" t="n">
        <v>850</v>
      </c>
      <c r="CC97" s="5" t="n">
        <v>23.167</v>
      </c>
      <c r="CD97" s="5" t="n">
        <v>8</v>
      </c>
      <c r="CE97" s="5"/>
      <c r="CF97" s="5"/>
      <c r="CG97" s="5"/>
      <c r="CH97" s="5" t="n">
        <v>6.9</v>
      </c>
      <c r="CI97" s="5"/>
      <c r="CJ97" s="5"/>
      <c r="CK97" s="5"/>
      <c r="CL97" s="5" t="s">
        <v>3045</v>
      </c>
      <c r="CM97" s="5" t="s">
        <v>1743</v>
      </c>
      <c r="CN97" s="5" t="s">
        <v>3067</v>
      </c>
      <c r="CO97" s="5" t="s">
        <v>1768</v>
      </c>
      <c r="CP97" s="5" t="s">
        <v>3092</v>
      </c>
      <c r="CQ97" s="22" t="s">
        <v>3093</v>
      </c>
      <c r="CR97" s="5" t="s">
        <v>782</v>
      </c>
      <c r="CS97" s="5" t="s">
        <v>3049</v>
      </c>
    </row>
    <row r="98" customFormat="false" ht="14.25" hidden="false" customHeight="true" outlineLevel="0" collapsed="false">
      <c r="A98" s="5" t="n">
        <v>164</v>
      </c>
      <c r="B98" s="5" t="n">
        <v>164</v>
      </c>
      <c r="C98" s="5" t="s">
        <v>766</v>
      </c>
      <c r="D98" s="5" t="n">
        <v>2000</v>
      </c>
      <c r="E98" s="5" t="s">
        <v>767</v>
      </c>
      <c r="F98" s="5" t="s">
        <v>1272</v>
      </c>
      <c r="G98" s="5" t="s">
        <v>1767</v>
      </c>
      <c r="H98" s="5" t="n">
        <v>23.167</v>
      </c>
      <c r="I98" s="5" t="n">
        <v>79.95</v>
      </c>
      <c r="J98" s="5" t="s">
        <v>83</v>
      </c>
      <c r="K98" s="5" t="s">
        <v>3068</v>
      </c>
      <c r="L98" s="5" t="s">
        <v>84</v>
      </c>
      <c r="M98" s="5" t="s">
        <v>1759</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v>
      </c>
      <c r="BW98" s="5" t="n">
        <v>4</v>
      </c>
      <c r="BX98" s="5" t="n">
        <f aca="false">IF(AND(N(BV98)&gt;0,N(BW98)&gt;0),SQRT(2*BV98/BW98),"")</f>
        <v>0.707106781186548</v>
      </c>
      <c r="BY98" s="5"/>
      <c r="BZ98" s="5"/>
      <c r="CA98" s="5"/>
      <c r="CB98" s="5" t="n">
        <v>850</v>
      </c>
      <c r="CC98" s="5" t="n">
        <v>23.167</v>
      </c>
      <c r="CD98" s="5" t="n">
        <v>9</v>
      </c>
      <c r="CE98" s="5"/>
      <c r="CF98" s="5"/>
      <c r="CG98" s="5"/>
      <c r="CH98" s="5" t="n">
        <v>6.9</v>
      </c>
      <c r="CI98" s="5"/>
      <c r="CJ98" s="5"/>
      <c r="CK98" s="5"/>
      <c r="CL98" s="5" t="s">
        <v>3045</v>
      </c>
      <c r="CM98" s="5" t="s">
        <v>1743</v>
      </c>
      <c r="CN98" s="5" t="s">
        <v>3069</v>
      </c>
      <c r="CO98" s="5" t="s">
        <v>1768</v>
      </c>
      <c r="CP98" s="5" t="s">
        <v>3092</v>
      </c>
      <c r="CQ98" s="22" t="s">
        <v>3093</v>
      </c>
      <c r="CR98" s="5" t="s">
        <v>782</v>
      </c>
      <c r="CS98" s="5" t="s">
        <v>3049</v>
      </c>
    </row>
    <row r="99" customFormat="false" ht="14.25" hidden="false" customHeight="true" outlineLevel="0" collapsed="false">
      <c r="A99" s="5" t="n">
        <v>164</v>
      </c>
      <c r="B99" s="5" t="n">
        <v>164</v>
      </c>
      <c r="C99" s="5" t="s">
        <v>766</v>
      </c>
      <c r="D99" s="5" t="n">
        <v>2000</v>
      </c>
      <c r="E99" s="5" t="s">
        <v>767</v>
      </c>
      <c r="F99" s="5" t="s">
        <v>1272</v>
      </c>
      <c r="G99" s="5" t="s">
        <v>1767</v>
      </c>
      <c r="H99" s="5" t="n">
        <v>23.167</v>
      </c>
      <c r="I99" s="5" t="n">
        <v>79.95</v>
      </c>
      <c r="J99" s="5" t="s">
        <v>83</v>
      </c>
      <c r="K99" s="5" t="s">
        <v>3070</v>
      </c>
      <c r="L99" s="5" t="s">
        <v>84</v>
      </c>
      <c r="M99" s="5" t="s">
        <v>1759</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v>
      </c>
      <c r="BW99" s="5" t="n">
        <v>4</v>
      </c>
      <c r="BX99" s="5" t="n">
        <f aca="false">IF(AND(N(BV99)&gt;0,N(BW99)&gt;0),SQRT(2*BV99/BW99),"")</f>
        <v>0.707106781186548</v>
      </c>
      <c r="BY99" s="5"/>
      <c r="BZ99" s="5"/>
      <c r="CA99" s="5"/>
      <c r="CB99" s="5" t="n">
        <v>850</v>
      </c>
      <c r="CC99" s="5" t="n">
        <v>23.167</v>
      </c>
      <c r="CD99" s="5" t="n">
        <v>10</v>
      </c>
      <c r="CE99" s="5"/>
      <c r="CF99" s="5"/>
      <c r="CG99" s="5"/>
      <c r="CH99" s="5" t="n">
        <v>6.9</v>
      </c>
      <c r="CI99" s="5"/>
      <c r="CJ99" s="5"/>
      <c r="CK99" s="5"/>
      <c r="CL99" s="5" t="s">
        <v>3045</v>
      </c>
      <c r="CM99" s="5" t="s">
        <v>1743</v>
      </c>
      <c r="CN99" s="5" t="s">
        <v>3071</v>
      </c>
      <c r="CO99" s="5" t="s">
        <v>1768</v>
      </c>
      <c r="CP99" s="5" t="s">
        <v>3092</v>
      </c>
      <c r="CQ99" s="22" t="s">
        <v>3093</v>
      </c>
      <c r="CR99" s="5" t="s">
        <v>782</v>
      </c>
      <c r="CS99" s="5" t="s">
        <v>3049</v>
      </c>
    </row>
    <row r="100" customFormat="false" ht="14.25" hidden="false" customHeight="true" outlineLevel="0" collapsed="false">
      <c r="A100" s="5" t="n">
        <v>164</v>
      </c>
      <c r="B100" s="5" t="n">
        <v>164</v>
      </c>
      <c r="C100" s="5" t="s">
        <v>766</v>
      </c>
      <c r="D100" s="5" t="n">
        <v>2000</v>
      </c>
      <c r="E100" s="5" t="s">
        <v>767</v>
      </c>
      <c r="F100" s="5" t="s">
        <v>1272</v>
      </c>
      <c r="G100" s="5" t="s">
        <v>1767</v>
      </c>
      <c r="H100" s="5" t="n">
        <v>23.167</v>
      </c>
      <c r="I100" s="5" t="n">
        <v>79.95</v>
      </c>
      <c r="J100" s="5" t="s">
        <v>83</v>
      </c>
      <c r="K100" s="5" t="s">
        <v>3072</v>
      </c>
      <c r="L100" s="5" t="s">
        <v>777</v>
      </c>
      <c r="M100" s="5" t="s">
        <v>1759</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v>
      </c>
      <c r="BW100" s="5" t="n">
        <v>4</v>
      </c>
      <c r="BX100" s="5" t="n">
        <f aca="false">IF(AND(N(BV100)&gt;0,N(BW100)&gt;0),SQRT(2*BV100/BW100),"")</f>
        <v>0.707106781186548</v>
      </c>
      <c r="BY100" s="5"/>
      <c r="BZ100" s="5"/>
      <c r="CA100" s="5"/>
      <c r="CB100" s="5" t="n">
        <v>850</v>
      </c>
      <c r="CC100" s="5" t="n">
        <v>23.167</v>
      </c>
      <c r="CD100" s="5" t="n">
        <v>11</v>
      </c>
      <c r="CE100" s="5"/>
      <c r="CF100" s="5"/>
      <c r="CG100" s="5"/>
      <c r="CH100" s="5" t="n">
        <v>6.9</v>
      </c>
      <c r="CI100" s="5"/>
      <c r="CJ100" s="5"/>
      <c r="CK100" s="5"/>
      <c r="CL100" s="5" t="s">
        <v>3045</v>
      </c>
      <c r="CM100" s="5" t="s">
        <v>1743</v>
      </c>
      <c r="CN100" s="5" t="s">
        <v>3073</v>
      </c>
      <c r="CO100" s="5" t="s">
        <v>1768</v>
      </c>
      <c r="CP100" s="5" t="s">
        <v>3092</v>
      </c>
      <c r="CQ100" s="22" t="s">
        <v>3093</v>
      </c>
      <c r="CR100" s="5" t="s">
        <v>782</v>
      </c>
      <c r="CS100" s="5" t="s">
        <v>3049</v>
      </c>
    </row>
    <row r="101" customFormat="false" ht="14.25" hidden="false" customHeight="true" outlineLevel="0" collapsed="false">
      <c r="A101" s="5" t="n">
        <v>164</v>
      </c>
      <c r="B101" s="5" t="n">
        <v>164</v>
      </c>
      <c r="C101" s="5" t="s">
        <v>766</v>
      </c>
      <c r="D101" s="5" t="n">
        <v>2000</v>
      </c>
      <c r="E101" s="5" t="s">
        <v>767</v>
      </c>
      <c r="F101" s="5" t="s">
        <v>1272</v>
      </c>
      <c r="G101" s="5" t="s">
        <v>1767</v>
      </c>
      <c r="H101" s="5" t="n">
        <v>23.167</v>
      </c>
      <c r="I101" s="5" t="n">
        <v>79.95</v>
      </c>
      <c r="J101" s="5" t="s">
        <v>83</v>
      </c>
      <c r="K101" s="5" t="s">
        <v>3074</v>
      </c>
      <c r="L101" s="5" t="s">
        <v>777</v>
      </c>
      <c r="M101" s="5" t="s">
        <v>1759</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v>
      </c>
      <c r="BW101" s="5" t="n">
        <v>4</v>
      </c>
      <c r="BX101" s="5" t="n">
        <f aca="false">IF(AND(N(BV101)&gt;0,N(BW101)&gt;0),SQRT(2*BV101/BW101),"")</f>
        <v>0.707106781186548</v>
      </c>
      <c r="BY101" s="5"/>
      <c r="BZ101" s="5"/>
      <c r="CA101" s="5"/>
      <c r="CB101" s="5" t="n">
        <v>850</v>
      </c>
      <c r="CC101" s="5" t="n">
        <v>23.167</v>
      </c>
      <c r="CD101" s="5" t="n">
        <v>12</v>
      </c>
      <c r="CE101" s="5"/>
      <c r="CF101" s="5"/>
      <c r="CG101" s="5"/>
      <c r="CH101" s="5" t="n">
        <v>6.9</v>
      </c>
      <c r="CI101" s="5"/>
      <c r="CJ101" s="5"/>
      <c r="CK101" s="5"/>
      <c r="CL101" s="5" t="s">
        <v>3045</v>
      </c>
      <c r="CM101" s="5" t="s">
        <v>1743</v>
      </c>
      <c r="CN101" s="5" t="s">
        <v>3075</v>
      </c>
      <c r="CO101" s="5" t="s">
        <v>1768</v>
      </c>
      <c r="CP101" s="5" t="s">
        <v>3092</v>
      </c>
      <c r="CQ101" s="22" t="s">
        <v>3093</v>
      </c>
      <c r="CR101" s="5" t="s">
        <v>782</v>
      </c>
      <c r="CS101" s="5" t="s">
        <v>3049</v>
      </c>
    </row>
    <row r="102" customFormat="false" ht="14.25" hidden="false" customHeight="true" outlineLevel="0" collapsed="false">
      <c r="A102" s="5" t="n">
        <v>164</v>
      </c>
      <c r="B102" s="5" t="n">
        <v>164</v>
      </c>
      <c r="C102" s="5" t="s">
        <v>766</v>
      </c>
      <c r="D102" s="5" t="n">
        <v>2000</v>
      </c>
      <c r="E102" s="5" t="s">
        <v>767</v>
      </c>
      <c r="F102" s="5" t="s">
        <v>1272</v>
      </c>
      <c r="G102" s="5" t="s">
        <v>1767</v>
      </c>
      <c r="H102" s="5" t="n">
        <v>23.167</v>
      </c>
      <c r="I102" s="5" t="n">
        <v>79.95</v>
      </c>
      <c r="J102" s="5" t="s">
        <v>83</v>
      </c>
      <c r="K102" s="5" t="s">
        <v>1742</v>
      </c>
      <c r="L102" s="5" t="s">
        <v>777</v>
      </c>
      <c r="M102" s="5" t="s">
        <v>1759</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v>
      </c>
      <c r="BW102" s="5" t="n">
        <v>4</v>
      </c>
      <c r="BX102" s="5" t="n">
        <f aca="false">IF(AND(N(BV102)&gt;0,N(BW102)&gt;0),SQRT(2*BV102/BW102),"")</f>
        <v>0.707106781186548</v>
      </c>
      <c r="BY102" s="5"/>
      <c r="BZ102" s="5"/>
      <c r="CA102" s="5"/>
      <c r="CB102" s="5" t="n">
        <v>850</v>
      </c>
      <c r="CC102" s="5" t="n">
        <v>23.167</v>
      </c>
      <c r="CD102" s="5" t="n">
        <v>13</v>
      </c>
      <c r="CE102" s="5"/>
      <c r="CF102" s="5"/>
      <c r="CG102" s="5"/>
      <c r="CH102" s="5" t="n">
        <v>6.9</v>
      </c>
      <c r="CI102" s="5"/>
      <c r="CJ102" s="5"/>
      <c r="CK102" s="5"/>
      <c r="CL102" s="5" t="s">
        <v>3045</v>
      </c>
      <c r="CM102" s="5" t="s">
        <v>1743</v>
      </c>
      <c r="CN102" s="5" t="s">
        <v>3076</v>
      </c>
      <c r="CO102" s="5" t="s">
        <v>1768</v>
      </c>
      <c r="CP102" s="5" t="s">
        <v>3092</v>
      </c>
      <c r="CQ102" s="22" t="s">
        <v>3093</v>
      </c>
      <c r="CR102" s="5" t="s">
        <v>782</v>
      </c>
      <c r="CS102" s="5" t="s">
        <v>3049</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3096</v>
      </c>
      <c r="O1" s="24" t="s">
        <v>3097</v>
      </c>
      <c r="P1" s="24" t="s">
        <v>3098</v>
      </c>
      <c r="Q1" s="24" t="s">
        <v>3099</v>
      </c>
      <c r="R1" s="24" t="s">
        <v>3100</v>
      </c>
      <c r="S1" s="24" t="s">
        <v>3101</v>
      </c>
      <c r="T1" s="24" t="s">
        <v>3102</v>
      </c>
      <c r="U1" s="24" t="s">
        <v>3103</v>
      </c>
      <c r="V1" s="27" t="s">
        <v>3104</v>
      </c>
      <c r="W1" s="27" t="s">
        <v>3105</v>
      </c>
      <c r="X1" s="27" t="s">
        <v>3106</v>
      </c>
      <c r="Y1" s="27" t="s">
        <v>3107</v>
      </c>
      <c r="Z1" s="24" t="s">
        <v>3108</v>
      </c>
      <c r="AA1" s="25" t="s">
        <v>35</v>
      </c>
      <c r="AB1" s="25" t="s">
        <v>33</v>
      </c>
      <c r="AC1" s="25" t="s">
        <v>37</v>
      </c>
      <c r="AD1" s="20" t="s">
        <v>73</v>
      </c>
      <c r="AE1" s="20" t="s">
        <v>750</v>
      </c>
      <c r="AF1" s="20" t="s">
        <v>751</v>
      </c>
      <c r="AG1" s="20" t="s">
        <v>74</v>
      </c>
      <c r="AH1" s="20" t="s">
        <v>1291</v>
      </c>
      <c r="AI1" s="20" t="s">
        <v>1292</v>
      </c>
      <c r="AJ1" s="20" t="s">
        <v>752</v>
      </c>
      <c r="AK1" s="20" t="s">
        <v>753</v>
      </c>
      <c r="AL1" s="20" t="s">
        <v>75</v>
      </c>
      <c r="AM1" s="20" t="s">
        <v>748</v>
      </c>
      <c r="AN1" s="20" t="s">
        <v>749</v>
      </c>
      <c r="AO1" s="20" t="s">
        <v>746</v>
      </c>
      <c r="AP1" s="20" t="s">
        <v>747</v>
      </c>
      <c r="AQ1" s="21" t="s">
        <v>76</v>
      </c>
      <c r="AR1" s="21" t="s">
        <v>77</v>
      </c>
      <c r="AS1" s="21" t="s">
        <v>1293</v>
      </c>
      <c r="AT1" s="21" t="s">
        <v>1294</v>
      </c>
      <c r="AU1" s="21" t="s">
        <v>78</v>
      </c>
      <c r="AV1" s="21" t="s">
        <v>765</v>
      </c>
      <c r="AW1" s="21" t="s">
        <v>1295</v>
      </c>
      <c r="AX1" s="21" t="s">
        <v>1296</v>
      </c>
      <c r="AZ1" s="28" t="s">
        <v>1297</v>
      </c>
    </row>
    <row r="2" customFormat="false" ht="15" hidden="false" customHeight="true" outlineLevel="0" collapsed="false">
      <c r="AZ2" s="30" t="s">
        <v>1085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3109</v>
      </c>
      <c r="Q1" s="24" t="s">
        <v>3110</v>
      </c>
      <c r="R1" s="24" t="s">
        <v>3111</v>
      </c>
      <c r="S1" s="24" t="s">
        <v>3112</v>
      </c>
      <c r="T1" s="24" t="s">
        <v>3113</v>
      </c>
      <c r="U1" s="24" t="s">
        <v>3114</v>
      </c>
      <c r="V1" s="24" t="s">
        <v>3115</v>
      </c>
      <c r="W1" s="24" t="s">
        <v>3116</v>
      </c>
      <c r="X1" s="27" t="s">
        <v>3117</v>
      </c>
      <c r="Y1" s="27" t="s">
        <v>3118</v>
      </c>
      <c r="Z1" s="27" t="s">
        <v>3119</v>
      </c>
      <c r="AA1" s="27" t="s">
        <v>3120</v>
      </c>
      <c r="AB1" s="24" t="s">
        <v>3121</v>
      </c>
      <c r="AC1" s="24" t="s">
        <v>3122</v>
      </c>
      <c r="AD1" s="24" t="s">
        <v>3123</v>
      </c>
      <c r="AE1" s="24" t="s">
        <v>3124</v>
      </c>
      <c r="AF1" s="24" t="s">
        <v>3125</v>
      </c>
      <c r="AG1" s="24" t="s">
        <v>3126</v>
      </c>
      <c r="AH1" s="24" t="s">
        <v>3127</v>
      </c>
      <c r="AI1" s="24" t="s">
        <v>3128</v>
      </c>
      <c r="AJ1" s="27" t="s">
        <v>3129</v>
      </c>
      <c r="AK1" s="27" t="s">
        <v>3130</v>
      </c>
      <c r="AL1" s="27" t="s">
        <v>3131</v>
      </c>
      <c r="AM1" s="27" t="s">
        <v>3132</v>
      </c>
      <c r="AN1" s="25" t="s">
        <v>35</v>
      </c>
      <c r="AO1" s="25" t="s">
        <v>33</v>
      </c>
      <c r="AP1" s="25" t="s">
        <v>37</v>
      </c>
      <c r="AQ1" s="20" t="s">
        <v>73</v>
      </c>
      <c r="AR1" s="20" t="s">
        <v>750</v>
      </c>
      <c r="AS1" s="20" t="s">
        <v>751</v>
      </c>
      <c r="AT1" s="20" t="s">
        <v>74</v>
      </c>
      <c r="AU1" s="20" t="s">
        <v>1291</v>
      </c>
      <c r="AV1" s="20" t="s">
        <v>1292</v>
      </c>
      <c r="AW1" s="20" t="s">
        <v>752</v>
      </c>
      <c r="AX1" s="20" t="s">
        <v>753</v>
      </c>
      <c r="AY1" s="20" t="s">
        <v>75</v>
      </c>
      <c r="AZ1" s="20" t="s">
        <v>748</v>
      </c>
      <c r="BA1" s="20" t="s">
        <v>749</v>
      </c>
      <c r="BB1" s="20" t="s">
        <v>746</v>
      </c>
      <c r="BC1" s="20" t="s">
        <v>747</v>
      </c>
      <c r="BD1" s="21" t="s">
        <v>76</v>
      </c>
      <c r="BE1" s="21" t="s">
        <v>77</v>
      </c>
      <c r="BF1" s="21" t="s">
        <v>1293</v>
      </c>
      <c r="BG1" s="21" t="s">
        <v>1294</v>
      </c>
      <c r="BH1" s="21" t="s">
        <v>78</v>
      </c>
      <c r="BI1" s="21" t="s">
        <v>765</v>
      </c>
      <c r="BJ1" s="21" t="s">
        <v>1295</v>
      </c>
      <c r="BK1" s="21" t="s">
        <v>1296</v>
      </c>
      <c r="BM1" s="28" t="s">
        <v>1297</v>
      </c>
    </row>
    <row r="2" customFormat="false" ht="15" hidden="false" customHeight="true" outlineLevel="0" collapsed="false">
      <c r="BM2" s="30" t="s">
        <v>1087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3133</v>
      </c>
      <c r="Q1" s="24" t="s">
        <v>3134</v>
      </c>
      <c r="R1" s="24" t="s">
        <v>3135</v>
      </c>
      <c r="S1" s="24" t="s">
        <v>3136</v>
      </c>
      <c r="T1" s="24" t="s">
        <v>3137</v>
      </c>
      <c r="U1" s="24" t="s">
        <v>3138</v>
      </c>
      <c r="V1" s="24" t="s">
        <v>3139</v>
      </c>
      <c r="W1" s="24" t="s">
        <v>3140</v>
      </c>
      <c r="X1" s="27" t="s">
        <v>3141</v>
      </c>
      <c r="Y1" s="27" t="s">
        <v>3142</v>
      </c>
      <c r="Z1" s="27" t="s">
        <v>3143</v>
      </c>
      <c r="AA1" s="27" t="s">
        <v>3144</v>
      </c>
      <c r="AB1" s="24" t="s">
        <v>3145</v>
      </c>
      <c r="AC1" s="24" t="s">
        <v>3146</v>
      </c>
      <c r="AD1" s="24" t="s">
        <v>3147</v>
      </c>
      <c r="AE1" s="24" t="s">
        <v>3148</v>
      </c>
      <c r="AF1" s="24" t="s">
        <v>3149</v>
      </c>
      <c r="AG1" s="24" t="s">
        <v>3150</v>
      </c>
      <c r="AH1" s="24" t="s">
        <v>3151</v>
      </c>
      <c r="AI1" s="24" t="s">
        <v>3152</v>
      </c>
      <c r="AJ1" s="27" t="s">
        <v>3153</v>
      </c>
      <c r="AK1" s="27" t="s">
        <v>3154</v>
      </c>
      <c r="AL1" s="27" t="s">
        <v>3155</v>
      </c>
      <c r="AM1" s="27" t="s">
        <v>3156</v>
      </c>
      <c r="AN1" s="25" t="s">
        <v>35</v>
      </c>
      <c r="AO1" s="25" t="s">
        <v>33</v>
      </c>
      <c r="AP1" s="25" t="s">
        <v>37</v>
      </c>
      <c r="AQ1" s="20" t="s">
        <v>73</v>
      </c>
      <c r="AR1" s="20" t="s">
        <v>750</v>
      </c>
      <c r="AS1" s="20" t="s">
        <v>751</v>
      </c>
      <c r="AT1" s="20" t="s">
        <v>74</v>
      </c>
      <c r="AU1" s="20" t="s">
        <v>1291</v>
      </c>
      <c r="AV1" s="20" t="s">
        <v>1292</v>
      </c>
      <c r="AW1" s="20" t="s">
        <v>752</v>
      </c>
      <c r="AX1" s="20" t="s">
        <v>753</v>
      </c>
      <c r="AY1" s="20" t="s">
        <v>75</v>
      </c>
      <c r="AZ1" s="20" t="s">
        <v>748</v>
      </c>
      <c r="BA1" s="20" t="s">
        <v>749</v>
      </c>
      <c r="BB1" s="20" t="s">
        <v>746</v>
      </c>
      <c r="BC1" s="20" t="s">
        <v>747</v>
      </c>
      <c r="BD1" s="21" t="s">
        <v>76</v>
      </c>
      <c r="BE1" s="21" t="s">
        <v>77</v>
      </c>
      <c r="BF1" s="21" t="s">
        <v>1293</v>
      </c>
      <c r="BG1" s="21" t="s">
        <v>1294</v>
      </c>
      <c r="BH1" s="21" t="s">
        <v>78</v>
      </c>
      <c r="BI1" s="21" t="s">
        <v>765</v>
      </c>
      <c r="BJ1" s="21" t="s">
        <v>1295</v>
      </c>
      <c r="BK1" s="21" t="s">
        <v>1296</v>
      </c>
      <c r="BM1" s="28" t="s">
        <v>1297</v>
      </c>
    </row>
    <row r="2" customFormat="false" ht="15" hidden="false" customHeight="true" outlineLevel="0" collapsed="false">
      <c r="BM2" s="30" t="s">
        <v>1089</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3157</v>
      </c>
      <c r="Q1" s="24" t="s">
        <v>3158</v>
      </c>
      <c r="R1" s="24" t="s">
        <v>3159</v>
      </c>
      <c r="S1" s="24" t="s">
        <v>3160</v>
      </c>
      <c r="T1" s="24" t="s">
        <v>3161</v>
      </c>
      <c r="U1" s="24" t="s">
        <v>3162</v>
      </c>
      <c r="V1" s="24" t="s">
        <v>3163</v>
      </c>
      <c r="W1" s="24" t="s">
        <v>3164</v>
      </c>
      <c r="X1" s="27" t="s">
        <v>3165</v>
      </c>
      <c r="Y1" s="27" t="s">
        <v>3166</v>
      </c>
      <c r="Z1" s="27" t="s">
        <v>3167</v>
      </c>
      <c r="AA1" s="27" t="s">
        <v>3168</v>
      </c>
      <c r="AB1" s="24" t="s">
        <v>3169</v>
      </c>
      <c r="AC1" s="24" t="s">
        <v>3170</v>
      </c>
      <c r="AD1" s="24" t="s">
        <v>3171</v>
      </c>
      <c r="AE1" s="24" t="s">
        <v>3172</v>
      </c>
      <c r="AF1" s="24" t="s">
        <v>3173</v>
      </c>
      <c r="AG1" s="24" t="s">
        <v>3174</v>
      </c>
      <c r="AH1" s="24" t="s">
        <v>3175</v>
      </c>
      <c r="AI1" s="24" t="s">
        <v>3176</v>
      </c>
      <c r="AJ1" s="27" t="s">
        <v>3177</v>
      </c>
      <c r="AK1" s="27" t="s">
        <v>3178</v>
      </c>
      <c r="AL1" s="27" t="s">
        <v>3179</v>
      </c>
      <c r="AM1" s="27" t="s">
        <v>3180</v>
      </c>
      <c r="AN1" s="25" t="s">
        <v>35</v>
      </c>
      <c r="AO1" s="25" t="s">
        <v>33</v>
      </c>
      <c r="AP1" s="25" t="s">
        <v>37</v>
      </c>
      <c r="AQ1" s="20" t="s">
        <v>73</v>
      </c>
      <c r="AR1" s="20" t="s">
        <v>750</v>
      </c>
      <c r="AS1" s="20" t="s">
        <v>751</v>
      </c>
      <c r="AT1" s="20" t="s">
        <v>74</v>
      </c>
      <c r="AU1" s="20" t="s">
        <v>1291</v>
      </c>
      <c r="AV1" s="20" t="s">
        <v>1292</v>
      </c>
      <c r="AW1" s="20" t="s">
        <v>752</v>
      </c>
      <c r="AX1" s="20" t="s">
        <v>753</v>
      </c>
      <c r="AY1" s="20" t="s">
        <v>75</v>
      </c>
      <c r="AZ1" s="20" t="s">
        <v>748</v>
      </c>
      <c r="BA1" s="20" t="s">
        <v>749</v>
      </c>
      <c r="BB1" s="20" t="s">
        <v>746</v>
      </c>
      <c r="BC1" s="20" t="s">
        <v>747</v>
      </c>
      <c r="BD1" s="21" t="s">
        <v>76</v>
      </c>
      <c r="BE1" s="21" t="s">
        <v>77</v>
      </c>
      <c r="BF1" s="21" t="s">
        <v>1293</v>
      </c>
      <c r="BG1" s="21" t="s">
        <v>1294</v>
      </c>
      <c r="BH1" s="21" t="s">
        <v>78</v>
      </c>
      <c r="BI1" s="21" t="s">
        <v>765</v>
      </c>
      <c r="BJ1" s="21" t="s">
        <v>1295</v>
      </c>
      <c r="BK1" s="21" t="s">
        <v>1296</v>
      </c>
      <c r="BM1" s="28" t="s">
        <v>1297</v>
      </c>
    </row>
    <row r="2" customFormat="false" ht="15" hidden="false" customHeight="true" outlineLevel="0" collapsed="false">
      <c r="BM2" s="30" t="s">
        <v>1091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3181</v>
      </c>
      <c r="Q1" s="24" t="s">
        <v>3182</v>
      </c>
      <c r="R1" s="24" t="s">
        <v>3183</v>
      </c>
      <c r="S1" s="24" t="s">
        <v>3184</v>
      </c>
      <c r="T1" s="24" t="s">
        <v>3185</v>
      </c>
      <c r="U1" s="24" t="s">
        <v>3186</v>
      </c>
      <c r="V1" s="24" t="s">
        <v>3187</v>
      </c>
      <c r="W1" s="24" t="s">
        <v>3188</v>
      </c>
      <c r="X1" s="27" t="s">
        <v>3189</v>
      </c>
      <c r="Y1" s="27" t="s">
        <v>3190</v>
      </c>
      <c r="Z1" s="27" t="s">
        <v>3191</v>
      </c>
      <c r="AA1" s="27" t="s">
        <v>3192</v>
      </c>
      <c r="AB1" s="24" t="s">
        <v>3193</v>
      </c>
      <c r="AC1" s="24" t="s">
        <v>3194</v>
      </c>
      <c r="AD1" s="24" t="s">
        <v>3195</v>
      </c>
      <c r="AE1" s="24" t="s">
        <v>3196</v>
      </c>
      <c r="AF1" s="24" t="s">
        <v>3197</v>
      </c>
      <c r="AG1" s="24" t="s">
        <v>3198</v>
      </c>
      <c r="AH1" s="24" t="s">
        <v>3199</v>
      </c>
      <c r="AI1" s="24" t="s">
        <v>3200</v>
      </c>
      <c r="AJ1" s="27" t="s">
        <v>3201</v>
      </c>
      <c r="AK1" s="27" t="s">
        <v>3202</v>
      </c>
      <c r="AL1" s="27" t="s">
        <v>3203</v>
      </c>
      <c r="AM1" s="27" t="s">
        <v>3204</v>
      </c>
      <c r="AN1" s="25" t="s">
        <v>35</v>
      </c>
      <c r="AO1" s="25" t="s">
        <v>33</v>
      </c>
      <c r="AP1" s="25" t="s">
        <v>37</v>
      </c>
      <c r="AQ1" s="20" t="s">
        <v>73</v>
      </c>
      <c r="AR1" s="20" t="s">
        <v>750</v>
      </c>
      <c r="AS1" s="20" t="s">
        <v>751</v>
      </c>
      <c r="AT1" s="20" t="s">
        <v>74</v>
      </c>
      <c r="AU1" s="20" t="s">
        <v>1291</v>
      </c>
      <c r="AV1" s="20" t="s">
        <v>1292</v>
      </c>
      <c r="AW1" s="20" t="s">
        <v>752</v>
      </c>
      <c r="AX1" s="20" t="s">
        <v>753</v>
      </c>
      <c r="AY1" s="20" t="s">
        <v>75</v>
      </c>
      <c r="AZ1" s="20" t="s">
        <v>748</v>
      </c>
      <c r="BA1" s="20" t="s">
        <v>749</v>
      </c>
      <c r="BB1" s="20" t="s">
        <v>746</v>
      </c>
      <c r="BC1" s="20" t="s">
        <v>747</v>
      </c>
      <c r="BD1" s="21" t="s">
        <v>76</v>
      </c>
      <c r="BE1" s="21" t="s">
        <v>77</v>
      </c>
      <c r="BF1" s="21" t="s">
        <v>1293</v>
      </c>
      <c r="BG1" s="21" t="s">
        <v>1294</v>
      </c>
      <c r="BH1" s="21" t="s">
        <v>78</v>
      </c>
      <c r="BI1" s="21" t="s">
        <v>765</v>
      </c>
      <c r="BJ1" s="21" t="s">
        <v>1295</v>
      </c>
      <c r="BK1" s="21" t="s">
        <v>1296</v>
      </c>
      <c r="BM1" s="28" t="s">
        <v>1297</v>
      </c>
    </row>
    <row r="2" customFormat="false" ht="15" hidden="false" customHeight="true" outlineLevel="0" collapsed="false">
      <c r="BM2" s="30" t="s">
        <v>1092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3205</v>
      </c>
      <c r="Q1" s="24" t="s">
        <v>3206</v>
      </c>
      <c r="R1" s="24" t="s">
        <v>3207</v>
      </c>
      <c r="S1" s="24" t="s">
        <v>3208</v>
      </c>
      <c r="T1" s="24" t="s">
        <v>3209</v>
      </c>
      <c r="U1" s="24" t="s">
        <v>3210</v>
      </c>
      <c r="V1" s="24" t="s">
        <v>3211</v>
      </c>
      <c r="W1" s="24" t="s">
        <v>3212</v>
      </c>
      <c r="X1" s="27" t="s">
        <v>3213</v>
      </c>
      <c r="Y1" s="27" t="s">
        <v>3214</v>
      </c>
      <c r="Z1" s="27" t="s">
        <v>3215</v>
      </c>
      <c r="AA1" s="27" t="s">
        <v>3216</v>
      </c>
      <c r="AB1" s="24" t="s">
        <v>3217</v>
      </c>
      <c r="AC1" s="24" t="s">
        <v>3218</v>
      </c>
      <c r="AD1" s="24" t="s">
        <v>3219</v>
      </c>
      <c r="AE1" s="24" t="s">
        <v>3220</v>
      </c>
      <c r="AF1" s="24" t="s">
        <v>3221</v>
      </c>
      <c r="AG1" s="24" t="s">
        <v>3222</v>
      </c>
      <c r="AH1" s="24" t="s">
        <v>3223</v>
      </c>
      <c r="AI1" s="24" t="s">
        <v>3224</v>
      </c>
      <c r="AJ1" s="27" t="s">
        <v>3225</v>
      </c>
      <c r="AK1" s="27" t="s">
        <v>3226</v>
      </c>
      <c r="AL1" s="27" t="s">
        <v>3227</v>
      </c>
      <c r="AM1" s="27" t="s">
        <v>3228</v>
      </c>
      <c r="AN1" s="25" t="s">
        <v>35</v>
      </c>
      <c r="AO1" s="25" t="s">
        <v>33</v>
      </c>
      <c r="AP1" s="25" t="s">
        <v>37</v>
      </c>
      <c r="AQ1" s="20" t="s">
        <v>73</v>
      </c>
      <c r="AR1" s="20" t="s">
        <v>750</v>
      </c>
      <c r="AS1" s="20" t="s">
        <v>751</v>
      </c>
      <c r="AT1" s="20" t="s">
        <v>74</v>
      </c>
      <c r="AU1" s="20" t="s">
        <v>1291</v>
      </c>
      <c r="AV1" s="20" t="s">
        <v>1292</v>
      </c>
      <c r="AW1" s="20" t="s">
        <v>752</v>
      </c>
      <c r="AX1" s="20" t="s">
        <v>753</v>
      </c>
      <c r="AY1" s="20" t="s">
        <v>75</v>
      </c>
      <c r="AZ1" s="20" t="s">
        <v>748</v>
      </c>
      <c r="BA1" s="20" t="s">
        <v>749</v>
      </c>
      <c r="BB1" s="20" t="s">
        <v>746</v>
      </c>
      <c r="BC1" s="20" t="s">
        <v>747</v>
      </c>
      <c r="BD1" s="21" t="s">
        <v>76</v>
      </c>
      <c r="BE1" s="21" t="s">
        <v>77</v>
      </c>
      <c r="BF1" s="21" t="s">
        <v>1293</v>
      </c>
      <c r="BG1" s="21" t="s">
        <v>1294</v>
      </c>
      <c r="BH1" s="21" t="s">
        <v>78</v>
      </c>
      <c r="BI1" s="21" t="s">
        <v>765</v>
      </c>
      <c r="BJ1" s="21" t="s">
        <v>1295</v>
      </c>
      <c r="BK1" s="21" t="s">
        <v>1296</v>
      </c>
      <c r="BM1" s="28" t="s">
        <v>1297</v>
      </c>
    </row>
    <row r="2" customFormat="false" ht="15" hidden="false" customHeight="true" outlineLevel="0" collapsed="false">
      <c r="BM2" s="30" t="s">
        <v>1094</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3229</v>
      </c>
      <c r="Q1" s="24" t="s">
        <v>3230</v>
      </c>
      <c r="R1" s="24" t="s">
        <v>3231</v>
      </c>
      <c r="S1" s="24" t="s">
        <v>3232</v>
      </c>
      <c r="T1" s="24" t="s">
        <v>3233</v>
      </c>
      <c r="U1" s="24" t="s">
        <v>3234</v>
      </c>
      <c r="V1" s="24" t="s">
        <v>3235</v>
      </c>
      <c r="W1" s="24" t="s">
        <v>3236</v>
      </c>
      <c r="X1" s="27" t="s">
        <v>3237</v>
      </c>
      <c r="Y1" s="27" t="s">
        <v>3238</v>
      </c>
      <c r="Z1" s="27" t="s">
        <v>3239</v>
      </c>
      <c r="AA1" s="27" t="s">
        <v>3240</v>
      </c>
      <c r="AB1" s="24" t="s">
        <v>3241</v>
      </c>
      <c r="AC1" s="24" t="s">
        <v>3242</v>
      </c>
      <c r="AD1" s="24" t="s">
        <v>3243</v>
      </c>
      <c r="AE1" s="24" t="s">
        <v>3244</v>
      </c>
      <c r="AF1" s="24" t="s">
        <v>3245</v>
      </c>
      <c r="AG1" s="24" t="s">
        <v>3246</v>
      </c>
      <c r="AH1" s="24" t="s">
        <v>3247</v>
      </c>
      <c r="AI1" s="24" t="s">
        <v>3248</v>
      </c>
      <c r="AJ1" s="27" t="s">
        <v>3249</v>
      </c>
      <c r="AK1" s="27" t="s">
        <v>3250</v>
      </c>
      <c r="AL1" s="27" t="s">
        <v>3251</v>
      </c>
      <c r="AM1" s="27" t="s">
        <v>3252</v>
      </c>
      <c r="AN1" s="25" t="s">
        <v>35</v>
      </c>
      <c r="AO1" s="25" t="s">
        <v>33</v>
      </c>
      <c r="AP1" s="25" t="s">
        <v>37</v>
      </c>
      <c r="AQ1" s="20" t="s">
        <v>73</v>
      </c>
      <c r="AR1" s="20" t="s">
        <v>750</v>
      </c>
      <c r="AS1" s="20" t="s">
        <v>751</v>
      </c>
      <c r="AT1" s="20" t="s">
        <v>74</v>
      </c>
      <c r="AU1" s="20" t="s">
        <v>1291</v>
      </c>
      <c r="AV1" s="20" t="s">
        <v>1292</v>
      </c>
      <c r="AW1" s="20" t="s">
        <v>752</v>
      </c>
      <c r="AX1" s="20" t="s">
        <v>753</v>
      </c>
      <c r="AY1" s="20" t="s">
        <v>75</v>
      </c>
      <c r="AZ1" s="20" t="s">
        <v>748</v>
      </c>
      <c r="BA1" s="20" t="s">
        <v>749</v>
      </c>
      <c r="BB1" s="20" t="s">
        <v>746</v>
      </c>
      <c r="BC1" s="20" t="s">
        <v>747</v>
      </c>
      <c r="BD1" s="21" t="s">
        <v>76</v>
      </c>
      <c r="BE1" s="21" t="s">
        <v>77</v>
      </c>
      <c r="BF1" s="21" t="s">
        <v>1293</v>
      </c>
      <c r="BG1" s="21" t="s">
        <v>1294</v>
      </c>
      <c r="BH1" s="21" t="s">
        <v>78</v>
      </c>
      <c r="BI1" s="21" t="s">
        <v>765</v>
      </c>
      <c r="BJ1" s="21" t="s">
        <v>1295</v>
      </c>
      <c r="BK1" s="21" t="s">
        <v>1296</v>
      </c>
      <c r="BM1" s="28" t="s">
        <v>1297</v>
      </c>
    </row>
    <row r="2" customFormat="false" ht="15" hidden="false" customHeight="true" outlineLevel="0" collapsed="false">
      <c r="BM2" s="30" t="s">
        <v>1096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3253</v>
      </c>
      <c r="Q1" s="24" t="s">
        <v>3254</v>
      </c>
      <c r="R1" s="24" t="s">
        <v>3255</v>
      </c>
      <c r="S1" s="24" t="s">
        <v>3256</v>
      </c>
      <c r="T1" s="24" t="s">
        <v>3257</v>
      </c>
      <c r="U1" s="24" t="s">
        <v>3258</v>
      </c>
      <c r="V1" s="24" t="s">
        <v>3259</v>
      </c>
      <c r="W1" s="24" t="s">
        <v>3260</v>
      </c>
      <c r="X1" s="27" t="s">
        <v>3261</v>
      </c>
      <c r="Y1" s="27" t="s">
        <v>3262</v>
      </c>
      <c r="Z1" s="27" t="s">
        <v>3263</v>
      </c>
      <c r="AA1" s="27" t="s">
        <v>3264</v>
      </c>
      <c r="AB1" s="24" t="s">
        <v>3265</v>
      </c>
      <c r="AC1" s="24" t="s">
        <v>3266</v>
      </c>
      <c r="AD1" s="24" t="s">
        <v>3267</v>
      </c>
      <c r="AE1" s="24" t="s">
        <v>3268</v>
      </c>
      <c r="AF1" s="24" t="s">
        <v>3269</v>
      </c>
      <c r="AG1" s="24" t="s">
        <v>3270</v>
      </c>
      <c r="AH1" s="24" t="s">
        <v>3271</v>
      </c>
      <c r="AI1" s="24" t="s">
        <v>3272</v>
      </c>
      <c r="AJ1" s="27" t="s">
        <v>3273</v>
      </c>
      <c r="AK1" s="27" t="s">
        <v>3274</v>
      </c>
      <c r="AL1" s="27" t="s">
        <v>3275</v>
      </c>
      <c r="AM1" s="27" t="s">
        <v>3276</v>
      </c>
      <c r="AN1" s="25" t="s">
        <v>35</v>
      </c>
      <c r="AO1" s="25" t="s">
        <v>33</v>
      </c>
      <c r="AP1" s="25" t="s">
        <v>37</v>
      </c>
      <c r="AQ1" s="20" t="s">
        <v>73</v>
      </c>
      <c r="AR1" s="20" t="s">
        <v>750</v>
      </c>
      <c r="AS1" s="20" t="s">
        <v>751</v>
      </c>
      <c r="AT1" s="20" t="s">
        <v>74</v>
      </c>
      <c r="AU1" s="20" t="s">
        <v>1291</v>
      </c>
      <c r="AV1" s="20" t="s">
        <v>1292</v>
      </c>
      <c r="AW1" s="20" t="s">
        <v>752</v>
      </c>
      <c r="AX1" s="20" t="s">
        <v>753</v>
      </c>
      <c r="AY1" s="20" t="s">
        <v>75</v>
      </c>
      <c r="AZ1" s="20" t="s">
        <v>748</v>
      </c>
      <c r="BA1" s="20" t="s">
        <v>749</v>
      </c>
      <c r="BB1" s="20" t="s">
        <v>746</v>
      </c>
      <c r="BC1" s="20" t="s">
        <v>747</v>
      </c>
      <c r="BD1" s="21" t="s">
        <v>76</v>
      </c>
      <c r="BE1" s="21" t="s">
        <v>77</v>
      </c>
      <c r="BF1" s="21" t="s">
        <v>1293</v>
      </c>
      <c r="BG1" s="21" t="s">
        <v>1294</v>
      </c>
      <c r="BH1" s="21" t="s">
        <v>78</v>
      </c>
      <c r="BI1" s="21" t="s">
        <v>765</v>
      </c>
      <c r="BJ1" s="21" t="s">
        <v>1295</v>
      </c>
      <c r="BK1" s="21" t="s">
        <v>1296</v>
      </c>
      <c r="BM1" s="28" t="s">
        <v>1297</v>
      </c>
    </row>
    <row r="2" customFormat="false" ht="15" hidden="false" customHeight="true" outlineLevel="0" collapsed="false">
      <c r="BM2" s="30" t="s">
        <v>1098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3277</v>
      </c>
      <c r="O1" s="24" t="s">
        <v>3278</v>
      </c>
      <c r="P1" s="24" t="s">
        <v>3279</v>
      </c>
      <c r="Q1" s="24" t="s">
        <v>3280</v>
      </c>
      <c r="R1" s="24" t="s">
        <v>3281</v>
      </c>
      <c r="S1" s="24" t="s">
        <v>3282</v>
      </c>
      <c r="T1" s="24" t="s">
        <v>3283</v>
      </c>
      <c r="U1" s="24" t="s">
        <v>3284</v>
      </c>
      <c r="V1" s="27" t="s">
        <v>3285</v>
      </c>
      <c r="W1" s="27" t="s">
        <v>3286</v>
      </c>
      <c r="X1" s="27" t="s">
        <v>3287</v>
      </c>
      <c r="Y1" s="27" t="s">
        <v>3288</v>
      </c>
      <c r="Z1" s="24" t="s">
        <v>3289</v>
      </c>
      <c r="AA1" s="24" t="s">
        <v>3290</v>
      </c>
      <c r="AB1" s="24" t="s">
        <v>3291</v>
      </c>
      <c r="AC1" s="24" t="s">
        <v>3292</v>
      </c>
      <c r="AD1" s="24" t="s">
        <v>3293</v>
      </c>
      <c r="AE1" s="24" t="s">
        <v>3294</v>
      </c>
      <c r="AF1" s="24" t="s">
        <v>3295</v>
      </c>
      <c r="AG1" s="24" t="s">
        <v>3296</v>
      </c>
      <c r="AH1" s="27" t="s">
        <v>3297</v>
      </c>
      <c r="AI1" s="27" t="s">
        <v>3298</v>
      </c>
      <c r="AJ1" s="27" t="s">
        <v>3299</v>
      </c>
      <c r="AK1" s="27" t="s">
        <v>3300</v>
      </c>
      <c r="AL1" s="24" t="s">
        <v>3108</v>
      </c>
      <c r="AM1" s="25" t="s">
        <v>35</v>
      </c>
      <c r="AN1" s="25" t="s">
        <v>33</v>
      </c>
      <c r="AO1" s="25" t="s">
        <v>37</v>
      </c>
      <c r="AP1" s="20" t="s">
        <v>73</v>
      </c>
      <c r="AQ1" s="20" t="s">
        <v>750</v>
      </c>
      <c r="AR1" s="20" t="s">
        <v>751</v>
      </c>
      <c r="AS1" s="20" t="s">
        <v>74</v>
      </c>
      <c r="AT1" s="20" t="s">
        <v>1291</v>
      </c>
      <c r="AU1" s="20" t="s">
        <v>1292</v>
      </c>
      <c r="AV1" s="20" t="s">
        <v>752</v>
      </c>
      <c r="AW1" s="20" t="s">
        <v>753</v>
      </c>
      <c r="AX1" s="20" t="s">
        <v>75</v>
      </c>
      <c r="AY1" s="20" t="s">
        <v>748</v>
      </c>
      <c r="AZ1" s="20" t="s">
        <v>749</v>
      </c>
      <c r="BA1" s="20" t="s">
        <v>746</v>
      </c>
      <c r="BB1" s="20" t="s">
        <v>747</v>
      </c>
      <c r="BC1" s="21" t="s">
        <v>76</v>
      </c>
      <c r="BD1" s="21" t="s">
        <v>77</v>
      </c>
      <c r="BE1" s="21" t="s">
        <v>1293</v>
      </c>
      <c r="BF1" s="21" t="s">
        <v>1294</v>
      </c>
      <c r="BG1" s="21" t="s">
        <v>78</v>
      </c>
      <c r="BH1" s="21" t="s">
        <v>765</v>
      </c>
      <c r="BI1" s="21" t="s">
        <v>1295</v>
      </c>
      <c r="BJ1" s="21" t="s">
        <v>1296</v>
      </c>
      <c r="BL1" s="28" t="s">
        <v>1297</v>
      </c>
    </row>
    <row r="2" customFormat="false" ht="15" hidden="false" customHeight="true" outlineLevel="0" collapsed="false">
      <c r="BL2" s="30" t="s">
        <v>1100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3301</v>
      </c>
      <c r="O1" s="24" t="s">
        <v>3302</v>
      </c>
      <c r="P1" s="24" t="s">
        <v>3303</v>
      </c>
      <c r="Q1" s="24" t="s">
        <v>3304</v>
      </c>
      <c r="R1" s="24" t="s">
        <v>3305</v>
      </c>
      <c r="S1" s="24" t="s">
        <v>3306</v>
      </c>
      <c r="T1" s="24" t="s">
        <v>3307</v>
      </c>
      <c r="U1" s="24" t="s">
        <v>3308</v>
      </c>
      <c r="V1" s="27" t="s">
        <v>3309</v>
      </c>
      <c r="W1" s="27" t="s">
        <v>3310</v>
      </c>
      <c r="X1" s="27" t="s">
        <v>3311</v>
      </c>
      <c r="Y1" s="27" t="s">
        <v>3312</v>
      </c>
      <c r="Z1" s="24" t="s">
        <v>3313</v>
      </c>
      <c r="AA1" s="24" t="s">
        <v>3314</v>
      </c>
      <c r="AB1" s="24" t="s">
        <v>3315</v>
      </c>
      <c r="AC1" s="24" t="s">
        <v>3316</v>
      </c>
      <c r="AD1" s="24" t="s">
        <v>3317</v>
      </c>
      <c r="AE1" s="24" t="s">
        <v>3318</v>
      </c>
      <c r="AF1" s="24" t="s">
        <v>3319</v>
      </c>
      <c r="AG1" s="24" t="s">
        <v>3320</v>
      </c>
      <c r="AH1" s="27" t="s">
        <v>3321</v>
      </c>
      <c r="AI1" s="27" t="s">
        <v>3322</v>
      </c>
      <c r="AJ1" s="27" t="s">
        <v>3323</v>
      </c>
      <c r="AK1" s="27" t="s">
        <v>3324</v>
      </c>
      <c r="AL1" s="25" t="s">
        <v>35</v>
      </c>
      <c r="AM1" s="25" t="s">
        <v>33</v>
      </c>
      <c r="AN1" s="25" t="s">
        <v>37</v>
      </c>
      <c r="AO1" s="20" t="s">
        <v>73</v>
      </c>
      <c r="AP1" s="20" t="s">
        <v>750</v>
      </c>
      <c r="AQ1" s="20" t="s">
        <v>751</v>
      </c>
      <c r="AR1" s="20" t="s">
        <v>74</v>
      </c>
      <c r="AS1" s="20" t="s">
        <v>1291</v>
      </c>
      <c r="AT1" s="20" t="s">
        <v>1292</v>
      </c>
      <c r="AU1" s="20" t="s">
        <v>752</v>
      </c>
      <c r="AV1" s="20" t="s">
        <v>753</v>
      </c>
      <c r="AW1" s="20" t="s">
        <v>75</v>
      </c>
      <c r="AX1" s="20" t="s">
        <v>748</v>
      </c>
      <c r="AY1" s="20" t="s">
        <v>749</v>
      </c>
      <c r="AZ1" s="20" t="s">
        <v>746</v>
      </c>
      <c r="BA1" s="20" t="s">
        <v>747</v>
      </c>
      <c r="BB1" s="21" t="s">
        <v>76</v>
      </c>
      <c r="BC1" s="21" t="s">
        <v>77</v>
      </c>
      <c r="BD1" s="21" t="s">
        <v>1293</v>
      </c>
      <c r="BE1" s="21" t="s">
        <v>1294</v>
      </c>
      <c r="BF1" s="21" t="s">
        <v>78</v>
      </c>
      <c r="BG1" s="21" t="s">
        <v>765</v>
      </c>
      <c r="BH1" s="21" t="s">
        <v>1295</v>
      </c>
      <c r="BI1" s="21" t="s">
        <v>1296</v>
      </c>
      <c r="BK1" s="28" t="s">
        <v>1297</v>
      </c>
    </row>
    <row r="2" customFormat="false" ht="15" hidden="false" customHeight="true" outlineLevel="0" collapsed="false">
      <c r="BK2" s="31" t="s">
        <v>1102</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3325</v>
      </c>
      <c r="O1" s="24" t="s">
        <v>3326</v>
      </c>
      <c r="P1" s="24" t="s">
        <v>3327</v>
      </c>
      <c r="Q1" s="24" t="s">
        <v>3328</v>
      </c>
      <c r="R1" s="24" t="s">
        <v>3329</v>
      </c>
      <c r="S1" s="24" t="s">
        <v>3330</v>
      </c>
      <c r="T1" s="24" t="s">
        <v>3331</v>
      </c>
      <c r="U1" s="24" t="s">
        <v>3332</v>
      </c>
      <c r="V1" s="27" t="s">
        <v>3333</v>
      </c>
      <c r="W1" s="27" t="s">
        <v>3334</v>
      </c>
      <c r="X1" s="27" t="s">
        <v>3335</v>
      </c>
      <c r="Y1" s="27" t="s">
        <v>3336</v>
      </c>
      <c r="Z1" s="24" t="s">
        <v>3337</v>
      </c>
      <c r="AA1" s="24" t="s">
        <v>3338</v>
      </c>
      <c r="AB1" s="24" t="s">
        <v>3339</v>
      </c>
      <c r="AC1" s="24" t="s">
        <v>3340</v>
      </c>
      <c r="AD1" s="24" t="s">
        <v>3341</v>
      </c>
      <c r="AE1" s="24" t="s">
        <v>3342</v>
      </c>
      <c r="AF1" s="24" t="s">
        <v>3343</v>
      </c>
      <c r="AG1" s="24" t="s">
        <v>3344</v>
      </c>
      <c r="AH1" s="27" t="s">
        <v>3345</v>
      </c>
      <c r="AI1" s="27" t="s">
        <v>3346</v>
      </c>
      <c r="AJ1" s="27" t="s">
        <v>3347</v>
      </c>
      <c r="AK1" s="27" t="s">
        <v>3348</v>
      </c>
      <c r="AL1" s="25" t="s">
        <v>35</v>
      </c>
      <c r="AM1" s="25" t="s">
        <v>33</v>
      </c>
      <c r="AN1" s="25" t="s">
        <v>37</v>
      </c>
      <c r="AO1" s="20" t="s">
        <v>73</v>
      </c>
      <c r="AP1" s="20" t="s">
        <v>750</v>
      </c>
      <c r="AQ1" s="20" t="s">
        <v>751</v>
      </c>
      <c r="AR1" s="20" t="s">
        <v>74</v>
      </c>
      <c r="AS1" s="20" t="s">
        <v>1291</v>
      </c>
      <c r="AT1" s="20" t="s">
        <v>1292</v>
      </c>
      <c r="AU1" s="20" t="s">
        <v>752</v>
      </c>
      <c r="AV1" s="20" t="s">
        <v>753</v>
      </c>
      <c r="AW1" s="20" t="s">
        <v>75</v>
      </c>
      <c r="AX1" s="20" t="s">
        <v>748</v>
      </c>
      <c r="AY1" s="20" t="s">
        <v>749</v>
      </c>
      <c r="AZ1" s="20" t="s">
        <v>746</v>
      </c>
      <c r="BA1" s="20" t="s">
        <v>747</v>
      </c>
      <c r="BB1" s="21" t="s">
        <v>76</v>
      </c>
      <c r="BC1" s="21" t="s">
        <v>77</v>
      </c>
      <c r="BD1" s="21" t="s">
        <v>1293</v>
      </c>
      <c r="BE1" s="21" t="s">
        <v>1294</v>
      </c>
      <c r="BF1" s="21" t="s">
        <v>78</v>
      </c>
      <c r="BG1" s="21" t="s">
        <v>765</v>
      </c>
      <c r="BH1" s="21" t="s">
        <v>1295</v>
      </c>
      <c r="BI1" s="21" t="s">
        <v>1296</v>
      </c>
      <c r="BK1" s="28" t="s">
        <v>1297</v>
      </c>
    </row>
    <row r="2" customFormat="false" ht="15" hidden="false" customHeight="true" outlineLevel="0" collapsed="false">
      <c r="BK2" s="30" t="s">
        <v>1104</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3349</v>
      </c>
      <c r="O1" s="24" t="s">
        <v>3350</v>
      </c>
      <c r="P1" s="24" t="s">
        <v>3351</v>
      </c>
      <c r="Q1" s="24" t="s">
        <v>3352</v>
      </c>
      <c r="R1" s="24" t="s">
        <v>3353</v>
      </c>
      <c r="S1" s="24" t="s">
        <v>3354</v>
      </c>
      <c r="T1" s="24" t="s">
        <v>3355</v>
      </c>
      <c r="U1" s="24" t="s">
        <v>3356</v>
      </c>
      <c r="V1" s="27" t="s">
        <v>3357</v>
      </c>
      <c r="W1" s="27" t="s">
        <v>3358</v>
      </c>
      <c r="X1" s="27" t="s">
        <v>3359</v>
      </c>
      <c r="Y1" s="27" t="s">
        <v>3360</v>
      </c>
      <c r="Z1" s="24" t="s">
        <v>3361</v>
      </c>
      <c r="AA1" s="24" t="s">
        <v>3362</v>
      </c>
      <c r="AB1" s="24" t="s">
        <v>3363</v>
      </c>
      <c r="AC1" s="24" t="s">
        <v>3364</v>
      </c>
      <c r="AD1" s="24" t="s">
        <v>3365</v>
      </c>
      <c r="AE1" s="24" t="s">
        <v>3366</v>
      </c>
      <c r="AF1" s="24" t="s">
        <v>3367</v>
      </c>
      <c r="AG1" s="24" t="s">
        <v>3368</v>
      </c>
      <c r="AH1" s="27" t="s">
        <v>3369</v>
      </c>
      <c r="AI1" s="27" t="s">
        <v>3370</v>
      </c>
      <c r="AJ1" s="27" t="s">
        <v>3371</v>
      </c>
      <c r="AK1" s="27" t="s">
        <v>3372</v>
      </c>
      <c r="AL1" s="24" t="s">
        <v>3373</v>
      </c>
      <c r="AM1" s="24" t="s">
        <v>3374</v>
      </c>
      <c r="AN1" s="24" t="s">
        <v>3375</v>
      </c>
      <c r="AO1" s="24" t="s">
        <v>3376</v>
      </c>
      <c r="AP1" s="24" t="s">
        <v>3377</v>
      </c>
      <c r="AQ1" s="24" t="s">
        <v>3378</v>
      </c>
      <c r="AR1" s="24" t="s">
        <v>3379</v>
      </c>
      <c r="AS1" s="24" t="s">
        <v>3380</v>
      </c>
      <c r="AT1" s="27" t="s">
        <v>3381</v>
      </c>
      <c r="AU1" s="27" t="s">
        <v>3382</v>
      </c>
      <c r="AV1" s="27" t="s">
        <v>3383</v>
      </c>
      <c r="AW1" s="27" t="s">
        <v>3384</v>
      </c>
      <c r="AX1" s="25" t="s">
        <v>35</v>
      </c>
      <c r="AY1" s="25" t="s">
        <v>33</v>
      </c>
      <c r="AZ1" s="25" t="s">
        <v>37</v>
      </c>
      <c r="BA1" s="20" t="s">
        <v>73</v>
      </c>
      <c r="BB1" s="20" t="s">
        <v>750</v>
      </c>
      <c r="BC1" s="20" t="s">
        <v>751</v>
      </c>
      <c r="BD1" s="20" t="s">
        <v>74</v>
      </c>
      <c r="BE1" s="20" t="s">
        <v>1291</v>
      </c>
      <c r="BF1" s="20" t="s">
        <v>1292</v>
      </c>
      <c r="BG1" s="20" t="s">
        <v>752</v>
      </c>
      <c r="BH1" s="20" t="s">
        <v>753</v>
      </c>
      <c r="BI1" s="20" t="s">
        <v>75</v>
      </c>
      <c r="BJ1" s="20" t="s">
        <v>748</v>
      </c>
      <c r="BK1" s="20" t="s">
        <v>749</v>
      </c>
      <c r="BL1" s="20" t="s">
        <v>746</v>
      </c>
      <c r="BM1" s="20" t="s">
        <v>747</v>
      </c>
      <c r="BN1" s="21" t="s">
        <v>76</v>
      </c>
      <c r="BO1" s="21" t="s">
        <v>77</v>
      </c>
      <c r="BP1" s="21" t="s">
        <v>1293</v>
      </c>
      <c r="BQ1" s="21" t="s">
        <v>1294</v>
      </c>
      <c r="BR1" s="21" t="s">
        <v>78</v>
      </c>
      <c r="BS1" s="21" t="s">
        <v>765</v>
      </c>
      <c r="BT1" s="21" t="s">
        <v>1295</v>
      </c>
      <c r="BU1" s="21" t="s">
        <v>1296</v>
      </c>
      <c r="BW1" s="28" t="s">
        <v>1297</v>
      </c>
    </row>
    <row r="2" customFormat="false" ht="15" hidden="false" customHeight="true" outlineLevel="0" collapsed="false">
      <c r="BW2" s="30" t="s">
        <v>1106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3385</v>
      </c>
      <c r="O1" s="24" t="s">
        <v>3386</v>
      </c>
      <c r="P1" s="24" t="s">
        <v>3387</v>
      </c>
      <c r="Q1" s="24" t="s">
        <v>3388</v>
      </c>
      <c r="R1" s="24" t="s">
        <v>3389</v>
      </c>
      <c r="S1" s="24" t="s">
        <v>3390</v>
      </c>
      <c r="T1" s="24" t="s">
        <v>3391</v>
      </c>
      <c r="U1" s="24" t="s">
        <v>3392</v>
      </c>
      <c r="V1" s="27" t="s">
        <v>3393</v>
      </c>
      <c r="W1" s="27" t="s">
        <v>3394</v>
      </c>
      <c r="X1" s="27" t="s">
        <v>3395</v>
      </c>
      <c r="Y1" s="27" t="s">
        <v>3396</v>
      </c>
      <c r="Z1" s="24" t="s">
        <v>3397</v>
      </c>
      <c r="AA1" s="24" t="s">
        <v>3398</v>
      </c>
      <c r="AB1" s="24" t="s">
        <v>3399</v>
      </c>
      <c r="AC1" s="24" t="s">
        <v>3400</v>
      </c>
      <c r="AD1" s="24" t="s">
        <v>3401</v>
      </c>
      <c r="AE1" s="24" t="s">
        <v>3402</v>
      </c>
      <c r="AF1" s="24" t="s">
        <v>3403</v>
      </c>
      <c r="AG1" s="24" t="s">
        <v>3404</v>
      </c>
      <c r="AH1" s="27" t="s">
        <v>3405</v>
      </c>
      <c r="AI1" s="27" t="s">
        <v>3406</v>
      </c>
      <c r="AJ1" s="27" t="s">
        <v>3407</v>
      </c>
      <c r="AK1" s="27" t="s">
        <v>3408</v>
      </c>
      <c r="AL1" s="24" t="s">
        <v>3409</v>
      </c>
      <c r="AM1" s="24" t="s">
        <v>3410</v>
      </c>
      <c r="AN1" s="24" t="s">
        <v>3411</v>
      </c>
      <c r="AO1" s="24" t="s">
        <v>3412</v>
      </c>
      <c r="AP1" s="24" t="s">
        <v>3413</v>
      </c>
      <c r="AQ1" s="24" t="s">
        <v>3414</v>
      </c>
      <c r="AR1" s="24" t="s">
        <v>3415</v>
      </c>
      <c r="AS1" s="24" t="s">
        <v>3416</v>
      </c>
      <c r="AT1" s="27" t="s">
        <v>3417</v>
      </c>
      <c r="AU1" s="27" t="s">
        <v>3418</v>
      </c>
      <c r="AV1" s="27" t="s">
        <v>3419</v>
      </c>
      <c r="AW1" s="27" t="s">
        <v>3420</v>
      </c>
      <c r="AX1" s="24" t="s">
        <v>3421</v>
      </c>
      <c r="AY1" s="25" t="s">
        <v>35</v>
      </c>
      <c r="AZ1" s="25" t="s">
        <v>33</v>
      </c>
      <c r="BA1" s="25" t="s">
        <v>37</v>
      </c>
      <c r="BB1" s="20" t="s">
        <v>73</v>
      </c>
      <c r="BC1" s="20" t="s">
        <v>750</v>
      </c>
      <c r="BD1" s="20" t="s">
        <v>751</v>
      </c>
      <c r="BE1" s="20" t="s">
        <v>74</v>
      </c>
      <c r="BF1" s="20" t="s">
        <v>1291</v>
      </c>
      <c r="BG1" s="20" t="s">
        <v>1292</v>
      </c>
      <c r="BH1" s="20" t="s">
        <v>752</v>
      </c>
      <c r="BI1" s="20" t="s">
        <v>753</v>
      </c>
      <c r="BJ1" s="20" t="s">
        <v>75</v>
      </c>
      <c r="BK1" s="20" t="s">
        <v>748</v>
      </c>
      <c r="BL1" s="20" t="s">
        <v>749</v>
      </c>
      <c r="BM1" s="20" t="s">
        <v>746</v>
      </c>
      <c r="BN1" s="20" t="s">
        <v>747</v>
      </c>
      <c r="BO1" s="21" t="s">
        <v>76</v>
      </c>
      <c r="BP1" s="21" t="s">
        <v>77</v>
      </c>
      <c r="BQ1" s="21" t="s">
        <v>1293</v>
      </c>
      <c r="BR1" s="21" t="s">
        <v>1294</v>
      </c>
      <c r="BS1" s="21" t="s">
        <v>78</v>
      </c>
      <c r="BT1" s="21" t="s">
        <v>765</v>
      </c>
      <c r="BU1" s="21" t="s">
        <v>1295</v>
      </c>
      <c r="BV1" s="21" t="s">
        <v>1296</v>
      </c>
      <c r="BX1" s="28" t="s">
        <v>1297</v>
      </c>
    </row>
    <row r="2" customFormat="false" ht="15" hidden="false" customHeight="true" outlineLevel="0" collapsed="false">
      <c r="BX2" s="30" t="s">
        <v>1108</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3422</v>
      </c>
      <c r="O1" s="24" t="s">
        <v>3423</v>
      </c>
      <c r="P1" s="24" t="s">
        <v>3424</v>
      </c>
      <c r="Q1" s="24" t="s">
        <v>3425</v>
      </c>
      <c r="R1" s="24" t="s">
        <v>3426</v>
      </c>
      <c r="S1" s="24" t="s">
        <v>3427</v>
      </c>
      <c r="T1" s="24" t="s">
        <v>3428</v>
      </c>
      <c r="U1" s="24" t="s">
        <v>3429</v>
      </c>
      <c r="V1" s="27" t="s">
        <v>3430</v>
      </c>
      <c r="W1" s="27" t="s">
        <v>3431</v>
      </c>
      <c r="X1" s="27" t="s">
        <v>3432</v>
      </c>
      <c r="Y1" s="27" t="s">
        <v>3433</v>
      </c>
      <c r="Z1" s="24" t="s">
        <v>3434</v>
      </c>
      <c r="AA1" s="24" t="s">
        <v>3435</v>
      </c>
      <c r="AB1" s="24" t="s">
        <v>3436</v>
      </c>
      <c r="AC1" s="24" t="s">
        <v>3437</v>
      </c>
      <c r="AD1" s="24" t="s">
        <v>3438</v>
      </c>
      <c r="AE1" s="24" t="s">
        <v>3439</v>
      </c>
      <c r="AF1" s="24" t="s">
        <v>3440</v>
      </c>
      <c r="AG1" s="24" t="s">
        <v>3441</v>
      </c>
      <c r="AH1" s="27" t="s">
        <v>3442</v>
      </c>
      <c r="AI1" s="27" t="s">
        <v>3443</v>
      </c>
      <c r="AJ1" s="27" t="s">
        <v>3444</v>
      </c>
      <c r="AK1" s="27" t="s">
        <v>3445</v>
      </c>
      <c r="AL1" s="24" t="s">
        <v>3446</v>
      </c>
      <c r="AM1" s="24" t="s">
        <v>3447</v>
      </c>
      <c r="AN1" s="24" t="s">
        <v>3448</v>
      </c>
      <c r="AO1" s="24" t="s">
        <v>3449</v>
      </c>
      <c r="AP1" s="24" t="s">
        <v>3450</v>
      </c>
      <c r="AQ1" s="24" t="s">
        <v>3451</v>
      </c>
      <c r="AR1" s="24" t="s">
        <v>3452</v>
      </c>
      <c r="AS1" s="24" t="s">
        <v>3453</v>
      </c>
      <c r="AT1" s="27" t="s">
        <v>3454</v>
      </c>
      <c r="AU1" s="27" t="s">
        <v>3455</v>
      </c>
      <c r="AV1" s="27" t="s">
        <v>3456</v>
      </c>
      <c r="AW1" s="27" t="s">
        <v>3457</v>
      </c>
      <c r="AX1" s="25" t="s">
        <v>35</v>
      </c>
      <c r="AY1" s="25" t="s">
        <v>33</v>
      </c>
      <c r="AZ1" s="25" t="s">
        <v>37</v>
      </c>
      <c r="BA1" s="20" t="s">
        <v>73</v>
      </c>
      <c r="BB1" s="20" t="s">
        <v>750</v>
      </c>
      <c r="BC1" s="20" t="s">
        <v>751</v>
      </c>
      <c r="BD1" s="20" t="s">
        <v>74</v>
      </c>
      <c r="BE1" s="20" t="s">
        <v>1291</v>
      </c>
      <c r="BF1" s="20" t="s">
        <v>1292</v>
      </c>
      <c r="BG1" s="20" t="s">
        <v>752</v>
      </c>
      <c r="BH1" s="20" t="s">
        <v>753</v>
      </c>
      <c r="BI1" s="20" t="s">
        <v>75</v>
      </c>
      <c r="BJ1" s="20" t="s">
        <v>748</v>
      </c>
      <c r="BK1" s="20" t="s">
        <v>749</v>
      </c>
      <c r="BL1" s="20" t="s">
        <v>746</v>
      </c>
      <c r="BM1" s="20" t="s">
        <v>747</v>
      </c>
      <c r="BN1" s="21" t="s">
        <v>76</v>
      </c>
      <c r="BO1" s="21" t="s">
        <v>77</v>
      </c>
      <c r="BP1" s="21" t="s">
        <v>1293</v>
      </c>
      <c r="BQ1" s="21" t="s">
        <v>1294</v>
      </c>
      <c r="BR1" s="21" t="s">
        <v>78</v>
      </c>
      <c r="BS1" s="21" t="s">
        <v>765</v>
      </c>
      <c r="BT1" s="21" t="s">
        <v>1295</v>
      </c>
      <c r="BU1" s="21" t="s">
        <v>1296</v>
      </c>
      <c r="BW1" s="28" t="s">
        <v>1297</v>
      </c>
    </row>
    <row r="2" customFormat="false" ht="15" hidden="false" customHeight="true" outlineLevel="0" collapsed="false">
      <c r="BW2" s="30" t="s">
        <v>1110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3458</v>
      </c>
      <c r="O1" s="24" t="s">
        <v>3459</v>
      </c>
      <c r="P1" s="24" t="s">
        <v>3460</v>
      </c>
      <c r="Q1" s="24" t="s">
        <v>3461</v>
      </c>
      <c r="R1" s="24" t="s">
        <v>3462</v>
      </c>
      <c r="S1" s="24" t="s">
        <v>3463</v>
      </c>
      <c r="T1" s="24" t="s">
        <v>3464</v>
      </c>
      <c r="U1" s="24" t="s">
        <v>3465</v>
      </c>
      <c r="V1" s="27" t="s">
        <v>3466</v>
      </c>
      <c r="W1" s="27" t="s">
        <v>3467</v>
      </c>
      <c r="X1" s="27" t="s">
        <v>3468</v>
      </c>
      <c r="Y1" s="27" t="s">
        <v>3469</v>
      </c>
      <c r="Z1" s="24" t="s">
        <v>3470</v>
      </c>
      <c r="AA1" s="24" t="s">
        <v>3471</v>
      </c>
      <c r="AB1" s="24" t="s">
        <v>3472</v>
      </c>
      <c r="AC1" s="24" t="s">
        <v>3473</v>
      </c>
      <c r="AD1" s="24" t="s">
        <v>3474</v>
      </c>
      <c r="AE1" s="24" t="s">
        <v>3475</v>
      </c>
      <c r="AF1" s="24" t="s">
        <v>3476</v>
      </c>
      <c r="AG1" s="24" t="s">
        <v>3477</v>
      </c>
      <c r="AH1" s="27" t="s">
        <v>3478</v>
      </c>
      <c r="AI1" s="27" t="s">
        <v>3479</v>
      </c>
      <c r="AJ1" s="27" t="s">
        <v>3480</v>
      </c>
      <c r="AK1" s="27" t="s">
        <v>3481</v>
      </c>
      <c r="AL1" s="24" t="s">
        <v>3482</v>
      </c>
      <c r="AM1" s="24" t="s">
        <v>3483</v>
      </c>
      <c r="AN1" s="24" t="s">
        <v>3484</v>
      </c>
      <c r="AO1" s="24" t="s">
        <v>3485</v>
      </c>
      <c r="AP1" s="24" t="s">
        <v>3486</v>
      </c>
      <c r="AQ1" s="24" t="s">
        <v>3487</v>
      </c>
      <c r="AR1" s="24" t="s">
        <v>3488</v>
      </c>
      <c r="AS1" s="24" t="s">
        <v>3489</v>
      </c>
      <c r="AT1" s="27" t="s">
        <v>3490</v>
      </c>
      <c r="AU1" s="27" t="s">
        <v>3491</v>
      </c>
      <c r="AV1" s="27" t="s">
        <v>3492</v>
      </c>
      <c r="AW1" s="27" t="s">
        <v>3493</v>
      </c>
      <c r="AX1" s="25" t="s">
        <v>35</v>
      </c>
      <c r="AY1" s="25" t="s">
        <v>33</v>
      </c>
      <c r="AZ1" s="25" t="s">
        <v>37</v>
      </c>
      <c r="BA1" s="20" t="s">
        <v>73</v>
      </c>
      <c r="BB1" s="20" t="s">
        <v>750</v>
      </c>
      <c r="BC1" s="20" t="s">
        <v>751</v>
      </c>
      <c r="BD1" s="20" t="s">
        <v>74</v>
      </c>
      <c r="BE1" s="20" t="s">
        <v>1291</v>
      </c>
      <c r="BF1" s="20" t="s">
        <v>1292</v>
      </c>
      <c r="BG1" s="20" t="s">
        <v>752</v>
      </c>
      <c r="BH1" s="20" t="s">
        <v>753</v>
      </c>
      <c r="BI1" s="20" t="s">
        <v>75</v>
      </c>
      <c r="BJ1" s="20" t="s">
        <v>748</v>
      </c>
      <c r="BK1" s="20" t="s">
        <v>749</v>
      </c>
      <c r="BL1" s="20" t="s">
        <v>746</v>
      </c>
      <c r="BM1" s="20" t="s">
        <v>747</v>
      </c>
      <c r="BN1" s="21" t="s">
        <v>76</v>
      </c>
      <c r="BO1" s="21" t="s">
        <v>77</v>
      </c>
      <c r="BP1" s="21" t="s">
        <v>1293</v>
      </c>
      <c r="BQ1" s="21" t="s">
        <v>1294</v>
      </c>
      <c r="BR1" s="21" t="s">
        <v>78</v>
      </c>
      <c r="BS1" s="21" t="s">
        <v>765</v>
      </c>
      <c r="BT1" s="21" t="s">
        <v>1295</v>
      </c>
      <c r="BU1" s="21" t="s">
        <v>1296</v>
      </c>
      <c r="BW1" s="28" t="s">
        <v>1297</v>
      </c>
    </row>
    <row r="2" customFormat="false" ht="15" hidden="false" customHeight="true" outlineLevel="0" collapsed="false">
      <c r="BW2" s="30" t="s">
        <v>1111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3494</v>
      </c>
      <c r="O1" s="24" t="s">
        <v>3495</v>
      </c>
      <c r="P1" s="24" t="s">
        <v>3496</v>
      </c>
      <c r="Q1" s="24" t="s">
        <v>3497</v>
      </c>
      <c r="R1" s="24" t="s">
        <v>3498</v>
      </c>
      <c r="S1" s="24" t="s">
        <v>3499</v>
      </c>
      <c r="T1" s="24" t="s">
        <v>3500</v>
      </c>
      <c r="U1" s="24" t="s">
        <v>3501</v>
      </c>
      <c r="V1" s="27" t="s">
        <v>3502</v>
      </c>
      <c r="W1" s="27" t="s">
        <v>3503</v>
      </c>
      <c r="X1" s="27" t="s">
        <v>3504</v>
      </c>
      <c r="Y1" s="27" t="s">
        <v>3505</v>
      </c>
      <c r="Z1" s="24" t="s">
        <v>3506</v>
      </c>
      <c r="AA1" s="24" t="s">
        <v>3507</v>
      </c>
      <c r="AB1" s="24" t="s">
        <v>3508</v>
      </c>
      <c r="AC1" s="24" t="s">
        <v>3509</v>
      </c>
      <c r="AD1" s="24" t="s">
        <v>3510</v>
      </c>
      <c r="AE1" s="24" t="s">
        <v>3511</v>
      </c>
      <c r="AF1" s="24" t="s">
        <v>3512</v>
      </c>
      <c r="AG1" s="24" t="s">
        <v>3513</v>
      </c>
      <c r="AH1" s="27" t="s">
        <v>3514</v>
      </c>
      <c r="AI1" s="27" t="s">
        <v>3515</v>
      </c>
      <c r="AJ1" s="27" t="s">
        <v>3516</v>
      </c>
      <c r="AK1" s="27" t="s">
        <v>3517</v>
      </c>
      <c r="AL1" s="24" t="s">
        <v>3518</v>
      </c>
      <c r="AM1" s="24" t="s">
        <v>3519</v>
      </c>
      <c r="AN1" s="24" t="s">
        <v>3520</v>
      </c>
      <c r="AO1" s="24" t="s">
        <v>3521</v>
      </c>
      <c r="AP1" s="24" t="s">
        <v>3522</v>
      </c>
      <c r="AQ1" s="24" t="s">
        <v>3523</v>
      </c>
      <c r="AR1" s="24" t="s">
        <v>3524</v>
      </c>
      <c r="AS1" s="24" t="s">
        <v>3525</v>
      </c>
      <c r="AT1" s="27" t="s">
        <v>3526</v>
      </c>
      <c r="AU1" s="27" t="s">
        <v>3527</v>
      </c>
      <c r="AV1" s="27" t="s">
        <v>3528</v>
      </c>
      <c r="AW1" s="27" t="s">
        <v>3529</v>
      </c>
      <c r="AX1" s="25" t="s">
        <v>35</v>
      </c>
      <c r="AY1" s="25" t="s">
        <v>33</v>
      </c>
      <c r="AZ1" s="25" t="s">
        <v>37</v>
      </c>
      <c r="BA1" s="20" t="s">
        <v>73</v>
      </c>
      <c r="BB1" s="20" t="s">
        <v>750</v>
      </c>
      <c r="BC1" s="20" t="s">
        <v>751</v>
      </c>
      <c r="BD1" s="20" t="s">
        <v>74</v>
      </c>
      <c r="BE1" s="20" t="s">
        <v>1291</v>
      </c>
      <c r="BF1" s="20" t="s">
        <v>1292</v>
      </c>
      <c r="BG1" s="20" t="s">
        <v>752</v>
      </c>
      <c r="BH1" s="20" t="s">
        <v>753</v>
      </c>
      <c r="BI1" s="20" t="s">
        <v>75</v>
      </c>
      <c r="BJ1" s="20" t="s">
        <v>748</v>
      </c>
      <c r="BK1" s="20" t="s">
        <v>749</v>
      </c>
      <c r="BL1" s="20" t="s">
        <v>746</v>
      </c>
      <c r="BM1" s="20" t="s">
        <v>747</v>
      </c>
      <c r="BN1" s="21" t="s">
        <v>76</v>
      </c>
      <c r="BO1" s="21" t="s">
        <v>77</v>
      </c>
      <c r="BP1" s="21" t="s">
        <v>1293</v>
      </c>
      <c r="BQ1" s="21" t="s">
        <v>1294</v>
      </c>
      <c r="BR1" s="21" t="s">
        <v>78</v>
      </c>
      <c r="BS1" s="21" t="s">
        <v>765</v>
      </c>
      <c r="BT1" s="21" t="s">
        <v>1295</v>
      </c>
      <c r="BU1" s="21" t="s">
        <v>1296</v>
      </c>
      <c r="BW1" s="28" t="s">
        <v>1297</v>
      </c>
    </row>
    <row r="2" customFormat="false" ht="15" hidden="false" customHeight="true" outlineLevel="0" collapsed="false">
      <c r="BW2" s="30" t="s">
        <v>1113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6" t="s">
        <v>68</v>
      </c>
      <c r="O1" s="26" t="s">
        <v>69</v>
      </c>
      <c r="P1" s="24" t="s">
        <v>3530</v>
      </c>
      <c r="Q1" s="24" t="s">
        <v>3531</v>
      </c>
      <c r="R1" s="24" t="s">
        <v>3532</v>
      </c>
      <c r="S1" s="24" t="s">
        <v>3533</v>
      </c>
      <c r="T1" s="24" t="s">
        <v>3534</v>
      </c>
      <c r="U1" s="24" t="s">
        <v>3535</v>
      </c>
      <c r="V1" s="24" t="s">
        <v>3536</v>
      </c>
      <c r="W1" s="24" t="s">
        <v>3537</v>
      </c>
      <c r="X1" s="27" t="s">
        <v>3538</v>
      </c>
      <c r="Y1" s="27" t="s">
        <v>3539</v>
      </c>
      <c r="Z1" s="27" t="s">
        <v>3540</v>
      </c>
      <c r="AA1" s="27" t="s">
        <v>3541</v>
      </c>
      <c r="AB1" s="25" t="s">
        <v>35</v>
      </c>
      <c r="AC1" s="25" t="s">
        <v>33</v>
      </c>
      <c r="AD1" s="25" t="s">
        <v>37</v>
      </c>
      <c r="AE1" s="20" t="s">
        <v>73</v>
      </c>
      <c r="AF1" s="20" t="s">
        <v>750</v>
      </c>
      <c r="AG1" s="20" t="s">
        <v>751</v>
      </c>
      <c r="AH1" s="20" t="s">
        <v>74</v>
      </c>
      <c r="AI1" s="20" t="s">
        <v>1291</v>
      </c>
      <c r="AJ1" s="20" t="s">
        <v>1292</v>
      </c>
      <c r="AK1" s="20" t="s">
        <v>752</v>
      </c>
      <c r="AL1" s="20" t="s">
        <v>753</v>
      </c>
      <c r="AM1" s="20" t="s">
        <v>75</v>
      </c>
      <c r="AN1" s="20" t="s">
        <v>748</v>
      </c>
      <c r="AO1" s="20" t="s">
        <v>749</v>
      </c>
      <c r="AP1" s="20" t="s">
        <v>746</v>
      </c>
      <c r="AQ1" s="20" t="s">
        <v>747</v>
      </c>
      <c r="AR1" s="21" t="s">
        <v>76</v>
      </c>
      <c r="AS1" s="21" t="s">
        <v>77</v>
      </c>
      <c r="AT1" s="21" t="s">
        <v>1293</v>
      </c>
      <c r="AU1" s="21" t="s">
        <v>1294</v>
      </c>
      <c r="AV1" s="21" t="s">
        <v>78</v>
      </c>
      <c r="AW1" s="21" t="s">
        <v>765</v>
      </c>
      <c r="AX1" s="21" t="s">
        <v>1295</v>
      </c>
      <c r="AY1" s="21" t="s">
        <v>1296</v>
      </c>
      <c r="BA1" s="28" t="s">
        <v>1297</v>
      </c>
    </row>
    <row r="2" customFormat="false" ht="15" hidden="false" customHeight="true" outlineLevel="0" collapsed="false">
      <c r="BA2" s="31" t="s">
        <v>1115</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3542</v>
      </c>
      <c r="O1" s="24" t="s">
        <v>3543</v>
      </c>
      <c r="P1" s="24" t="s">
        <v>3544</v>
      </c>
      <c r="Q1" s="24" t="s">
        <v>3545</v>
      </c>
      <c r="R1" s="24" t="s">
        <v>3546</v>
      </c>
      <c r="S1" s="24" t="s">
        <v>3547</v>
      </c>
      <c r="T1" s="24" t="s">
        <v>3548</v>
      </c>
      <c r="U1" s="24" t="s">
        <v>3549</v>
      </c>
      <c r="V1" s="27" t="s">
        <v>3550</v>
      </c>
      <c r="W1" s="27" t="s">
        <v>3551</v>
      </c>
      <c r="X1" s="27" t="s">
        <v>3552</v>
      </c>
      <c r="Y1" s="27" t="s">
        <v>3553</v>
      </c>
      <c r="Z1" s="24" t="s">
        <v>3554</v>
      </c>
      <c r="AA1" s="24" t="s">
        <v>3555</v>
      </c>
      <c r="AB1" s="24" t="s">
        <v>3556</v>
      </c>
      <c r="AC1" s="24" t="s">
        <v>3557</v>
      </c>
      <c r="AD1" s="24" t="s">
        <v>3558</v>
      </c>
      <c r="AE1" s="24" t="s">
        <v>3559</v>
      </c>
      <c r="AF1" s="24" t="s">
        <v>3560</v>
      </c>
      <c r="AG1" s="24" t="s">
        <v>3561</v>
      </c>
      <c r="AH1" s="27" t="s">
        <v>3562</v>
      </c>
      <c r="AI1" s="27" t="s">
        <v>3563</v>
      </c>
      <c r="AJ1" s="27" t="s">
        <v>3564</v>
      </c>
      <c r="AK1" s="27" t="s">
        <v>3565</v>
      </c>
      <c r="AL1" s="24" t="s">
        <v>3566</v>
      </c>
      <c r="AM1" s="24" t="s">
        <v>3567</v>
      </c>
      <c r="AN1" s="24" t="s">
        <v>3568</v>
      </c>
      <c r="AO1" s="24" t="s">
        <v>3569</v>
      </c>
      <c r="AP1" s="24" t="s">
        <v>3570</v>
      </c>
      <c r="AQ1" s="24" t="s">
        <v>3571</v>
      </c>
      <c r="AR1" s="24" t="s">
        <v>3572</v>
      </c>
      <c r="AS1" s="24" t="s">
        <v>3573</v>
      </c>
      <c r="AT1" s="27" t="s">
        <v>3574</v>
      </c>
      <c r="AU1" s="27" t="s">
        <v>3575</v>
      </c>
      <c r="AV1" s="27" t="s">
        <v>3576</v>
      </c>
      <c r="AW1" s="27" t="s">
        <v>3577</v>
      </c>
      <c r="AX1" s="25" t="s">
        <v>35</v>
      </c>
      <c r="AY1" s="25" t="s">
        <v>33</v>
      </c>
      <c r="AZ1" s="25" t="s">
        <v>37</v>
      </c>
      <c r="BA1" s="20" t="s">
        <v>73</v>
      </c>
      <c r="BB1" s="20" t="s">
        <v>750</v>
      </c>
      <c r="BC1" s="20" t="s">
        <v>751</v>
      </c>
      <c r="BD1" s="20" t="s">
        <v>74</v>
      </c>
      <c r="BE1" s="20" t="s">
        <v>1291</v>
      </c>
      <c r="BF1" s="20" t="s">
        <v>1292</v>
      </c>
      <c r="BG1" s="20" t="s">
        <v>752</v>
      </c>
      <c r="BH1" s="20" t="s">
        <v>753</v>
      </c>
      <c r="BI1" s="20" t="s">
        <v>75</v>
      </c>
      <c r="BJ1" s="20" t="s">
        <v>748</v>
      </c>
      <c r="BK1" s="20" t="s">
        <v>749</v>
      </c>
      <c r="BL1" s="20" t="s">
        <v>746</v>
      </c>
      <c r="BM1" s="20" t="s">
        <v>747</v>
      </c>
      <c r="BN1" s="21" t="s">
        <v>76</v>
      </c>
      <c r="BO1" s="21" t="s">
        <v>77</v>
      </c>
      <c r="BP1" s="21" t="s">
        <v>1293</v>
      </c>
      <c r="BQ1" s="21" t="s">
        <v>1294</v>
      </c>
      <c r="BR1" s="21" t="s">
        <v>78</v>
      </c>
      <c r="BS1" s="21" t="s">
        <v>765</v>
      </c>
      <c r="BT1" s="21" t="s">
        <v>1295</v>
      </c>
      <c r="BU1" s="21" t="s">
        <v>1296</v>
      </c>
      <c r="BW1" s="28" t="s">
        <v>1297</v>
      </c>
    </row>
    <row r="2" customFormat="false" ht="15" hidden="false" customHeight="true" outlineLevel="0" collapsed="false">
      <c r="BW2" s="30" t="s">
        <v>1117</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3578</v>
      </c>
      <c r="O1" s="24" t="s">
        <v>3579</v>
      </c>
      <c r="P1" s="24" t="s">
        <v>3580</v>
      </c>
      <c r="Q1" s="24" t="s">
        <v>3581</v>
      </c>
      <c r="R1" s="24" t="s">
        <v>3582</v>
      </c>
      <c r="S1" s="24" t="s">
        <v>3583</v>
      </c>
      <c r="T1" s="24" t="s">
        <v>3584</v>
      </c>
      <c r="U1" s="24" t="s">
        <v>3585</v>
      </c>
      <c r="V1" s="27" t="s">
        <v>3586</v>
      </c>
      <c r="W1" s="27" t="s">
        <v>3587</v>
      </c>
      <c r="X1" s="27" t="s">
        <v>3588</v>
      </c>
      <c r="Y1" s="27" t="s">
        <v>3589</v>
      </c>
      <c r="Z1" s="24" t="s">
        <v>3590</v>
      </c>
      <c r="AA1" s="24" t="s">
        <v>3591</v>
      </c>
      <c r="AB1" s="24" t="s">
        <v>3592</v>
      </c>
      <c r="AC1" s="24" t="s">
        <v>3593</v>
      </c>
      <c r="AD1" s="24" t="s">
        <v>3594</v>
      </c>
      <c r="AE1" s="24" t="s">
        <v>3595</v>
      </c>
      <c r="AF1" s="24" t="s">
        <v>3596</v>
      </c>
      <c r="AG1" s="24" t="s">
        <v>3597</v>
      </c>
      <c r="AH1" s="27" t="s">
        <v>3598</v>
      </c>
      <c r="AI1" s="27" t="s">
        <v>3599</v>
      </c>
      <c r="AJ1" s="27" t="s">
        <v>3600</v>
      </c>
      <c r="AK1" s="27" t="s">
        <v>3601</v>
      </c>
      <c r="AL1" s="24" t="s">
        <v>3602</v>
      </c>
      <c r="AM1" s="24" t="s">
        <v>3603</v>
      </c>
      <c r="AN1" s="24" t="s">
        <v>3604</v>
      </c>
      <c r="AO1" s="24" t="s">
        <v>3605</v>
      </c>
      <c r="AP1" s="24" t="s">
        <v>3606</v>
      </c>
      <c r="AQ1" s="24" t="s">
        <v>3607</v>
      </c>
      <c r="AR1" s="24" t="s">
        <v>3608</v>
      </c>
      <c r="AS1" s="24" t="s">
        <v>3609</v>
      </c>
      <c r="AT1" s="27" t="s">
        <v>3610</v>
      </c>
      <c r="AU1" s="27" t="s">
        <v>3611</v>
      </c>
      <c r="AV1" s="27" t="s">
        <v>3612</v>
      </c>
      <c r="AW1" s="27" t="s">
        <v>3613</v>
      </c>
      <c r="AX1" s="25" t="s">
        <v>35</v>
      </c>
      <c r="AY1" s="25" t="s">
        <v>33</v>
      </c>
      <c r="AZ1" s="25" t="s">
        <v>37</v>
      </c>
      <c r="BA1" s="20" t="s">
        <v>73</v>
      </c>
      <c r="BB1" s="20" t="s">
        <v>750</v>
      </c>
      <c r="BC1" s="20" t="s">
        <v>751</v>
      </c>
      <c r="BD1" s="20" t="s">
        <v>74</v>
      </c>
      <c r="BE1" s="20" t="s">
        <v>1291</v>
      </c>
      <c r="BF1" s="20" t="s">
        <v>1292</v>
      </c>
      <c r="BG1" s="20" t="s">
        <v>752</v>
      </c>
      <c r="BH1" s="20" t="s">
        <v>753</v>
      </c>
      <c r="BI1" s="20" t="s">
        <v>75</v>
      </c>
      <c r="BJ1" s="20" t="s">
        <v>748</v>
      </c>
      <c r="BK1" s="20" t="s">
        <v>749</v>
      </c>
      <c r="BL1" s="20" t="s">
        <v>746</v>
      </c>
      <c r="BM1" s="20" t="s">
        <v>747</v>
      </c>
      <c r="BN1" s="21" t="s">
        <v>76</v>
      </c>
      <c r="BO1" s="21" t="s">
        <v>77</v>
      </c>
      <c r="BP1" s="21" t="s">
        <v>1293</v>
      </c>
      <c r="BQ1" s="21" t="s">
        <v>1294</v>
      </c>
      <c r="BR1" s="21" t="s">
        <v>78</v>
      </c>
      <c r="BS1" s="21" t="s">
        <v>765</v>
      </c>
      <c r="BT1" s="21" t="s">
        <v>1295</v>
      </c>
      <c r="BU1" s="21" t="s">
        <v>1296</v>
      </c>
      <c r="BW1" s="28" t="s">
        <v>1297</v>
      </c>
    </row>
    <row r="2" customFormat="false" ht="15" hidden="false" customHeight="true" outlineLevel="0" collapsed="false">
      <c r="BW2" s="30" t="s">
        <v>1119</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3614</v>
      </c>
      <c r="O1" s="24" t="s">
        <v>3615</v>
      </c>
      <c r="P1" s="24" t="s">
        <v>3616</v>
      </c>
      <c r="Q1" s="24" t="s">
        <v>3617</v>
      </c>
      <c r="R1" s="24" t="s">
        <v>3618</v>
      </c>
      <c r="S1" s="24" t="s">
        <v>3619</v>
      </c>
      <c r="T1" s="24" t="s">
        <v>3620</v>
      </c>
      <c r="U1" s="24" t="s">
        <v>3621</v>
      </c>
      <c r="V1" s="27" t="s">
        <v>3622</v>
      </c>
      <c r="W1" s="27" t="s">
        <v>3623</v>
      </c>
      <c r="X1" s="27" t="s">
        <v>3624</v>
      </c>
      <c r="Y1" s="27" t="s">
        <v>3625</v>
      </c>
      <c r="Z1" s="24" t="s">
        <v>3626</v>
      </c>
      <c r="AA1" s="24" t="s">
        <v>3627</v>
      </c>
      <c r="AB1" s="24" t="s">
        <v>3628</v>
      </c>
      <c r="AC1" s="24" t="s">
        <v>3629</v>
      </c>
      <c r="AD1" s="24" t="s">
        <v>3630</v>
      </c>
      <c r="AE1" s="24" t="s">
        <v>3631</v>
      </c>
      <c r="AF1" s="24" t="s">
        <v>3632</v>
      </c>
      <c r="AG1" s="24" t="s">
        <v>3633</v>
      </c>
      <c r="AH1" s="27" t="s">
        <v>3634</v>
      </c>
      <c r="AI1" s="27" t="s">
        <v>3635</v>
      </c>
      <c r="AJ1" s="27" t="s">
        <v>3636</v>
      </c>
      <c r="AK1" s="27" t="s">
        <v>3637</v>
      </c>
      <c r="AL1" s="24" t="s">
        <v>3638</v>
      </c>
      <c r="AM1" s="24" t="s">
        <v>3639</v>
      </c>
      <c r="AN1" s="24" t="s">
        <v>3640</v>
      </c>
      <c r="AO1" s="24" t="s">
        <v>3641</v>
      </c>
      <c r="AP1" s="24" t="s">
        <v>3642</v>
      </c>
      <c r="AQ1" s="24" t="s">
        <v>3643</v>
      </c>
      <c r="AR1" s="24" t="s">
        <v>3644</v>
      </c>
      <c r="AS1" s="24" t="s">
        <v>3645</v>
      </c>
      <c r="AT1" s="27" t="s">
        <v>3646</v>
      </c>
      <c r="AU1" s="27" t="s">
        <v>3647</v>
      </c>
      <c r="AV1" s="27" t="s">
        <v>3648</v>
      </c>
      <c r="AW1" s="27" t="s">
        <v>3649</v>
      </c>
      <c r="AX1" s="25" t="s">
        <v>35</v>
      </c>
      <c r="AY1" s="25" t="s">
        <v>33</v>
      </c>
      <c r="AZ1" s="25" t="s">
        <v>37</v>
      </c>
      <c r="BA1" s="20" t="s">
        <v>73</v>
      </c>
      <c r="BB1" s="20" t="s">
        <v>750</v>
      </c>
      <c r="BC1" s="20" t="s">
        <v>751</v>
      </c>
      <c r="BD1" s="20" t="s">
        <v>74</v>
      </c>
      <c r="BE1" s="20" t="s">
        <v>1291</v>
      </c>
      <c r="BF1" s="20" t="s">
        <v>1292</v>
      </c>
      <c r="BG1" s="20" t="s">
        <v>752</v>
      </c>
      <c r="BH1" s="20" t="s">
        <v>753</v>
      </c>
      <c r="BI1" s="20" t="s">
        <v>75</v>
      </c>
      <c r="BJ1" s="20" t="s">
        <v>748</v>
      </c>
      <c r="BK1" s="20" t="s">
        <v>749</v>
      </c>
      <c r="BL1" s="20" t="s">
        <v>746</v>
      </c>
      <c r="BM1" s="20" t="s">
        <v>747</v>
      </c>
      <c r="BN1" s="21" t="s">
        <v>76</v>
      </c>
      <c r="BO1" s="21" t="s">
        <v>77</v>
      </c>
      <c r="BP1" s="21" t="s">
        <v>1293</v>
      </c>
      <c r="BQ1" s="21" t="s">
        <v>1294</v>
      </c>
      <c r="BR1" s="21" t="s">
        <v>78</v>
      </c>
      <c r="BS1" s="21" t="s">
        <v>765</v>
      </c>
      <c r="BT1" s="21" t="s">
        <v>1295</v>
      </c>
      <c r="BU1" s="21" t="s">
        <v>1296</v>
      </c>
      <c r="BW1" s="28" t="s">
        <v>1297</v>
      </c>
    </row>
    <row r="2" customFormat="false" ht="15" hidden="false" customHeight="true" outlineLevel="0" collapsed="false">
      <c r="BW2" s="30" t="s">
        <v>1121</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3650</v>
      </c>
      <c r="O1" s="24" t="s">
        <v>3651</v>
      </c>
      <c r="P1" s="24" t="s">
        <v>3652</v>
      </c>
      <c r="Q1" s="24" t="s">
        <v>3653</v>
      </c>
      <c r="R1" s="24" t="s">
        <v>3654</v>
      </c>
      <c r="S1" s="24" t="s">
        <v>3655</v>
      </c>
      <c r="T1" s="24" t="s">
        <v>3656</v>
      </c>
      <c r="U1" s="24" t="s">
        <v>3657</v>
      </c>
      <c r="V1" s="27" t="s">
        <v>3658</v>
      </c>
      <c r="W1" s="27" t="s">
        <v>3659</v>
      </c>
      <c r="X1" s="27" t="s">
        <v>3660</v>
      </c>
      <c r="Y1" s="27" t="s">
        <v>3661</v>
      </c>
      <c r="Z1" s="24" t="s">
        <v>3662</v>
      </c>
      <c r="AA1" s="24" t="s">
        <v>3663</v>
      </c>
      <c r="AB1" s="24" t="s">
        <v>3664</v>
      </c>
      <c r="AC1" s="24" t="s">
        <v>3665</v>
      </c>
      <c r="AD1" s="24" t="s">
        <v>3666</v>
      </c>
      <c r="AE1" s="24" t="s">
        <v>3667</v>
      </c>
      <c r="AF1" s="24" t="s">
        <v>3668</v>
      </c>
      <c r="AG1" s="24" t="s">
        <v>3669</v>
      </c>
      <c r="AH1" s="27" t="s">
        <v>3670</v>
      </c>
      <c r="AI1" s="27" t="s">
        <v>3671</v>
      </c>
      <c r="AJ1" s="27" t="s">
        <v>3672</v>
      </c>
      <c r="AK1" s="27" t="s">
        <v>3673</v>
      </c>
      <c r="AL1" s="24" t="s">
        <v>3674</v>
      </c>
      <c r="AM1" s="24" t="s">
        <v>3675</v>
      </c>
      <c r="AN1" s="24" t="s">
        <v>3676</v>
      </c>
      <c r="AO1" s="24" t="s">
        <v>3677</v>
      </c>
      <c r="AP1" s="24" t="s">
        <v>3678</v>
      </c>
      <c r="AQ1" s="24" t="s">
        <v>3679</v>
      </c>
      <c r="AR1" s="24" t="s">
        <v>3680</v>
      </c>
      <c r="AS1" s="24" t="s">
        <v>3681</v>
      </c>
      <c r="AT1" s="27" t="s">
        <v>3682</v>
      </c>
      <c r="AU1" s="27" t="s">
        <v>3683</v>
      </c>
      <c r="AV1" s="27" t="s">
        <v>3684</v>
      </c>
      <c r="AW1" s="27" t="s">
        <v>3685</v>
      </c>
      <c r="AX1" s="25" t="s">
        <v>35</v>
      </c>
      <c r="AY1" s="25" t="s">
        <v>33</v>
      </c>
      <c r="AZ1" s="25" t="s">
        <v>37</v>
      </c>
      <c r="BA1" s="20" t="s">
        <v>73</v>
      </c>
      <c r="BB1" s="20" t="s">
        <v>750</v>
      </c>
      <c r="BC1" s="20" t="s">
        <v>751</v>
      </c>
      <c r="BD1" s="20" t="s">
        <v>74</v>
      </c>
      <c r="BE1" s="20" t="s">
        <v>1291</v>
      </c>
      <c r="BF1" s="20" t="s">
        <v>1292</v>
      </c>
      <c r="BG1" s="20" t="s">
        <v>752</v>
      </c>
      <c r="BH1" s="20" t="s">
        <v>753</v>
      </c>
      <c r="BI1" s="20" t="s">
        <v>75</v>
      </c>
      <c r="BJ1" s="20" t="s">
        <v>748</v>
      </c>
      <c r="BK1" s="20" t="s">
        <v>749</v>
      </c>
      <c r="BL1" s="20" t="s">
        <v>746</v>
      </c>
      <c r="BM1" s="20" t="s">
        <v>747</v>
      </c>
      <c r="BN1" s="21" t="s">
        <v>76</v>
      </c>
      <c r="BO1" s="21" t="s">
        <v>77</v>
      </c>
      <c r="BP1" s="21" t="s">
        <v>1293</v>
      </c>
      <c r="BQ1" s="21" t="s">
        <v>1294</v>
      </c>
      <c r="BR1" s="21" t="s">
        <v>78</v>
      </c>
      <c r="BS1" s="21" t="s">
        <v>765</v>
      </c>
      <c r="BT1" s="21" t="s">
        <v>1295</v>
      </c>
      <c r="BU1" s="21" t="s">
        <v>1296</v>
      </c>
      <c r="BW1" s="28" t="s">
        <v>1297</v>
      </c>
    </row>
    <row r="2" customFormat="false" ht="15" hidden="false" customHeight="true" outlineLevel="0" collapsed="false">
      <c r="BW2" s="30" t="s">
        <v>1123</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3686</v>
      </c>
      <c r="O1" s="24" t="s">
        <v>3687</v>
      </c>
      <c r="P1" s="24" t="s">
        <v>3688</v>
      </c>
      <c r="Q1" s="24" t="s">
        <v>3689</v>
      </c>
      <c r="R1" s="24" t="s">
        <v>3690</v>
      </c>
      <c r="S1" s="24" t="s">
        <v>3691</v>
      </c>
      <c r="T1" s="24" t="s">
        <v>3692</v>
      </c>
      <c r="U1" s="24" t="s">
        <v>3693</v>
      </c>
      <c r="V1" s="27" t="s">
        <v>3694</v>
      </c>
      <c r="W1" s="27" t="s">
        <v>3695</v>
      </c>
      <c r="X1" s="27" t="s">
        <v>3696</v>
      </c>
      <c r="Y1" s="27" t="s">
        <v>3697</v>
      </c>
      <c r="Z1" s="24" t="s">
        <v>3698</v>
      </c>
      <c r="AA1" s="24" t="s">
        <v>3699</v>
      </c>
      <c r="AB1" s="24" t="s">
        <v>3700</v>
      </c>
      <c r="AC1" s="24" t="s">
        <v>3701</v>
      </c>
      <c r="AD1" s="24" t="s">
        <v>3702</v>
      </c>
      <c r="AE1" s="24" t="s">
        <v>3703</v>
      </c>
      <c r="AF1" s="24" t="s">
        <v>3704</v>
      </c>
      <c r="AG1" s="24" t="s">
        <v>3705</v>
      </c>
      <c r="AH1" s="27" t="s">
        <v>3706</v>
      </c>
      <c r="AI1" s="27" t="s">
        <v>3707</v>
      </c>
      <c r="AJ1" s="27" t="s">
        <v>3708</v>
      </c>
      <c r="AK1" s="27" t="s">
        <v>3709</v>
      </c>
      <c r="AL1" s="24" t="s">
        <v>3710</v>
      </c>
      <c r="AM1" s="24" t="s">
        <v>3711</v>
      </c>
      <c r="AN1" s="24" t="s">
        <v>3712</v>
      </c>
      <c r="AO1" s="24" t="s">
        <v>3713</v>
      </c>
      <c r="AP1" s="24" t="s">
        <v>3714</v>
      </c>
      <c r="AQ1" s="24" t="s">
        <v>3715</v>
      </c>
      <c r="AR1" s="24" t="s">
        <v>3716</v>
      </c>
      <c r="AS1" s="24" t="s">
        <v>3717</v>
      </c>
      <c r="AT1" s="27" t="s">
        <v>3718</v>
      </c>
      <c r="AU1" s="27" t="s">
        <v>3719</v>
      </c>
      <c r="AV1" s="27" t="s">
        <v>3720</v>
      </c>
      <c r="AW1" s="27" t="s">
        <v>3721</v>
      </c>
      <c r="AX1" s="25" t="s">
        <v>35</v>
      </c>
      <c r="AY1" s="25" t="s">
        <v>33</v>
      </c>
      <c r="AZ1" s="25" t="s">
        <v>37</v>
      </c>
      <c r="BA1" s="20" t="s">
        <v>73</v>
      </c>
      <c r="BB1" s="20" t="s">
        <v>750</v>
      </c>
      <c r="BC1" s="20" t="s">
        <v>751</v>
      </c>
      <c r="BD1" s="20" t="s">
        <v>74</v>
      </c>
      <c r="BE1" s="20" t="s">
        <v>1291</v>
      </c>
      <c r="BF1" s="20" t="s">
        <v>1292</v>
      </c>
      <c r="BG1" s="20" t="s">
        <v>752</v>
      </c>
      <c r="BH1" s="20" t="s">
        <v>753</v>
      </c>
      <c r="BI1" s="20" t="s">
        <v>75</v>
      </c>
      <c r="BJ1" s="20" t="s">
        <v>748</v>
      </c>
      <c r="BK1" s="20" t="s">
        <v>749</v>
      </c>
      <c r="BL1" s="20" t="s">
        <v>746</v>
      </c>
      <c r="BM1" s="20" t="s">
        <v>747</v>
      </c>
      <c r="BN1" s="21" t="s">
        <v>76</v>
      </c>
      <c r="BO1" s="21" t="s">
        <v>77</v>
      </c>
      <c r="BP1" s="21" t="s">
        <v>1293</v>
      </c>
      <c r="BQ1" s="21" t="s">
        <v>1294</v>
      </c>
      <c r="BR1" s="21" t="s">
        <v>78</v>
      </c>
      <c r="BS1" s="21" t="s">
        <v>765</v>
      </c>
      <c r="BT1" s="21" t="s">
        <v>1295</v>
      </c>
      <c r="BU1" s="21" t="s">
        <v>1296</v>
      </c>
      <c r="BW1" s="28" t="s">
        <v>1297</v>
      </c>
    </row>
    <row r="2" customFormat="false" ht="15" hidden="false" customHeight="true" outlineLevel="0" collapsed="false">
      <c r="BW2" s="30" t="s">
        <v>676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3722</v>
      </c>
      <c r="O1" s="24" t="s">
        <v>3723</v>
      </c>
      <c r="P1" s="24" t="s">
        <v>3724</v>
      </c>
      <c r="Q1" s="24" t="s">
        <v>3725</v>
      </c>
      <c r="R1" s="24" t="s">
        <v>3726</v>
      </c>
      <c r="S1" s="24" t="s">
        <v>3727</v>
      </c>
      <c r="T1" s="24" t="s">
        <v>3728</v>
      </c>
      <c r="U1" s="24" t="s">
        <v>3729</v>
      </c>
      <c r="V1" s="27" t="s">
        <v>3730</v>
      </c>
      <c r="W1" s="27" t="s">
        <v>3731</v>
      </c>
      <c r="X1" s="27" t="s">
        <v>3732</v>
      </c>
      <c r="Y1" s="27" t="s">
        <v>3733</v>
      </c>
      <c r="Z1" s="24" t="s">
        <v>3734</v>
      </c>
      <c r="AA1" s="24" t="s">
        <v>3735</v>
      </c>
      <c r="AB1" s="24" t="s">
        <v>3736</v>
      </c>
      <c r="AC1" s="24" t="s">
        <v>3737</v>
      </c>
      <c r="AD1" s="24" t="s">
        <v>3738</v>
      </c>
      <c r="AE1" s="24" t="s">
        <v>3739</v>
      </c>
      <c r="AF1" s="24" t="s">
        <v>3740</v>
      </c>
      <c r="AG1" s="24" t="s">
        <v>3741</v>
      </c>
      <c r="AH1" s="27" t="s">
        <v>3742</v>
      </c>
      <c r="AI1" s="27" t="s">
        <v>3743</v>
      </c>
      <c r="AJ1" s="27" t="s">
        <v>3744</v>
      </c>
      <c r="AK1" s="27" t="s">
        <v>3745</v>
      </c>
      <c r="AL1" s="24" t="s">
        <v>3746</v>
      </c>
      <c r="AM1" s="24" t="s">
        <v>3747</v>
      </c>
      <c r="AN1" s="24" t="s">
        <v>3748</v>
      </c>
      <c r="AO1" s="24" t="s">
        <v>3749</v>
      </c>
      <c r="AP1" s="24" t="s">
        <v>3750</v>
      </c>
      <c r="AQ1" s="24" t="s">
        <v>3751</v>
      </c>
      <c r="AR1" s="24" t="s">
        <v>3752</v>
      </c>
      <c r="AS1" s="24" t="s">
        <v>3753</v>
      </c>
      <c r="AT1" s="27" t="s">
        <v>3754</v>
      </c>
      <c r="AU1" s="27" t="s">
        <v>3755</v>
      </c>
      <c r="AV1" s="27" t="s">
        <v>3756</v>
      </c>
      <c r="AW1" s="27" t="s">
        <v>3757</v>
      </c>
      <c r="AX1" s="25" t="s">
        <v>35</v>
      </c>
      <c r="AY1" s="25" t="s">
        <v>33</v>
      </c>
      <c r="AZ1" s="25" t="s">
        <v>37</v>
      </c>
      <c r="BA1" s="20" t="s">
        <v>73</v>
      </c>
      <c r="BB1" s="20" t="s">
        <v>750</v>
      </c>
      <c r="BC1" s="20" t="s">
        <v>751</v>
      </c>
      <c r="BD1" s="20" t="s">
        <v>74</v>
      </c>
      <c r="BE1" s="20" t="s">
        <v>1291</v>
      </c>
      <c r="BF1" s="20" t="s">
        <v>1292</v>
      </c>
      <c r="BG1" s="20" t="s">
        <v>752</v>
      </c>
      <c r="BH1" s="20" t="s">
        <v>753</v>
      </c>
      <c r="BI1" s="20" t="s">
        <v>75</v>
      </c>
      <c r="BJ1" s="20" t="s">
        <v>748</v>
      </c>
      <c r="BK1" s="20" t="s">
        <v>749</v>
      </c>
      <c r="BL1" s="20" t="s">
        <v>746</v>
      </c>
      <c r="BM1" s="20" t="s">
        <v>747</v>
      </c>
      <c r="BN1" s="21" t="s">
        <v>76</v>
      </c>
      <c r="BO1" s="21" t="s">
        <v>77</v>
      </c>
      <c r="BP1" s="21" t="s">
        <v>1293</v>
      </c>
      <c r="BQ1" s="21" t="s">
        <v>1294</v>
      </c>
      <c r="BR1" s="21" t="s">
        <v>78</v>
      </c>
      <c r="BS1" s="21" t="s">
        <v>765</v>
      </c>
      <c r="BT1" s="21" t="s">
        <v>1295</v>
      </c>
      <c r="BU1" s="21" t="s">
        <v>1296</v>
      </c>
      <c r="BW1" s="28" t="s">
        <v>1297</v>
      </c>
    </row>
    <row r="2" customFormat="false" ht="15" hidden="false" customHeight="true" outlineLevel="0" collapsed="false">
      <c r="BW2" s="30" t="s">
        <v>1125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3758</v>
      </c>
      <c r="O1" s="24" t="s">
        <v>3759</v>
      </c>
      <c r="P1" s="24" t="s">
        <v>3760</v>
      </c>
      <c r="Q1" s="24" t="s">
        <v>3761</v>
      </c>
      <c r="R1" s="24" t="s">
        <v>3762</v>
      </c>
      <c r="S1" s="24" t="s">
        <v>3763</v>
      </c>
      <c r="T1" s="24" t="s">
        <v>3764</v>
      </c>
      <c r="U1" s="24" t="s">
        <v>3765</v>
      </c>
      <c r="V1" s="27" t="s">
        <v>3766</v>
      </c>
      <c r="W1" s="27" t="s">
        <v>3767</v>
      </c>
      <c r="X1" s="27" t="s">
        <v>3768</v>
      </c>
      <c r="Y1" s="27" t="s">
        <v>3769</v>
      </c>
      <c r="Z1" s="24" t="s">
        <v>3108</v>
      </c>
      <c r="AA1" s="25" t="s">
        <v>35</v>
      </c>
      <c r="AB1" s="25" t="s">
        <v>33</v>
      </c>
      <c r="AC1" s="25" t="s">
        <v>37</v>
      </c>
      <c r="AD1" s="20" t="s">
        <v>73</v>
      </c>
      <c r="AE1" s="20" t="s">
        <v>750</v>
      </c>
      <c r="AF1" s="20" t="s">
        <v>751</v>
      </c>
      <c r="AG1" s="20" t="s">
        <v>74</v>
      </c>
      <c r="AH1" s="20" t="s">
        <v>1291</v>
      </c>
      <c r="AI1" s="20" t="s">
        <v>1292</v>
      </c>
      <c r="AJ1" s="20" t="s">
        <v>752</v>
      </c>
      <c r="AK1" s="20" t="s">
        <v>753</v>
      </c>
      <c r="AL1" s="20" t="s">
        <v>75</v>
      </c>
      <c r="AM1" s="20" t="s">
        <v>748</v>
      </c>
      <c r="AN1" s="20" t="s">
        <v>749</v>
      </c>
      <c r="AO1" s="20" t="s">
        <v>746</v>
      </c>
      <c r="AP1" s="20" t="s">
        <v>747</v>
      </c>
      <c r="AQ1" s="21" t="s">
        <v>76</v>
      </c>
      <c r="AR1" s="21" t="s">
        <v>77</v>
      </c>
      <c r="AS1" s="21" t="s">
        <v>1293</v>
      </c>
      <c r="AT1" s="21" t="s">
        <v>1294</v>
      </c>
      <c r="AU1" s="21" t="s">
        <v>78</v>
      </c>
      <c r="AV1" s="21" t="s">
        <v>765</v>
      </c>
      <c r="AW1" s="21" t="s">
        <v>1295</v>
      </c>
      <c r="AX1" s="21" t="s">
        <v>1296</v>
      </c>
      <c r="AZ1" s="28" t="s">
        <v>1297</v>
      </c>
    </row>
    <row r="2" customFormat="false" ht="15" hidden="false" customHeight="true" outlineLevel="0" collapsed="false">
      <c r="AZ2" s="30" t="s">
        <v>1127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3770</v>
      </c>
      <c r="O1" s="24" t="s">
        <v>3771</v>
      </c>
      <c r="P1" s="24" t="s">
        <v>3772</v>
      </c>
      <c r="Q1" s="24" t="s">
        <v>3773</v>
      </c>
      <c r="R1" s="24" t="s">
        <v>3774</v>
      </c>
      <c r="S1" s="24" t="s">
        <v>3775</v>
      </c>
      <c r="T1" s="24" t="s">
        <v>3776</v>
      </c>
      <c r="U1" s="24" t="s">
        <v>3777</v>
      </c>
      <c r="V1" s="27" t="s">
        <v>3778</v>
      </c>
      <c r="W1" s="27" t="s">
        <v>3779</v>
      </c>
      <c r="X1" s="27" t="s">
        <v>3780</v>
      </c>
      <c r="Y1" s="27" t="s">
        <v>3781</v>
      </c>
      <c r="Z1" s="24" t="s">
        <v>3108</v>
      </c>
      <c r="AA1" s="25" t="s">
        <v>35</v>
      </c>
      <c r="AB1" s="25" t="s">
        <v>33</v>
      </c>
      <c r="AC1" s="25" t="s">
        <v>37</v>
      </c>
      <c r="AD1" s="20" t="s">
        <v>73</v>
      </c>
      <c r="AE1" s="20" t="s">
        <v>750</v>
      </c>
      <c r="AF1" s="20" t="s">
        <v>751</v>
      </c>
      <c r="AG1" s="20" t="s">
        <v>74</v>
      </c>
      <c r="AH1" s="20" t="s">
        <v>1291</v>
      </c>
      <c r="AI1" s="20" t="s">
        <v>1292</v>
      </c>
      <c r="AJ1" s="20" t="s">
        <v>752</v>
      </c>
      <c r="AK1" s="20" t="s">
        <v>753</v>
      </c>
      <c r="AL1" s="20" t="s">
        <v>75</v>
      </c>
      <c r="AM1" s="20" t="s">
        <v>748</v>
      </c>
      <c r="AN1" s="20" t="s">
        <v>749</v>
      </c>
      <c r="AO1" s="20" t="s">
        <v>746</v>
      </c>
      <c r="AP1" s="20" t="s">
        <v>747</v>
      </c>
      <c r="AQ1" s="21" t="s">
        <v>76</v>
      </c>
      <c r="AR1" s="21" t="s">
        <v>77</v>
      </c>
      <c r="AS1" s="21" t="s">
        <v>1293</v>
      </c>
      <c r="AT1" s="21" t="s">
        <v>1294</v>
      </c>
      <c r="AU1" s="21" t="s">
        <v>78</v>
      </c>
      <c r="AV1" s="21" t="s">
        <v>765</v>
      </c>
      <c r="AW1" s="21" t="s">
        <v>1295</v>
      </c>
      <c r="AX1" s="21" t="s">
        <v>1296</v>
      </c>
      <c r="AZ1" s="28" t="s">
        <v>1297</v>
      </c>
    </row>
    <row r="2" customFormat="false" ht="15" hidden="false" customHeight="true" outlineLevel="0" collapsed="false">
      <c r="AZ2" s="30" t="s">
        <v>1129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3782</v>
      </c>
      <c r="O1" s="24" t="s">
        <v>3783</v>
      </c>
      <c r="P1" s="24" t="s">
        <v>3784</v>
      </c>
      <c r="Q1" s="24" t="s">
        <v>3785</v>
      </c>
      <c r="R1" s="24" t="s">
        <v>3786</v>
      </c>
      <c r="S1" s="24" t="s">
        <v>3787</v>
      </c>
      <c r="T1" s="24" t="s">
        <v>3788</v>
      </c>
      <c r="U1" s="24" t="s">
        <v>3789</v>
      </c>
      <c r="V1" s="27" t="s">
        <v>3790</v>
      </c>
      <c r="W1" s="27" t="s">
        <v>3791</v>
      </c>
      <c r="X1" s="27" t="s">
        <v>3792</v>
      </c>
      <c r="Y1" s="27" t="s">
        <v>3793</v>
      </c>
      <c r="Z1" s="24" t="s">
        <v>3108</v>
      </c>
      <c r="AA1" s="25" t="s">
        <v>35</v>
      </c>
      <c r="AB1" s="25" t="s">
        <v>33</v>
      </c>
      <c r="AC1" s="25" t="s">
        <v>37</v>
      </c>
      <c r="AD1" s="20" t="s">
        <v>73</v>
      </c>
      <c r="AE1" s="20" t="s">
        <v>750</v>
      </c>
      <c r="AF1" s="20" t="s">
        <v>751</v>
      </c>
      <c r="AG1" s="20" t="s">
        <v>74</v>
      </c>
      <c r="AH1" s="20" t="s">
        <v>1291</v>
      </c>
      <c r="AI1" s="20" t="s">
        <v>1292</v>
      </c>
      <c r="AJ1" s="20" t="s">
        <v>752</v>
      </c>
      <c r="AK1" s="20" t="s">
        <v>753</v>
      </c>
      <c r="AL1" s="20" t="s">
        <v>75</v>
      </c>
      <c r="AM1" s="20" t="s">
        <v>748</v>
      </c>
      <c r="AN1" s="20" t="s">
        <v>749</v>
      </c>
      <c r="AO1" s="20" t="s">
        <v>746</v>
      </c>
      <c r="AP1" s="20" t="s">
        <v>747</v>
      </c>
      <c r="AQ1" s="21" t="s">
        <v>76</v>
      </c>
      <c r="AR1" s="21" t="s">
        <v>77</v>
      </c>
      <c r="AS1" s="21" t="s">
        <v>1293</v>
      </c>
      <c r="AT1" s="21" t="s">
        <v>1294</v>
      </c>
      <c r="AU1" s="21" t="s">
        <v>78</v>
      </c>
      <c r="AV1" s="21" t="s">
        <v>765</v>
      </c>
      <c r="AW1" s="21" t="s">
        <v>1295</v>
      </c>
      <c r="AX1" s="21" t="s">
        <v>1296</v>
      </c>
      <c r="AZ1" s="28" t="s">
        <v>1297</v>
      </c>
    </row>
    <row r="2" customFormat="false" ht="15" hidden="false" customHeight="true" outlineLevel="0" collapsed="false">
      <c r="AZ2" s="30" t="s">
        <v>1131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3794</v>
      </c>
      <c r="O1" s="24" t="s">
        <v>3795</v>
      </c>
      <c r="P1" s="24" t="s">
        <v>3796</v>
      </c>
      <c r="Q1" s="24" t="s">
        <v>3797</v>
      </c>
      <c r="R1" s="24" t="s">
        <v>3798</v>
      </c>
      <c r="S1" s="24" t="s">
        <v>3799</v>
      </c>
      <c r="T1" s="24" t="s">
        <v>3800</v>
      </c>
      <c r="U1" s="24" t="s">
        <v>3801</v>
      </c>
      <c r="V1" s="27" t="s">
        <v>3802</v>
      </c>
      <c r="W1" s="27" t="s">
        <v>3803</v>
      </c>
      <c r="X1" s="27" t="s">
        <v>3804</v>
      </c>
      <c r="Y1" s="27" t="s">
        <v>3805</v>
      </c>
      <c r="Z1" s="24" t="s">
        <v>3108</v>
      </c>
      <c r="AA1" s="25" t="s">
        <v>35</v>
      </c>
      <c r="AB1" s="25" t="s">
        <v>33</v>
      </c>
      <c r="AC1" s="25" t="s">
        <v>37</v>
      </c>
      <c r="AD1" s="20" t="s">
        <v>73</v>
      </c>
      <c r="AE1" s="20" t="s">
        <v>750</v>
      </c>
      <c r="AF1" s="20" t="s">
        <v>751</v>
      </c>
      <c r="AG1" s="20" t="s">
        <v>74</v>
      </c>
      <c r="AH1" s="20" t="s">
        <v>1291</v>
      </c>
      <c r="AI1" s="20" t="s">
        <v>1292</v>
      </c>
      <c r="AJ1" s="20" t="s">
        <v>752</v>
      </c>
      <c r="AK1" s="20" t="s">
        <v>753</v>
      </c>
      <c r="AL1" s="20" t="s">
        <v>75</v>
      </c>
      <c r="AM1" s="20" t="s">
        <v>748</v>
      </c>
      <c r="AN1" s="20" t="s">
        <v>749</v>
      </c>
      <c r="AO1" s="20" t="s">
        <v>746</v>
      </c>
      <c r="AP1" s="20" t="s">
        <v>747</v>
      </c>
      <c r="AQ1" s="21" t="s">
        <v>76</v>
      </c>
      <c r="AR1" s="21" t="s">
        <v>77</v>
      </c>
      <c r="AS1" s="21" t="s">
        <v>1293</v>
      </c>
      <c r="AT1" s="21" t="s">
        <v>1294</v>
      </c>
      <c r="AU1" s="21" t="s">
        <v>78</v>
      </c>
      <c r="AV1" s="21" t="s">
        <v>765</v>
      </c>
      <c r="AW1" s="21" t="s">
        <v>1295</v>
      </c>
      <c r="AX1" s="21" t="s">
        <v>1296</v>
      </c>
      <c r="AZ1" s="28" t="s">
        <v>1297</v>
      </c>
    </row>
    <row r="2" customFormat="false" ht="15" hidden="false" customHeight="true" outlineLevel="0" collapsed="false">
      <c r="AZ2" s="30" t="s">
        <v>1133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19" t="s">
        <v>55</v>
      </c>
      <c r="B1" s="19" t="s">
        <v>56</v>
      </c>
      <c r="C1" s="19" t="s">
        <v>57</v>
      </c>
      <c r="D1" s="19" t="s">
        <v>58</v>
      </c>
      <c r="E1" s="19" t="s">
        <v>59</v>
      </c>
      <c r="F1" s="19" t="s">
        <v>60</v>
      </c>
      <c r="G1" s="19" t="s">
        <v>61</v>
      </c>
      <c r="H1" s="19" t="s">
        <v>62</v>
      </c>
      <c r="I1" s="19" t="s">
        <v>63</v>
      </c>
      <c r="J1" s="19" t="s">
        <v>64</v>
      </c>
      <c r="K1" s="19" t="s">
        <v>65</v>
      </c>
      <c r="L1" s="19" t="s">
        <v>66</v>
      </c>
      <c r="M1" s="19" t="s">
        <v>67</v>
      </c>
      <c r="N1" s="24" t="s">
        <v>3806</v>
      </c>
      <c r="O1" s="24" t="s">
        <v>3807</v>
      </c>
      <c r="P1" s="24" t="s">
        <v>3808</v>
      </c>
      <c r="Q1" s="24" t="s">
        <v>3809</v>
      </c>
      <c r="R1" s="24" t="s">
        <v>3810</v>
      </c>
      <c r="S1" s="24" t="s">
        <v>3811</v>
      </c>
      <c r="T1" s="24" t="s">
        <v>3812</v>
      </c>
      <c r="U1" s="24" t="s">
        <v>3813</v>
      </c>
      <c r="V1" s="27" t="s">
        <v>3814</v>
      </c>
      <c r="W1" s="27" t="s">
        <v>3815</v>
      </c>
      <c r="X1" s="27" t="s">
        <v>3816</v>
      </c>
      <c r="Y1" s="27" t="s">
        <v>3817</v>
      </c>
      <c r="Z1" s="24" t="s">
        <v>3108</v>
      </c>
      <c r="AA1" s="25" t="s">
        <v>35</v>
      </c>
      <c r="AB1" s="25" t="s">
        <v>33</v>
      </c>
      <c r="AC1" s="25" t="s">
        <v>37</v>
      </c>
      <c r="AD1" s="20" t="s">
        <v>73</v>
      </c>
      <c r="AE1" s="20" t="s">
        <v>750</v>
      </c>
      <c r="AF1" s="20" t="s">
        <v>751</v>
      </c>
      <c r="AG1" s="20" t="s">
        <v>74</v>
      </c>
      <c r="AH1" s="20" t="s">
        <v>1291</v>
      </c>
      <c r="AI1" s="20" t="s">
        <v>1292</v>
      </c>
      <c r="AJ1" s="20" t="s">
        <v>752</v>
      </c>
      <c r="AK1" s="20" t="s">
        <v>753</v>
      </c>
      <c r="AL1" s="20" t="s">
        <v>75</v>
      </c>
      <c r="AM1" s="20" t="s">
        <v>748</v>
      </c>
      <c r="AN1" s="20" t="s">
        <v>749</v>
      </c>
      <c r="AO1" s="20" t="s">
        <v>746</v>
      </c>
      <c r="AP1" s="20" t="s">
        <v>747</v>
      </c>
      <c r="AQ1" s="21" t="s">
        <v>76</v>
      </c>
      <c r="AR1" s="21" t="s">
        <v>77</v>
      </c>
      <c r="AS1" s="21" t="s">
        <v>1293</v>
      </c>
      <c r="AT1" s="21" t="s">
        <v>1294</v>
      </c>
      <c r="AU1" s="21" t="s">
        <v>78</v>
      </c>
      <c r="AV1" s="21" t="s">
        <v>765</v>
      </c>
      <c r="AW1" s="21" t="s">
        <v>1295</v>
      </c>
      <c r="AX1" s="21" t="s">
        <v>1296</v>
      </c>
      <c r="AZ1" s="28" t="s">
        <v>1297</v>
      </c>
    </row>
    <row r="2" customFormat="false" ht="15" hidden="false" customHeight="true" outlineLevel="0" collapsed="false">
      <c r="AZ2" s="30" t="s">
        <v>1135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4" t="s">
        <v>55</v>
      </c>
      <c r="B1" s="34" t="s">
        <v>56</v>
      </c>
      <c r="C1" s="34" t="s">
        <v>57</v>
      </c>
      <c r="D1" s="34" t="s">
        <v>58</v>
      </c>
      <c r="E1" s="34" t="s">
        <v>59</v>
      </c>
      <c r="F1" s="34" t="s">
        <v>60</v>
      </c>
      <c r="G1" s="34" t="s">
        <v>61</v>
      </c>
      <c r="H1" s="34" t="s">
        <v>62</v>
      </c>
      <c r="I1" s="34" t="s">
        <v>63</v>
      </c>
      <c r="J1" s="34" t="s">
        <v>64</v>
      </c>
      <c r="K1" s="34" t="s">
        <v>65</v>
      </c>
      <c r="L1" s="34" t="s">
        <v>66</v>
      </c>
      <c r="M1" s="34" t="s">
        <v>67</v>
      </c>
      <c r="N1" s="35" t="s">
        <v>68</v>
      </c>
      <c r="O1" s="35" t="s">
        <v>69</v>
      </c>
      <c r="P1" s="35" t="s">
        <v>3818</v>
      </c>
      <c r="Q1" s="36" t="s">
        <v>2246</v>
      </c>
      <c r="R1" s="36" t="s">
        <v>2247</v>
      </c>
      <c r="S1" s="36" t="s">
        <v>2248</v>
      </c>
      <c r="T1" s="36" t="s">
        <v>2249</v>
      </c>
      <c r="U1" s="36" t="s">
        <v>2250</v>
      </c>
      <c r="V1" s="36" t="s">
        <v>2251</v>
      </c>
      <c r="W1" s="36" t="s">
        <v>2252</v>
      </c>
      <c r="X1" s="36" t="s">
        <v>2253</v>
      </c>
      <c r="Y1" s="37" t="s">
        <v>2254</v>
      </c>
      <c r="Z1" s="37" t="s">
        <v>2255</v>
      </c>
      <c r="AA1" s="37" t="s">
        <v>2256</v>
      </c>
      <c r="AB1" s="37" t="s">
        <v>2257</v>
      </c>
      <c r="AC1" s="38" t="s">
        <v>35</v>
      </c>
      <c r="AD1" s="38" t="s">
        <v>33</v>
      </c>
      <c r="AE1" s="38" t="s">
        <v>37</v>
      </c>
      <c r="AF1" s="39" t="s">
        <v>73</v>
      </c>
      <c r="AG1" s="39" t="s">
        <v>750</v>
      </c>
      <c r="AH1" s="39" t="s">
        <v>751</v>
      </c>
      <c r="AI1" s="39" t="s">
        <v>74</v>
      </c>
      <c r="AJ1" s="39" t="s">
        <v>1291</v>
      </c>
      <c r="AK1" s="39" t="s">
        <v>1292</v>
      </c>
      <c r="AL1" s="39" t="s">
        <v>752</v>
      </c>
      <c r="AM1" s="39" t="s">
        <v>753</v>
      </c>
      <c r="AN1" s="39" t="s">
        <v>75</v>
      </c>
      <c r="AO1" s="39" t="s">
        <v>748</v>
      </c>
      <c r="AP1" s="39" t="s">
        <v>749</v>
      </c>
      <c r="AQ1" s="39" t="s">
        <v>746</v>
      </c>
      <c r="AR1" s="39" t="s">
        <v>747</v>
      </c>
      <c r="AS1" s="40" t="s">
        <v>76</v>
      </c>
      <c r="AT1" s="40" t="s">
        <v>77</v>
      </c>
      <c r="AU1" s="40" t="s">
        <v>1293</v>
      </c>
      <c r="AV1" s="40" t="s">
        <v>1294</v>
      </c>
      <c r="AW1" s="40" t="s">
        <v>78</v>
      </c>
      <c r="AX1" s="40" t="s">
        <v>765</v>
      </c>
      <c r="AY1" s="40" t="s">
        <v>1295</v>
      </c>
      <c r="AZ1" s="40" t="s">
        <v>1296</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4" t="s">
        <v>55</v>
      </c>
      <c r="B1" s="34" t="s">
        <v>56</v>
      </c>
      <c r="C1" s="34" t="s">
        <v>57</v>
      </c>
      <c r="D1" s="34" t="s">
        <v>58</v>
      </c>
      <c r="E1" s="34" t="s">
        <v>59</v>
      </c>
      <c r="F1" s="34" t="s">
        <v>60</v>
      </c>
      <c r="G1" s="34" t="s">
        <v>61</v>
      </c>
      <c r="H1" s="34" t="s">
        <v>62</v>
      </c>
      <c r="I1" s="34" t="s">
        <v>63</v>
      </c>
      <c r="J1" s="34" t="s">
        <v>64</v>
      </c>
      <c r="K1" s="34" t="s">
        <v>65</v>
      </c>
      <c r="L1" s="34" t="s">
        <v>66</v>
      </c>
      <c r="M1" s="34" t="s">
        <v>67</v>
      </c>
      <c r="N1" s="35" t="s">
        <v>68</v>
      </c>
      <c r="O1" s="35" t="s">
        <v>69</v>
      </c>
      <c r="P1" s="35" t="s">
        <v>3818</v>
      </c>
      <c r="Q1" s="36" t="s">
        <v>3819</v>
      </c>
      <c r="R1" s="36" t="s">
        <v>3820</v>
      </c>
      <c r="S1" s="36" t="s">
        <v>3821</v>
      </c>
      <c r="T1" s="36" t="s">
        <v>3822</v>
      </c>
      <c r="U1" s="36" t="s">
        <v>3823</v>
      </c>
      <c r="V1" s="36" t="s">
        <v>3824</v>
      </c>
      <c r="W1" s="36" t="s">
        <v>3825</v>
      </c>
      <c r="X1" s="36" t="s">
        <v>3826</v>
      </c>
      <c r="Y1" s="37" t="s">
        <v>3827</v>
      </c>
      <c r="Z1" s="37" t="s">
        <v>3828</v>
      </c>
      <c r="AA1" s="37" t="s">
        <v>3829</v>
      </c>
      <c r="AB1" s="37" t="s">
        <v>3830</v>
      </c>
      <c r="AC1" s="38" t="s">
        <v>35</v>
      </c>
      <c r="AD1" s="38" t="s">
        <v>33</v>
      </c>
      <c r="AE1" s="38" t="s">
        <v>37</v>
      </c>
      <c r="AF1" s="39" t="s">
        <v>73</v>
      </c>
      <c r="AG1" s="39" t="s">
        <v>750</v>
      </c>
      <c r="AH1" s="39" t="s">
        <v>751</v>
      </c>
      <c r="AI1" s="39" t="s">
        <v>74</v>
      </c>
      <c r="AJ1" s="39" t="s">
        <v>1291</v>
      </c>
      <c r="AK1" s="39" t="s">
        <v>1292</v>
      </c>
      <c r="AL1" s="39" t="s">
        <v>752</v>
      </c>
      <c r="AM1" s="39" t="s">
        <v>753</v>
      </c>
      <c r="AN1" s="39" t="s">
        <v>75</v>
      </c>
      <c r="AO1" s="39" t="s">
        <v>748</v>
      </c>
      <c r="AP1" s="39" t="s">
        <v>749</v>
      </c>
      <c r="AQ1" s="39" t="s">
        <v>746</v>
      </c>
      <c r="AR1" s="39" t="s">
        <v>747</v>
      </c>
      <c r="AS1" s="40" t="s">
        <v>76</v>
      </c>
      <c r="AT1" s="40" t="s">
        <v>77</v>
      </c>
      <c r="AU1" s="40" t="s">
        <v>1293</v>
      </c>
      <c r="AV1" s="40" t="s">
        <v>1294</v>
      </c>
      <c r="AW1" s="40" t="s">
        <v>78</v>
      </c>
      <c r="AX1" s="40" t="s">
        <v>765</v>
      </c>
      <c r="AY1" s="40" t="s">
        <v>1295</v>
      </c>
      <c r="AZ1" s="40" t="s">
        <v>1296</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4" t="s">
        <v>55</v>
      </c>
      <c r="B1" s="34" t="s">
        <v>56</v>
      </c>
      <c r="C1" s="34" t="s">
        <v>57</v>
      </c>
      <c r="D1" s="34" t="s">
        <v>58</v>
      </c>
      <c r="E1" s="34" t="s">
        <v>59</v>
      </c>
      <c r="F1" s="34" t="s">
        <v>60</v>
      </c>
      <c r="G1" s="34" t="s">
        <v>61</v>
      </c>
      <c r="H1" s="34" t="s">
        <v>62</v>
      </c>
      <c r="I1" s="34" t="s">
        <v>63</v>
      </c>
      <c r="J1" s="34" t="s">
        <v>64</v>
      </c>
      <c r="K1" s="34" t="s">
        <v>65</v>
      </c>
      <c r="L1" s="34" t="s">
        <v>66</v>
      </c>
      <c r="M1" s="34" t="s">
        <v>67</v>
      </c>
      <c r="N1" s="35" t="s">
        <v>68</v>
      </c>
      <c r="O1" s="35" t="s">
        <v>69</v>
      </c>
      <c r="P1" s="35" t="s">
        <v>3818</v>
      </c>
      <c r="Q1" s="36" t="s">
        <v>2540</v>
      </c>
      <c r="R1" s="36" t="s">
        <v>2541</v>
      </c>
      <c r="S1" s="36" t="s">
        <v>2542</v>
      </c>
      <c r="T1" s="36" t="s">
        <v>2543</v>
      </c>
      <c r="U1" s="36" t="s">
        <v>2544</v>
      </c>
      <c r="V1" s="36" t="s">
        <v>2545</v>
      </c>
      <c r="W1" s="36" t="s">
        <v>2546</v>
      </c>
      <c r="X1" s="36" t="s">
        <v>2547</v>
      </c>
      <c r="Y1" s="37" t="s">
        <v>2548</v>
      </c>
      <c r="Z1" s="37" t="s">
        <v>2549</v>
      </c>
      <c r="AA1" s="37" t="s">
        <v>2550</v>
      </c>
      <c r="AB1" s="37" t="s">
        <v>2551</v>
      </c>
      <c r="AC1" s="38" t="s">
        <v>35</v>
      </c>
      <c r="AD1" s="38" t="s">
        <v>33</v>
      </c>
      <c r="AE1" s="38" t="s">
        <v>37</v>
      </c>
      <c r="AF1" s="39" t="s">
        <v>73</v>
      </c>
      <c r="AG1" s="39" t="s">
        <v>750</v>
      </c>
      <c r="AH1" s="39" t="s">
        <v>751</v>
      </c>
      <c r="AI1" s="39" t="s">
        <v>74</v>
      </c>
      <c r="AJ1" s="39" t="s">
        <v>1291</v>
      </c>
      <c r="AK1" s="39" t="s">
        <v>1292</v>
      </c>
      <c r="AL1" s="39" t="s">
        <v>752</v>
      </c>
      <c r="AM1" s="39" t="s">
        <v>753</v>
      </c>
      <c r="AN1" s="39" t="s">
        <v>75</v>
      </c>
      <c r="AO1" s="39" t="s">
        <v>748</v>
      </c>
      <c r="AP1" s="39" t="s">
        <v>749</v>
      </c>
      <c r="AQ1" s="39" t="s">
        <v>746</v>
      </c>
      <c r="AR1" s="39" t="s">
        <v>747</v>
      </c>
      <c r="AS1" s="40" t="s">
        <v>76</v>
      </c>
      <c r="AT1" s="40" t="s">
        <v>77</v>
      </c>
      <c r="AU1" s="40" t="s">
        <v>1293</v>
      </c>
      <c r="AV1" s="40" t="s">
        <v>1294</v>
      </c>
      <c r="AW1" s="40" t="s">
        <v>78</v>
      </c>
      <c r="AX1" s="40" t="s">
        <v>765</v>
      </c>
      <c r="AY1" s="40" t="s">
        <v>1295</v>
      </c>
      <c r="AZ1" s="40" t="s">
        <v>1296</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4" t="s">
        <v>55</v>
      </c>
      <c r="B1" s="34" t="s">
        <v>56</v>
      </c>
      <c r="C1" s="34" t="s">
        <v>57</v>
      </c>
      <c r="D1" s="34" t="s">
        <v>58</v>
      </c>
      <c r="E1" s="34" t="s">
        <v>59</v>
      </c>
      <c r="F1" s="34" t="s">
        <v>60</v>
      </c>
      <c r="G1" s="34" t="s">
        <v>61</v>
      </c>
      <c r="H1" s="34" t="s">
        <v>62</v>
      </c>
      <c r="I1" s="34" t="s">
        <v>63</v>
      </c>
      <c r="J1" s="34" t="s">
        <v>64</v>
      </c>
      <c r="K1" s="34" t="s">
        <v>65</v>
      </c>
      <c r="L1" s="34" t="s">
        <v>66</v>
      </c>
      <c r="M1" s="34" t="s">
        <v>67</v>
      </c>
      <c r="N1" s="35" t="s">
        <v>68</v>
      </c>
      <c r="O1" s="35" t="s">
        <v>69</v>
      </c>
      <c r="P1" s="35" t="s">
        <v>3818</v>
      </c>
      <c r="Q1" s="36" t="s">
        <v>3831</v>
      </c>
      <c r="R1" s="36" t="s">
        <v>3832</v>
      </c>
      <c r="S1" s="36" t="s">
        <v>3833</v>
      </c>
      <c r="T1" s="36" t="s">
        <v>3834</v>
      </c>
      <c r="U1" s="36" t="s">
        <v>3835</v>
      </c>
      <c r="V1" s="36" t="s">
        <v>3836</v>
      </c>
      <c r="W1" s="36" t="s">
        <v>3837</v>
      </c>
      <c r="X1" s="36" t="s">
        <v>3838</v>
      </c>
      <c r="Y1" s="37" t="s">
        <v>3839</v>
      </c>
      <c r="Z1" s="37" t="s">
        <v>3840</v>
      </c>
      <c r="AA1" s="37" t="s">
        <v>3841</v>
      </c>
      <c r="AB1" s="37" t="s">
        <v>3842</v>
      </c>
      <c r="AC1" s="38" t="s">
        <v>35</v>
      </c>
      <c r="AD1" s="38" t="s">
        <v>33</v>
      </c>
      <c r="AE1" s="38" t="s">
        <v>37</v>
      </c>
      <c r="AF1" s="39" t="s">
        <v>73</v>
      </c>
      <c r="AG1" s="39" t="s">
        <v>750</v>
      </c>
      <c r="AH1" s="39" t="s">
        <v>751</v>
      </c>
      <c r="AI1" s="39" t="s">
        <v>74</v>
      </c>
      <c r="AJ1" s="39" t="s">
        <v>1291</v>
      </c>
      <c r="AK1" s="39" t="s">
        <v>1292</v>
      </c>
      <c r="AL1" s="39" t="s">
        <v>752</v>
      </c>
      <c r="AM1" s="39" t="s">
        <v>753</v>
      </c>
      <c r="AN1" s="39" t="s">
        <v>75</v>
      </c>
      <c r="AO1" s="39" t="s">
        <v>748</v>
      </c>
      <c r="AP1" s="39" t="s">
        <v>749</v>
      </c>
      <c r="AQ1" s="39" t="s">
        <v>746</v>
      </c>
      <c r="AR1" s="39" t="s">
        <v>747</v>
      </c>
      <c r="AS1" s="40" t="s">
        <v>76</v>
      </c>
      <c r="AT1" s="40" t="s">
        <v>77</v>
      </c>
      <c r="AU1" s="40" t="s">
        <v>1293</v>
      </c>
      <c r="AV1" s="40" t="s">
        <v>1294</v>
      </c>
      <c r="AW1" s="40" t="s">
        <v>78</v>
      </c>
      <c r="AX1" s="40" t="s">
        <v>765</v>
      </c>
      <c r="AY1" s="40" t="s">
        <v>1295</v>
      </c>
      <c r="AZ1" s="40" t="s">
        <v>1296</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1" t="s">
        <v>3843</v>
      </c>
      <c r="B1" s="41" t="s">
        <v>56</v>
      </c>
      <c r="C1" s="41" t="s">
        <v>57</v>
      </c>
      <c r="D1" s="41" t="s">
        <v>58</v>
      </c>
      <c r="E1" s="41" t="s">
        <v>3844</v>
      </c>
      <c r="F1" s="41" t="s">
        <v>3845</v>
      </c>
    </row>
    <row r="2" customFormat="false" ht="135.75" hidden="false" customHeight="true" outlineLevel="0" collapsed="false">
      <c r="A2" s="5" t="s">
        <v>3846</v>
      </c>
      <c r="B2" s="5" t="n">
        <v>167</v>
      </c>
      <c r="C2" s="5" t="s">
        <v>1228</v>
      </c>
      <c r="D2" s="5" t="n">
        <v>2023</v>
      </c>
      <c r="E2" s="5" t="s">
        <v>3847</v>
      </c>
      <c r="F2" s="5" t="s">
        <v>3848</v>
      </c>
    </row>
    <row r="3" customFormat="false" ht="124.5" hidden="false" customHeight="true" outlineLevel="0" collapsed="false">
      <c r="A3" s="5" t="s">
        <v>3849</v>
      </c>
      <c r="B3" s="5" t="n">
        <v>164</v>
      </c>
      <c r="C3" s="5" t="s">
        <v>1149</v>
      </c>
      <c r="D3" s="5" t="n">
        <v>2000</v>
      </c>
      <c r="E3" s="5" t="s">
        <v>3850</v>
      </c>
      <c r="F3" s="5" t="s">
        <v>610</v>
      </c>
    </row>
    <row r="4" customFormat="false" ht="135.75" hidden="false" customHeight="true" outlineLevel="0" collapsed="false">
      <c r="A4" s="5" t="s">
        <v>3849</v>
      </c>
      <c r="B4" s="5" t="n">
        <v>166</v>
      </c>
      <c r="C4" s="5" t="s">
        <v>1197</v>
      </c>
      <c r="D4" s="5" t="n">
        <v>2014</v>
      </c>
      <c r="E4" s="5" t="s">
        <v>3851</v>
      </c>
      <c r="F4" s="5" t="s">
        <v>610</v>
      </c>
    </row>
    <row r="5" customFormat="false" ht="157.5" hidden="false" customHeight="true" outlineLevel="0" collapsed="false"/>
    <row r="6" customFormat="false" ht="147" hidden="false" customHeight="true" outlineLevel="0" collapsed="false"/>
    <row r="7" customFormat="false" ht="157.5" hidden="false" customHeight="true" outlineLevel="0" collapsed="false"/>
    <row r="8" customFormat="false" ht="124.5" hidden="false" customHeight="true" outlineLevel="0" collapsed="false"/>
    <row r="9" customFormat="false" ht="124.5" hidden="false" customHeight="true" outlineLevel="0" collapsed="false"/>
    <row r="10" customFormat="false" ht="124.5" hidden="false" customHeight="true" outlineLevel="0" collapsed="false"/>
    <row r="11" customFormat="false" ht="124.5" hidden="false" customHeight="true" outlineLevel="0" collapsed="false"/>
    <row r="12" customFormat="false" ht="124.5" hidden="false" customHeight="true" outlineLevel="0" collapsed="false"/>
    <row r="13" customFormat="false" ht="124.5" hidden="false" customHeight="true" outlineLevel="0" collapsed="false"/>
    <row r="14" customFormat="false" ht="124.5" hidden="false" customHeight="true" outlineLevel="0" collapsed="false"/>
    <row r="15" customFormat="false" ht="124.5" hidden="false" customHeight="true" outlineLevel="0" collapsed="false"/>
    <row r="16" customFormat="false" ht="124.5" hidden="false" customHeight="true" outlineLevel="0" collapsed="false"/>
    <row r="17" customFormat="false" ht="124.5" hidden="false" customHeight="true" outlineLevel="0" collapsed="false"/>
    <row r="18" customFormat="false" ht="124.5" hidden="false" customHeight="true" outlineLevel="0" collapsed="false"/>
    <row r="19" customFormat="false" ht="124.5" hidden="false" customHeight="true" outlineLevel="0" collapsed="false"/>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2026-10-05T06:12:16Z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